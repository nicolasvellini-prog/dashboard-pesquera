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C9F7930-04B5-4740-B302-422A3A80BB74}" xr6:coauthVersionLast="47" xr6:coauthVersionMax="47" xr10:uidLastSave="{00000000-0000-0000-0000-000000000000}"/>
  <bookViews>
    <workbookView xWindow="-120" yWindow="-120" windowWidth="29040" windowHeight="15720" tabRatio="500" firstSheet="4" activeTab="7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9" i="8" l="1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5" i="8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E204" i="8" l="1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6" i="8"/>
  <c r="E16" i="8"/>
  <c r="E7" i="8"/>
  <c r="E9" i="8"/>
  <c r="E10" i="8"/>
  <c r="E11" i="8"/>
  <c r="E12" i="8"/>
  <c r="E13" i="8"/>
  <c r="E14" i="8"/>
  <c r="E15" i="8"/>
  <c r="E17" i="8"/>
  <c r="E8" i="8"/>
  <c r="C279" i="8"/>
  <c r="G105" i="2"/>
  <c r="H105" i="2"/>
  <c r="AB105" i="2"/>
  <c r="AB106" i="2" s="1"/>
  <c r="AB107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G106" i="2" s="1"/>
  <c r="AG107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279" i="8" l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8" i="6" l="1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<sst xmlns="http://schemas.openxmlformats.org/spreadsheetml/2006/main" count="3044" uniqueCount="1165">
  <si>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</si>
  <si>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</si>
  <si>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</si>
  <si>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</si>
  <si>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</si>
  <si>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</si>
  <si>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</si>
  <si>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</si>
  <si>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</si>
  <si>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</si>
  <si>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</si>
  <si>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</si>
  <si>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</si>
  <si>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</si>
  <si>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</si>
  <si>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</si>
  <si>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</si>
  <si>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</si>
  <si>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</si>
  <si>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</si>
  <si>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</si>
  <si>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</si>
  <si>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</si>
  <si>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</si>
  <si>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</si>
  <si>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</si>
  <si>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</si>
  <si>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</si>
  <si>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</si>
  <si>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</si>
  <si>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</si>
  <si>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</si>
  <si>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</si>
  <si>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</si>
  <si>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</si>
  <si>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</si>
  <si>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</si>
  <si>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</si>
  <si>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</si>
  <si>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</si>
  <si>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</si>
  <si>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</si>
  <si>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</si>
  <si>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</si>
  <si>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</si>
  <si>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</si>
  <si>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</si>
  <si>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</si>
  <si>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</si>
  <si>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</si>
  <si>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</si>
  <si>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</si>
  <si>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</si>
  <si>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</si>
  <si>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</si>
  <si>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</si>
  <si>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</si>
  <si>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</si>
  <si>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</si>
  <si>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</si>
  <si>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</si>
  <si>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</si>
  <si>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</si>
  <si>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</si>
  <si>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</si>
  <si>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</si>
  <si>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</si>
  <si>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</si>
  <si>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</si>
  <si>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</si>
  <si>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</si>
  <si>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</si>
  <si>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</si>
  <si>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</si>
  <si>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</si>
  <si>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</si>
  <si>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</si>
  <si>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</si>
  <si>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</si>
  <si>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</si>
  <si>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</si>
  <si>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</si>
  <si>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</si>
  <si>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</si>
  <si>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</si>
  <si>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</si>
  <si>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</si>
  <si>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</si>
  <si>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</si>
  <si>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</si>
  <si>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</si>
  <si>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</si>
  <si>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</si>
  <si>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</si>
  <si>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</si>
  <si>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</si>
  <si>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</si>
  <si>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</si>
  <si>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</si>
  <si>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</si>
  <si>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</si>
  <si>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</si>
  <si>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</si>
  <si>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</si>
  <si>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</si>
  <si>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</si>
  <si>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</si>
  <si>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</si>
  <si>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</si>
  <si>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</si>
  <si>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</si>
  <si>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</si>
  <si>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</si>
  <si>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</si>
  <si>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</si>
  <si>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</si>
  <si>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</si>
  <si>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</si>
  <si>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</si>
  <si>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</si>
  <si>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</si>
  <si>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</si>
  <si>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</si>
  <si>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</si>
  <si>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</si>
  <si>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</si>
  <si>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</si>
  <si>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</si>
  <si>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</si>
  <si>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</si>
  <si>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</si>
  <si>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</si>
  <si>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</si>
  <si>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</si>
  <si>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</si>
  <si>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</si>
  <si>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</si>
  <si>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</si>
  <si>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</si>
  <si>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</si>
  <si>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</si>
  <si>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</si>
  <si>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</si>
  <si>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</si>
  <si>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</si>
  <si>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</si>
  <si>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</si>
  <si>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</si>
  <si>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</si>
  <si>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</si>
  <si>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</si>
  <si>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</si>
  <si>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</si>
  <si>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</si>
  <si>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</si>
  <si>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</si>
  <si>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</si>
  <si>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</si>
  <si>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</si>
  <si>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</si>
  <si>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</si>
  <si>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</si>
  <si>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</si>
  <si>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</si>
  <si>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</si>
  <si>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</si>
  <si>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</si>
  <si>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</si>
  <si>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</si>
  <si>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</si>
  <si>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</si>
  <si>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</si>
  <si>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</si>
  <si>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</si>
  <si>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</si>
  <si>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</si>
  <si>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</si>
  <si>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</si>
  <si>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</si>
  <si>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</si>
  <si>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</si>
  <si>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</si>
  <si>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</si>
  <si>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</si>
  <si>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</si>
  <si>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</si>
  <si>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</si>
  <si>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</si>
  <si>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</si>
  <si>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</si>
  <si>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</si>
  <si>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</si>
  <si>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</si>
  <si>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</si>
  <si>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</si>
  <si>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</si>
  <si>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</si>
  <si>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</si>
  <si>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</si>
  <si>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</si>
  <si>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</si>
  <si>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</si>
  <si>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</si>
  <si>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</si>
  <si>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</si>
  <si>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</si>
  <si>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</si>
  <si>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</si>
  <si>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</si>
  <si>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</si>
  <si>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</si>
  <si>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</si>
  <si>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</si>
  <si>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</si>
  <si>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</si>
  <si>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</si>
  <si>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</si>
  <si>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</si>
  <si>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</si>
  <si>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</si>
  <si>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</si>
  <si>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</si>
  <si>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</si>
  <si>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</si>
  <si>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</si>
  <si>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</si>
  <si>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</si>
  <si>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</si>
  <si>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</si>
  <si>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</si>
  <si>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</si>
  <si>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</si>
  <si>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</si>
  <si>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</si>
  <si>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</si>
  <si>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</si>
  <si>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</si>
  <si>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</si>
  <si>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</si>
  <si>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</si>
  <si>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</si>
  <si>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</si>
  <si>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</si>
  <si>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</si>
  <si>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</si>
  <si>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</si>
  <si>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</si>
  <si>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</si>
  <si>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</si>
  <si>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</si>
  <si>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</si>
  <si>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</si>
  <si>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</si>
  <si>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</si>
  <si>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</si>
  <si>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</si>
  <si>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</si>
  <si>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</si>
  <si>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</si>
  <si>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</si>
  <si>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</si>
  <si>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</si>
  <si>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</si>
  <si>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</si>
  <si>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</si>
  <si>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</si>
  <si>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</si>
  <si>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</si>
  <si>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</si>
  <si>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</si>
  <si>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</si>
  <si>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</si>
  <si>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</si>
  <si>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</si>
  <si>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</si>
  <si>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</si>
  <si>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</si>
  <si>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</si>
  <si>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</si>
  <si>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</si>
  <si>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</si>
  <si>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</si>
  <si>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</si>
  <si>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</si>
  <si>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</si>
  <si>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</si>
  <si>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</si>
  <si>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</si>
  <si>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</si>
  <si>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</si>
  <si>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</si>
  <si>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</si>
  <si>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</si>
  <si>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</si>
  <si>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</si>
  <si>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</si>
  <si>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</si>
  <si>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</si>
  <si>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</si>
  <si>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</si>
  <si>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</si>
  <si>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</si>
  <si>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</si>
  <si>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</si>
  <si>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</si>
  <si>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</si>
  <si>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</si>
  <si>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</si>
  <si>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</si>
  <si>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</si>
  <si>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</si>
  <si>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</si>
  <si>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</si>
  <si>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</si>
  <si>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</si>
  <si>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</si>
  <si>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03748</t>
  </si>
  <si>
    <t>GIAMBARTOLOMEI ROSANA NATALIA</t>
  </si>
  <si>
    <t>07680</t>
  </si>
  <si>
    <t>GINIAMO SA</t>
  </si>
  <si>
    <t>05571</t>
  </si>
  <si>
    <t>GOGNIAT SOLDADURA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</si>
  <si>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</si>
  <si>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</si>
  <si>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</si>
  <si>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</si>
  <si>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</si>
  <si>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</si>
  <si>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</si>
  <si>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</si>
  <si>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</si>
  <si>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</si>
  <si>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</si>
  <si>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</si>
  <si>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</si>
  <si>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</si>
  <si>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</si>
  <si>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</si>
  <si>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</si>
  <si>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</si>
  <si>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</si>
  <si>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</si>
  <si>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</si>
  <si>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</si>
  <si>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</si>
  <si>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</si>
  <si>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</si>
  <si>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</si>
  <si>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</si>
  <si>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</si>
  <si>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</si>
  <si>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</si>
  <si>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</si>
  <si>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</si>
  <si>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</si>
  <si>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</si>
  <si>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</si>
  <si>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</si>
  <si>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</si>
  <si>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</si>
  <si>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</si>
  <si>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</si>
  <si>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</si>
  <si>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</si>
  <si>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</si>
  <si>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</si>
  <si>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</si>
  <si>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</si>
  <si>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</si>
  <si>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</si>
  <si>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</si>
  <si>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</si>
  <si>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</si>
  <si>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</si>
  <si>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</si>
  <si>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</si>
  <si>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</si>
  <si>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</si>
  <si>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</si>
  <si>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</si>
  <si>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</si>
  <si>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</si>
  <si>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</si>
  <si>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</si>
  <si>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</si>
  <si>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</si>
  <si>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</si>
  <si>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</si>
  <si>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</si>
  <si>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</si>
  <si>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</si>
  <si>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</si>
  <si>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</si>
  <si>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</si>
  <si>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</si>
  <si>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</si>
  <si>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</si>
  <si>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</si>
  <si>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</si>
  <si>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</si>
  <si>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</si>
  <si>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</si>
  <si>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</si>
  <si>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</si>
  <si>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</si>
  <si>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</si>
  <si>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</si>
  <si>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</si>
  <si>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</si>
  <si>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</si>
  <si>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</si>
  <si>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</si>
  <si>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</si>
  <si>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</si>
  <si>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</si>
  <si>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</si>
  <si>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</si>
  <si>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</si>
  <si>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</si>
  <si>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</si>
  <si>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</si>
  <si>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</si>
  <si>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</si>
  <si>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</si>
  <si>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</si>
  <si>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</si>
  <si>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</si>
  <si>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</si>
  <si>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</si>
  <si>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</si>
  <si>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</si>
  <si>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</si>
  <si>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</si>
  <si>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</si>
  <si>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</si>
  <si>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</si>
  <si>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</si>
  <si>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</si>
  <si>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</si>
  <si>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</si>
  <si>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</si>
  <si>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</si>
  <si>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</si>
  <si>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</si>
  <si>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</si>
  <si>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</si>
  <si>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</si>
  <si>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</si>
  <si>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</si>
  <si>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</si>
  <si>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</si>
  <si>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</si>
  <si>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</si>
  <si>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</si>
  <si>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</si>
  <si>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</si>
  <si>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</si>
  <si>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</si>
  <si>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</si>
  <si>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</si>
  <si>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</si>
  <si>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</si>
  <si>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</si>
  <si>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</si>
  <si>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</si>
  <si>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</si>
  <si>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</si>
  <si>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</si>
  <si>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</si>
  <si>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</si>
  <si>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</si>
  <si>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</si>
  <si>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</si>
  <si>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</si>
  <si>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</si>
  <si>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</si>
  <si>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</si>
  <si>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</si>
  <si>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</si>
  <si>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</si>
  <si>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</si>
  <si>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</si>
  <si>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00507</t>
  </si>
  <si>
    <t>TRANSPORTES SCORDINA SA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</si>
  <si>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</si>
  <si>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</si>
  <si>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</si>
  <si>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</si>
  <si>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</si>
  <si>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</si>
  <si>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</si>
  <si>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</si>
  <si>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</si>
  <si>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</si>
  <si>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</si>
  <si>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</si>
  <si>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</si>
  <si>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</si>
  <si>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</si>
  <si>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</si>
  <si>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</si>
  <si>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08677</t>
  </si>
  <si>
    <t>ZAGAS PROFESIONAL SA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</si>
  <si>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</si>
  <si>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</si>
  <si>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</si>
  <si>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</si>
  <si>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</si>
  <si>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</si>
  <si>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</si>
  <si>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</si>
  <si>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</si>
  <si>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</si>
  <si>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</si>
  <si>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</si>
  <si>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</si>
  <si>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</si>
  <si>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</si>
  <si>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</si>
  <si>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</si>
  <si>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</si>
  <si>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</si>
  <si>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</si>
  <si>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</si>
  <si>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</si>
  <si>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</si>
  <si>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</si>
  <si>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</si>
  <si>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</si>
  <si>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</si>
  <si>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</si>
  <si>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</si>
  <si>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</si>
  <si>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</si>
  <si>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</si>
  <si>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</si>
  <si>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</si>
  <si>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</si>
  <si>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</si>
  <si>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</si>
  <si>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</si>
  <si>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</si>
  <si>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</si>
  <si>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</si>
  <si>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</si>
  <si>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</si>
  <si>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</si>
  <si>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</si>
  <si>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</si>
  <si>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</si>
  <si>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</si>
  <si>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</si>
  <si>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</si>
  <si>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</si>
  <si>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</si>
  <si>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</si>
  <si>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</si>
  <si>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</si>
  <si>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</si>
  <si>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</si>
  <si>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</si>
  <si>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</si>
  <si>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</si>
  <si>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</si>
  <si>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</si>
  <si>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</si>
  <si>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</si>
  <si>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</si>
  <si>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</si>
  <si>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</si>
  <si>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</si>
  <si>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</si>
  <si>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</si>
  <si>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</si>
  <si>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</si>
  <si>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</si>
  <si>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</si>
  <si>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</si>
  <si>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</si>
  <si>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</si>
  <si>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</si>
  <si>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</si>
  <si>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</si>
  <si>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</si>
  <si>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</si>
  <si>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</si>
  <si>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</si>
  <si>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</si>
  <si>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</si>
  <si>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</si>
  <si>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</si>
  <si>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</si>
  <si>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</si>
  <si>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REPARACIONES RODADOS</t>
  </si>
  <si>
    <t>PR188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</si>
  <si>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</si>
  <si>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</si>
  <si>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</si>
  <si>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</si>
  <si>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</si>
  <si>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</si>
  <si>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</si>
  <si>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</si>
  <si>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</si>
  <si>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</si>
  <si>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</si>
  <si>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</si>
  <si>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</si>
  <si>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</si>
  <si>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</si>
  <si>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</si>
  <si>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</si>
  <si>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</si>
  <si>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</si>
  <si>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</si>
  <si>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</si>
  <si>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</si>
  <si>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</si>
  <si>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</si>
  <si>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</si>
  <si>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</si>
  <si>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</si>
  <si>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</si>
  <si>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</si>
  <si>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</si>
  <si>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</si>
  <si>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</si>
  <si>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</si>
  <si>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</si>
  <si>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</si>
  <si>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</si>
  <si>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</si>
  <si>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</si>
  <si>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</si>
  <si>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</si>
  <si>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</si>
  <si>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</si>
  <si>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</si>
  <si>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</si>
  <si>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</si>
  <si>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</si>
  <si>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</si>
  <si>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</si>
  <si>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</si>
  <si>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</si>
  <si>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</si>
  <si>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</si>
  <si>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</si>
  <si>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</si>
  <si>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</si>
  <si>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</si>
  <si>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</si>
  <si>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</si>
  <si>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</si>
  <si>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</si>
  <si>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</si>
  <si>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</si>
  <si>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</si>
  <si>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</si>
  <si>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</si>
  <si>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</si>
  <si>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</si>
  <si>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</si>
  <si>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</si>
  <si>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</si>
  <si>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</si>
  <si>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</si>
  <si>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</si>
  <si>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</si>
  <si>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</si>
  <si>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</si>
  <si>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</si>
  <si>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</si>
  <si>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</si>
  <si>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</si>
  <si>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</si>
  <si>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</si>
  <si>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</si>
  <si>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</si>
  <si>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</si>
  <si>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</si>
  <si>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</si>
  <si>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</si>
  <si>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</si>
  <si>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</si>
  <si>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</si>
  <si>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</si>
  <si>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</si>
  <si>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</si>
  <si>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</si>
  <si>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</si>
  <si>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</si>
  <si>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</si>
  <si>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</si>
  <si>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</si>
  <si>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</si>
  <si>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</si>
  <si>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</si>
  <si>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</si>
  <si>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</si>
  <si>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</si>
  <si>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</si>
  <si>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</si>
  <si>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</si>
  <si>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</si>
  <si>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</si>
  <si>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</si>
  <si>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</si>
  <si>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</si>
  <si>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</si>
  <si>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</si>
  <si>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</si>
  <si>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</si>
  <si>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</si>
  <si>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</si>
  <si>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</si>
  <si>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</si>
  <si>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</si>
  <si>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</si>
  <si>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</si>
  <si>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</si>
  <si>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</si>
  <si>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</si>
  <si>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</si>
  <si>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</si>
  <si>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</si>
  <si>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</si>
  <si>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</si>
  <si>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</si>
  <si>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</si>
  <si>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</si>
  <si>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</si>
  <si>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</si>
  <si>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</si>
  <si>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</si>
  <si>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</si>
  <si>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</si>
  <si>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</si>
  <si>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</si>
  <si>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</si>
  <si>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</si>
  <si>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</si>
  <si>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</si>
  <si>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</si>
  <si>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</si>
  <si>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</si>
  <si>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</si>
  <si>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</si>
  <si>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POLIETILENO P/ EXPORTACION</t>
  </si>
  <si>
    <t>PR038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</si>
  <si>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</si>
  <si>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</si>
  <si>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</si>
  <si>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</si>
  <si>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</si>
  <si>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</si>
  <si>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</si>
  <si>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</si>
  <si>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</si>
  <si>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</si>
  <si>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</si>
  <si>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</si>
  <si>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</si>
  <si>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</si>
  <si>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</si>
  <si>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</si>
  <si>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</si>
  <si>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</si>
  <si>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</si>
  <si>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</si>
  <si>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</si>
  <si>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</si>
  <si>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</si>
  <si>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</si>
  <si>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</si>
  <si>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</si>
  <si>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</si>
  <si>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</si>
  <si>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</si>
  <si>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</si>
  <si>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</si>
  <si>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</si>
  <si>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</si>
  <si>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</si>
  <si>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</si>
  <si>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</si>
  <si>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</si>
  <si>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</si>
  <si>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</si>
  <si>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</si>
  <si>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</si>
  <si>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</si>
  <si>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</si>
  <si>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</si>
  <si>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</si>
  <si>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</si>
  <si>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</si>
  <si>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</si>
  <si>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</si>
  <si>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</si>
  <si>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</si>
  <si>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</si>
  <si>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</si>
  <si>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</si>
  <si>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</si>
  <si>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</si>
  <si>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</si>
  <si>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</si>
  <si>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</si>
  <si>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</si>
  <si>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</si>
  <si>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</si>
  <si>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</si>
  <si>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</si>
  <si>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</si>
  <si>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</si>
  <si>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</si>
  <si>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</si>
  <si>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</si>
  <si>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</si>
  <si>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</si>
  <si>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</si>
  <si>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</si>
  <si>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</si>
  <si>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</si>
  <si>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</si>
  <si>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</si>
  <si>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</si>
  <si>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</si>
  <si>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</si>
  <si>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</si>
  <si>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</si>
  <si>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</si>
  <si>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</si>
  <si>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</si>
  <si>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</si>
  <si>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</si>
  <si>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</si>
  <si>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</si>
  <si>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</si>
  <si>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</si>
  <si>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</si>
  <si>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</si>
  <si>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</si>
  <si>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</si>
  <si>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</si>
  <si>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</si>
  <si>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</si>
  <si>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</si>
  <si>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</si>
  <si>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</si>
  <si>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</si>
  <si>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</si>
  <si>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</si>
  <si>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</si>
  <si>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</si>
  <si>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</si>
  <si>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</si>
  <si>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</si>
  <si>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</si>
  <si>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</si>
  <si>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</si>
  <si>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</si>
  <si>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</si>
  <si>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</si>
  <si>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</si>
  <si>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</si>
  <si>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</si>
  <si>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</si>
  <si>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</si>
  <si>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</si>
  <si>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</si>
  <si>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</si>
  <si>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</si>
  <si>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</si>
  <si>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</si>
  <si>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</si>
  <si>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</si>
  <si>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</si>
  <si>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</si>
  <si>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</si>
  <si>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</si>
  <si>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</si>
  <si>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</si>
  <si>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</si>
  <si>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</si>
  <si>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</si>
  <si>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</si>
  <si>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</si>
  <si>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</si>
  <si>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</si>
  <si>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</si>
  <si>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</si>
  <si>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</si>
  <si>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</si>
  <si>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</si>
  <si>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</si>
  <si>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</si>
  <si>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</si>
  <si>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</si>
  <si>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</si>
  <si>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</si>
  <si>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</si>
  <si>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</si>
  <si>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</si>
  <si>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</si>
  <si>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</si>
  <si>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</si>
  <si>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</si>
  <si>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</si>
  <si>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</si>
  <si>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</si>
  <si>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</si>
  <si>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</si>
  <si>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</si>
  <si>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</si>
  <si>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</si>
  <si>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</si>
  <si>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</si>
  <si>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</si>
  <si>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</si>
  <si>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</si>
  <si>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</si>
  <si>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</si>
  <si>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</si>
  <si>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</si>
  <si>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</si>
  <si>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</si>
  <si>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</si>
  <si>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</si>
  <si>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</si>
  <si>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</si>
  <si>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</si>
  <si>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</si>
  <si>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</si>
  <si>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</si>
  <si>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</si>
  <si>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</si>
  <si>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</si>
  <si>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</si>
  <si>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</si>
  <si>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</si>
  <si>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</si>
  <si>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</si>
  <si>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</si>
  <si>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</si>
  <si>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</si>
  <si>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</si>
  <si>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</si>
  <si>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</si>
  <si>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</si>
  <si>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</si>
  <si>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</si>
  <si>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</si>
  <si>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</si>
  <si>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</si>
  <si>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</si>
  <si>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</si>
  <si>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</si>
  <si>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</si>
  <si>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</si>
  <si>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</si>
  <si>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</si>
  <si>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</si>
  <si>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</si>
  <si>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</si>
  <si>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</si>
  <si>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</si>
  <si>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</si>
  <si>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</si>
  <si>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</si>
  <si>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</si>
  <si>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</si>
  <si>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</si>
  <si>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</si>
  <si>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</si>
  <si>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</si>
  <si>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</si>
  <si>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</si>
  <si>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</si>
  <si>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</si>
  <si>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</si>
  <si>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</si>
  <si>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</si>
  <si>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</si>
  <si>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</si>
  <si>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</si>
  <si>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</si>
  <si>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</si>
  <si>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</si>
  <si>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</si>
  <si>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</si>
  <si>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</si>
  <si>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</si>
  <si>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</si>
  <si>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</si>
  <si>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</si>
  <si>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</si>
  <si>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</si>
  <si>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</si>
  <si>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</si>
  <si>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</si>
  <si>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</si>
  <si>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</si>
  <si>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</si>
  <si>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</si>
  <si>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</si>
  <si>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</si>
  <si>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04187</t>
  </si>
  <si>
    <t>ASOCIACION CAMARA DE LA INDUSTRIA PESQUERA ARGENTINA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</si>
  <si>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</si>
  <si>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</si>
  <si>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</si>
  <si>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</si>
  <si>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</si>
  <si>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</si>
  <si>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</si>
  <si>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</si>
  <si>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</si>
  <si>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</si>
  <si>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08399</t>
  </si>
  <si>
    <t>BRASAS JUAN IGNACIO</t>
  </si>
  <si>
    <t>01006</t>
  </si>
  <si>
    <t>CARTONERIA ACEVEDO SACI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</si>
  <si>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</si>
  <si>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</si>
  <si>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</si>
  <si>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</si>
  <si>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</si>
  <si>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</si>
  <si>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</si>
  <si>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</si>
  <si>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</si>
  <si>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</si>
  <si>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</si>
  <si>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</si>
  <si>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</si>
  <si>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</si>
  <si>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</si>
  <si>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</si>
  <si>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</si>
  <si>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</si>
  <si>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</si>
  <si>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</si>
  <si>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</si>
  <si>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</si>
  <si>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</si>
  <si>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</si>
  <si>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</si>
  <si>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</si>
  <si>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</si>
  <si>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</si>
  <si>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</si>
  <si>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</si>
  <si>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</si>
  <si>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</si>
  <si>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</si>
  <si>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</si>
  <si>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</si>
  <si>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</si>
  <si>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</si>
  <si>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</si>
  <si>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</si>
  <si>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</si>
  <si>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09070</t>
  </si>
  <si>
    <t>MORALES ADRIAN LINDOR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</si>
  <si>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</si>
  <si>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</si>
  <si>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</si>
  <si>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</si>
  <si>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</si>
  <si>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</si>
  <si>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</si>
  <si>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</si>
  <si>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</si>
  <si>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</si>
  <si>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</si>
  <si>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</si>
  <si>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</si>
  <si>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</si>
  <si>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</si>
  <si>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</si>
  <si>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</si>
  <si>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</si>
  <si>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</si>
  <si>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</si>
  <si>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</si>
  <si>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</si>
  <si>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</si>
  <si>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</si>
  <si>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</si>
  <si>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</si>
  <si>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</si>
  <si>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</si>
  <si>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</si>
  <si>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</si>
  <si>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</si>
  <si>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</si>
  <si>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</si>
  <si>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</si>
  <si>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</si>
  <si>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</si>
  <si>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</si>
  <si>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</si>
  <si>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07768</t>
  </si>
  <si>
    <t> BCMDP S.A.S</t>
  </si>
  <si>
    <t>SELLADOS DE CERTIFICADOS - COMERCIO EXTERIOR</t>
  </si>
  <si>
    <t>PR190</t>
  </si>
  <si>
    <t>09065</t>
  </si>
  <si>
    <t> L K GLOBAL SA</t>
  </si>
  <si>
    <t>06732</t>
  </si>
  <si>
    <t>ACUPRI S. R. L</t>
  </si>
  <si>
    <t>07521</t>
  </si>
  <si>
    <t>ASCENSORES ULTRA S R L</t>
  </si>
  <si>
    <t>INSTALACION Y MANTINIMIENTO DE ASCENSOR</t>
  </si>
  <si>
    <t>PR173</t>
  </si>
  <si>
    <t>07603</t>
  </si>
  <si>
    <t>BAHIA NUEVA S R L</t>
  </si>
  <si>
    <t>00943</t>
  </si>
  <si>
    <t>BARTOLOMEO ALBERTO ANGEL</t>
  </si>
  <si>
    <t>08032</t>
  </si>
  <si>
    <t>BIOMADRYN</t>
  </si>
  <si>
    <t>09114</t>
  </si>
  <si>
    <t>CAMARA DE ARMADORES DE POTEROS ARGENTINOS (C.A.P.A.)</t>
  </si>
  <si>
    <t>05657</t>
  </si>
  <si>
    <t>DI MEGLIO JUAN JOSE</t>
  </si>
  <si>
    <t>09355</t>
  </si>
  <si>
    <t>DOBLEA REPRESENTACIONES S.R.L.</t>
  </si>
  <si>
    <t>07508</t>
  </si>
  <si>
    <t>ELDEN S.A</t>
  </si>
  <si>
    <t>06807</t>
  </si>
  <si>
    <t>ELECTROTERMA MAR DEL PLATA S.R.L.</t>
  </si>
  <si>
    <t>07921</t>
  </si>
  <si>
    <t>EXTRACTORES TOMASINI SA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</si>
  <si>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</si>
  <si>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</si>
  <si>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</si>
  <si>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</si>
  <si>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</si>
  <si>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</si>
  <si>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</si>
  <si>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</si>
  <si>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</si>
  <si>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</si>
  <si>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07561</t>
  </si>
  <si>
    <t>MARCELO D. RODRIGUEZ CONSULTORES TRIBUTARIOS Y AUDITORES ASOCIADOS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</si>
  <si>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</si>
  <si>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</si>
  <si>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</si>
  <si>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</si>
  <si>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</si>
  <si>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</si>
  <si>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</si>
  <si>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</si>
  <si>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</si>
  <si>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</si>
  <si>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05903</t>
  </si>
  <si>
    <t>RIZZARDI PABLO ANGEL</t>
  </si>
  <si>
    <t>09616</t>
  </si>
  <si>
    <t>RODRIGUEZ ALEJANDRO DANIEL</t>
  </si>
  <si>
    <t>02934</t>
  </si>
  <si>
    <t>SULE FERNANDO JOSE</t>
  </si>
  <si>
    <t>09599</t>
  </si>
  <si>
    <t>VALVTRONIC SA</t>
  </si>
  <si>
    <t>WATER NAVAL 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</si>
</sst>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104" activePane="bottomLeft" state="frozen"/>
      <selection activeCell="A3" sqref="A3"/>
      <selection pane="bottomLeft" activeCell="D109" sqref="D10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4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4">
        <v>2600000</v>
      </c>
      <c r="AC4" s="64">
        <v>6975000</v>
      </c>
      <c r="AD4" s="64">
        <v>159934</v>
      </c>
      <c r="AE4" s="64">
        <v>2044803</v>
      </c>
      <c r="AF4" s="64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4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4">
        <v>2600000</v>
      </c>
      <c r="AC5" s="64">
        <v>6975000</v>
      </c>
      <c r="AD5" s="64">
        <v>159934</v>
      </c>
      <c r="AE5" s="64">
        <v>2044803</v>
      </c>
      <c r="AF5" s="64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4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4">
        <v>2600000</v>
      </c>
      <c r="AC6" s="64">
        <v>6975000</v>
      </c>
      <c r="AD6" s="64">
        <v>159934</v>
      </c>
      <c r="AE6" s="64">
        <v>2044803</v>
      </c>
      <c r="AF6" s="64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4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4">
        <v>2600000</v>
      </c>
      <c r="AC7" s="64">
        <v>6975000</v>
      </c>
      <c r="AD7" s="64">
        <v>159934</v>
      </c>
      <c r="AE7" s="64">
        <v>2344803</v>
      </c>
      <c r="AF7" s="64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4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4">
        <v>2600000</v>
      </c>
      <c r="AC8" s="64">
        <v>6975000</v>
      </c>
      <c r="AD8" s="64">
        <v>159934</v>
      </c>
      <c r="AE8" s="64">
        <v>2344803</v>
      </c>
      <c r="AF8" s="64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4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4">
        <v>2600000</v>
      </c>
      <c r="AC9" s="64">
        <v>6975000</v>
      </c>
      <c r="AD9" s="64">
        <v>159934</v>
      </c>
      <c r="AE9" s="64">
        <v>2344803</v>
      </c>
      <c r="AF9" s="64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4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4">
        <v>2600000</v>
      </c>
      <c r="AC10" s="64">
        <v>6975000</v>
      </c>
      <c r="AD10" s="64">
        <v>159934</v>
      </c>
      <c r="AE10" s="64">
        <v>2344803</v>
      </c>
      <c r="AF10" s="64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4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4">
        <v>2600000</v>
      </c>
      <c r="AC11" s="64">
        <v>6975000</v>
      </c>
      <c r="AD11" s="64">
        <v>159934</v>
      </c>
      <c r="AE11" s="64">
        <v>2344803</v>
      </c>
      <c r="AF11" s="64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4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4">
        <v>2600000</v>
      </c>
      <c r="AC12" s="64">
        <v>6975000</v>
      </c>
      <c r="AD12" s="64">
        <v>159934</v>
      </c>
      <c r="AE12" s="64">
        <v>2194803</v>
      </c>
      <c r="AF12" s="64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4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4">
        <v>2600000</v>
      </c>
      <c r="AC13" s="64">
        <v>6975000</v>
      </c>
      <c r="AD13" s="64">
        <v>159934</v>
      </c>
      <c r="AE13" s="64">
        <v>2194803</v>
      </c>
      <c r="AF13" s="64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4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4">
        <v>2600000</v>
      </c>
      <c r="AC14" s="64">
        <v>6975000</v>
      </c>
      <c r="AD14" s="64">
        <v>159934</v>
      </c>
      <c r="AE14" s="64">
        <v>2194803</v>
      </c>
      <c r="AF14" s="64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4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4">
        <v>2600000</v>
      </c>
      <c r="AC15" s="64">
        <v>6975000</v>
      </c>
      <c r="AD15" s="64">
        <v>159934</v>
      </c>
      <c r="AE15" s="64">
        <v>2194803</v>
      </c>
      <c r="AF15" s="64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4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4">
        <v>2600000</v>
      </c>
      <c r="AC16" s="64">
        <v>6975000</v>
      </c>
      <c r="AD16" s="64">
        <v>159934</v>
      </c>
      <c r="AE16" s="64">
        <v>2194803</v>
      </c>
      <c r="AF16" s="64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4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4">
        <v>2600000</v>
      </c>
      <c r="AC17" s="64">
        <v>6975000</v>
      </c>
      <c r="AD17" s="64">
        <v>159934</v>
      </c>
      <c r="AE17" s="64">
        <v>2194803</v>
      </c>
      <c r="AF17" s="64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4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4">
        <v>2600000</v>
      </c>
      <c r="AC18" s="64">
        <v>8975000</v>
      </c>
      <c r="AD18" s="64">
        <v>159934</v>
      </c>
      <c r="AE18" s="64">
        <v>2194803</v>
      </c>
      <c r="AF18" s="64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4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4">
        <v>2600000</v>
      </c>
      <c r="AC19" s="64">
        <v>7975000</v>
      </c>
      <c r="AD19" s="64">
        <v>159934</v>
      </c>
      <c r="AE19" s="64">
        <v>2194803</v>
      </c>
      <c r="AF19" s="64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4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4">
        <v>2600000</v>
      </c>
      <c r="AC20" s="64">
        <v>7975000</v>
      </c>
      <c r="AD20" s="64">
        <v>159934</v>
      </c>
      <c r="AE20" s="64">
        <v>2194803</v>
      </c>
      <c r="AF20" s="64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4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4">
        <v>2600000</v>
      </c>
      <c r="AC21" s="64">
        <v>7000000</v>
      </c>
      <c r="AD21" s="64">
        <v>159934</v>
      </c>
      <c r="AE21" s="64">
        <v>340000</v>
      </c>
      <c r="AF21" s="64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4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4">
        <v>2600000</v>
      </c>
      <c r="AC22" s="64">
        <v>7000000</v>
      </c>
      <c r="AD22" s="64">
        <v>159934</v>
      </c>
      <c r="AE22" s="64">
        <v>2194803</v>
      </c>
      <c r="AF22" s="64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4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4">
        <v>2600000</v>
      </c>
      <c r="AC23" s="64">
        <v>7000000</v>
      </c>
      <c r="AD23" s="64">
        <v>159934</v>
      </c>
      <c r="AE23" s="64">
        <v>2194803</v>
      </c>
      <c r="AF23" s="64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4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4">
        <v>2600000</v>
      </c>
      <c r="AC24" s="64">
        <v>7000000</v>
      </c>
      <c r="AD24" s="64">
        <v>159934</v>
      </c>
      <c r="AE24" s="64">
        <v>2194803</v>
      </c>
      <c r="AF24" s="64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4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4">
        <v>2600000</v>
      </c>
      <c r="AC25" s="64">
        <v>7000000</v>
      </c>
      <c r="AD25" s="64">
        <v>159934</v>
      </c>
      <c r="AE25" s="64">
        <v>2194803</v>
      </c>
      <c r="AF25" s="64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4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4">
        <v>2600000</v>
      </c>
      <c r="AC26" s="64">
        <v>7000000</v>
      </c>
      <c r="AD26" s="64">
        <v>159934</v>
      </c>
      <c r="AE26" s="64">
        <v>2194803</v>
      </c>
      <c r="AF26" s="64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4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4">
        <v>2600000</v>
      </c>
      <c r="AC27" s="64">
        <v>7000000</v>
      </c>
      <c r="AD27" s="64">
        <v>159934</v>
      </c>
      <c r="AE27" s="64">
        <v>340000</v>
      </c>
      <c r="AF27" s="64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4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4">
        <v>2600000</v>
      </c>
      <c r="AC28" s="64">
        <v>7000000</v>
      </c>
      <c r="AD28" s="64">
        <v>159934</v>
      </c>
      <c r="AE28" s="64">
        <v>340000</v>
      </c>
      <c r="AF28" s="64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4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4">
        <v>1891000</v>
      </c>
      <c r="AC29" s="64">
        <v>7000000</v>
      </c>
      <c r="AD29" s="64">
        <v>159934</v>
      </c>
      <c r="AE29" s="64">
        <v>340000</v>
      </c>
      <c r="AF29" s="64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4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4">
        <v>1891000</v>
      </c>
      <c r="AC30" s="64">
        <v>7000000</v>
      </c>
      <c r="AD30" s="64">
        <v>159934</v>
      </c>
      <c r="AE30" s="64">
        <v>340000</v>
      </c>
      <c r="AF30" s="64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4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4">
        <v>1891000</v>
      </c>
      <c r="AC31" s="64">
        <v>7000000</v>
      </c>
      <c r="AD31" s="64">
        <v>159934</v>
      </c>
      <c r="AE31" s="64">
        <v>340000</v>
      </c>
      <c r="AF31" s="64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4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4">
        <v>2069775.5603799999</v>
      </c>
      <c r="AC32" s="64">
        <v>7000000</v>
      </c>
      <c r="AD32" s="64">
        <v>159934</v>
      </c>
      <c r="AE32" s="64">
        <v>160000</v>
      </c>
      <c r="AF32" s="64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4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4">
        <v>2069775.5603799999</v>
      </c>
      <c r="AC33" s="64">
        <v>7000000</v>
      </c>
      <c r="AD33" s="64">
        <v>159934</v>
      </c>
      <c r="AE33" s="64">
        <v>160000</v>
      </c>
      <c r="AF33" s="64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4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4">
        <v>2069775.5603799999</v>
      </c>
      <c r="AC34" s="64">
        <v>7000000</v>
      </c>
      <c r="AD34" s="64">
        <v>159934</v>
      </c>
      <c r="AE34" s="64">
        <v>160000</v>
      </c>
      <c r="AF34" s="64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4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4">
        <v>2069775.5603799999</v>
      </c>
      <c r="AC35" s="64">
        <v>7000000</v>
      </c>
      <c r="AD35" s="64">
        <v>159934</v>
      </c>
      <c r="AE35" s="64">
        <v>160000</v>
      </c>
      <c r="AF35" s="64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4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4">
        <v>2069775.5603799999</v>
      </c>
      <c r="AC36" s="64">
        <v>7000000</v>
      </c>
      <c r="AD36" s="64">
        <v>91766.133942161294</v>
      </c>
      <c r="AE36" s="64">
        <v>160000</v>
      </c>
      <c r="AF36" s="64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4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4">
        <v>2069775.5603799999</v>
      </c>
      <c r="AC37" s="64">
        <v>7000000</v>
      </c>
      <c r="AD37" s="64">
        <v>91766.133942161294</v>
      </c>
      <c r="AE37" s="64">
        <v>160000</v>
      </c>
      <c r="AF37" s="64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4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4">
        <v>2069775.5603799999</v>
      </c>
      <c r="AC38" s="64">
        <v>7000000</v>
      </c>
      <c r="AD38" s="64">
        <v>91766.133942161294</v>
      </c>
      <c r="AE38" s="64">
        <v>160000</v>
      </c>
      <c r="AF38" s="64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4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4">
        <v>2069775.5603799999</v>
      </c>
      <c r="AC39" s="64">
        <v>7000000</v>
      </c>
      <c r="AD39" s="64">
        <v>91766.133942161294</v>
      </c>
      <c r="AE39" s="64">
        <v>160000</v>
      </c>
      <c r="AF39" s="64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4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4">
        <v>2069775.5603799999</v>
      </c>
      <c r="AC40" s="64">
        <v>8000000</v>
      </c>
      <c r="AD40" s="64">
        <v>121516.133942161</v>
      </c>
      <c r="AE40" s="64">
        <v>160000</v>
      </c>
      <c r="AF40" s="64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4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4">
        <v>2069775.5603799999</v>
      </c>
      <c r="AC41" s="64">
        <v>8000000</v>
      </c>
      <c r="AD41" s="64">
        <v>121516.133942161</v>
      </c>
      <c r="AE41" s="64">
        <v>160000</v>
      </c>
      <c r="AF41" s="64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4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4">
        <v>2069775.5603799999</v>
      </c>
      <c r="AC42" s="64">
        <v>8000000</v>
      </c>
      <c r="AD42" s="64">
        <v>121516.133942161</v>
      </c>
      <c r="AE42" s="64">
        <v>160000</v>
      </c>
      <c r="AF42" s="64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4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4">
        <v>2069775.5603799999</v>
      </c>
      <c r="AC43" s="64">
        <v>8000000</v>
      </c>
      <c r="AD43" s="64">
        <v>121807.80060882799</v>
      </c>
      <c r="AE43" s="64">
        <v>160000</v>
      </c>
      <c r="AF43" s="64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4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4">
        <v>2069775.5603799999</v>
      </c>
      <c r="AC44" s="64">
        <v>8000000</v>
      </c>
      <c r="AD44" s="64">
        <v>121807.80060882799</v>
      </c>
      <c r="AE44" s="64">
        <v>160000</v>
      </c>
      <c r="AF44" s="64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4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4">
        <v>2069775.5603799999</v>
      </c>
      <c r="AC45" s="64">
        <v>8000000</v>
      </c>
      <c r="AD45" s="64">
        <v>121807.80060882799</v>
      </c>
      <c r="AE45" s="64">
        <v>160000</v>
      </c>
      <c r="AF45" s="64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4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4">
        <v>2069775.5603799999</v>
      </c>
      <c r="AC46" s="64">
        <v>9000000</v>
      </c>
      <c r="AD46" s="64">
        <v>121807.80060882799</v>
      </c>
      <c r="AE46" s="64">
        <v>160000</v>
      </c>
      <c r="AF46" s="64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4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4">
        <v>2069775.5603799999</v>
      </c>
      <c r="AC47" s="64">
        <v>9000000</v>
      </c>
      <c r="AD47" s="64">
        <v>141199.467275495</v>
      </c>
      <c r="AE47" s="64">
        <v>160000</v>
      </c>
      <c r="AF47" s="64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4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4">
        <v>2069775.5603799999</v>
      </c>
      <c r="AC48" s="64">
        <v>9000000</v>
      </c>
      <c r="AD48" s="64">
        <v>141199.467275495</v>
      </c>
      <c r="AE48" s="64">
        <v>160000</v>
      </c>
      <c r="AF48" s="64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4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4">
        <v>1250975</v>
      </c>
      <c r="AC49" s="64">
        <v>9000000</v>
      </c>
      <c r="AD49" s="64">
        <v>141199.467275495</v>
      </c>
      <c r="AE49" s="64">
        <v>160000</v>
      </c>
      <c r="AF49" s="64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4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4">
        <v>1250975</v>
      </c>
      <c r="AC50" s="64">
        <v>9000000</v>
      </c>
      <c r="AD50" s="64">
        <v>141199.467275495</v>
      </c>
      <c r="AE50" s="64">
        <v>160000</v>
      </c>
      <c r="AF50" s="64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4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4">
        <v>1228556.9603800001</v>
      </c>
      <c r="AC51" s="64">
        <v>9000000</v>
      </c>
      <c r="AD51" s="64">
        <v>141199.467275495</v>
      </c>
      <c r="AE51" s="64">
        <v>160000</v>
      </c>
      <c r="AF51" s="64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4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4">
        <v>1228556.9603800001</v>
      </c>
      <c r="AC52" s="64">
        <v>9000000</v>
      </c>
      <c r="AD52" s="64">
        <v>141199.467275495</v>
      </c>
      <c r="AE52" s="64">
        <v>160000</v>
      </c>
      <c r="AF52" s="64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4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4">
        <v>1228556.9603800001</v>
      </c>
      <c r="AC53" s="64">
        <v>9000000</v>
      </c>
      <c r="AD53" s="64">
        <v>141199.467275495</v>
      </c>
      <c r="AE53" s="64">
        <v>160000</v>
      </c>
      <c r="AF53" s="64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4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4">
        <v>1228556.9603800001</v>
      </c>
      <c r="AC54" s="64">
        <v>9000000</v>
      </c>
      <c r="AD54" s="64">
        <v>141199.467275495</v>
      </c>
      <c r="AE54" s="64">
        <v>160000</v>
      </c>
      <c r="AF54" s="64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4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4">
        <v>1228556.9603800001</v>
      </c>
      <c r="AC55" s="64">
        <v>9000000</v>
      </c>
      <c r="AD55" s="64">
        <v>141199.467275495</v>
      </c>
      <c r="AE55" s="64">
        <v>160000</v>
      </c>
      <c r="AF55" s="64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4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4">
        <v>1186423.85038</v>
      </c>
      <c r="AC56" s="64">
        <v>9000000</v>
      </c>
      <c r="AD56" s="64">
        <v>141199.467275495</v>
      </c>
      <c r="AE56" s="64">
        <v>160000</v>
      </c>
      <c r="AF56" s="64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4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4">
        <v>1186423.85038</v>
      </c>
      <c r="AC57" s="64">
        <v>9000000</v>
      </c>
      <c r="AD57" s="64">
        <v>141199.467275495</v>
      </c>
      <c r="AE57" s="64">
        <v>160000</v>
      </c>
      <c r="AF57" s="64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4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4">
        <v>1261501.4325300001</v>
      </c>
      <c r="AC58" s="64">
        <v>9000000</v>
      </c>
      <c r="AD58" s="64">
        <v>141199.467275495</v>
      </c>
      <c r="AE58" s="64">
        <v>160000</v>
      </c>
      <c r="AF58" s="64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4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4">
        <v>1173173.7125299999</v>
      </c>
      <c r="AC59" s="64">
        <v>9000000</v>
      </c>
      <c r="AD59" s="64">
        <v>141199.467275495</v>
      </c>
      <c r="AE59" s="64">
        <v>160000</v>
      </c>
      <c r="AF59" s="64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4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4">
        <v>1043837.65169</v>
      </c>
      <c r="AC60" s="64">
        <v>9000000</v>
      </c>
      <c r="AD60" s="64">
        <v>141199.467275495</v>
      </c>
      <c r="AE60" s="64">
        <v>160000</v>
      </c>
      <c r="AF60" s="64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4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4">
        <v>1043837.65169</v>
      </c>
      <c r="AC61" s="64">
        <v>9000000</v>
      </c>
      <c r="AD61" s="64">
        <v>141199.467275495</v>
      </c>
      <c r="AE61" s="64">
        <v>160000</v>
      </c>
      <c r="AF61" s="64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4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4">
        <v>1043837.65169</v>
      </c>
      <c r="AC62" s="64">
        <v>9000000</v>
      </c>
      <c r="AD62" s="64">
        <v>141199.467275495</v>
      </c>
      <c r="AE62" s="64">
        <v>160000</v>
      </c>
      <c r="AF62" s="64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4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4">
        <v>1043837.65169</v>
      </c>
      <c r="AC63" s="64">
        <v>9000000</v>
      </c>
      <c r="AD63" s="64">
        <v>141199.467275495</v>
      </c>
      <c r="AE63" s="64">
        <v>160000</v>
      </c>
      <c r="AF63" s="64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4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4">
        <v>1043837.65169</v>
      </c>
      <c r="AC64" s="64">
        <v>9000000</v>
      </c>
      <c r="AD64" s="64">
        <v>141199.467275495</v>
      </c>
      <c r="AE64" s="64">
        <v>160000</v>
      </c>
      <c r="AF64" s="64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4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4">
        <v>1043837.65169</v>
      </c>
      <c r="AC65" s="64">
        <v>9000000</v>
      </c>
      <c r="AD65" s="64">
        <v>141199.467275495</v>
      </c>
      <c r="AE65" s="64">
        <v>160000</v>
      </c>
      <c r="AF65" s="64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4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4">
        <v>5323936474</v>
      </c>
      <c r="AB66" s="64">
        <v>1043837.65169</v>
      </c>
      <c r="AC66" s="64">
        <v>9000000</v>
      </c>
      <c r="AD66" s="64">
        <v>141199.467275495</v>
      </c>
      <c r="AE66" s="64">
        <v>160000</v>
      </c>
      <c r="AF66" s="64">
        <v>15805699.747</v>
      </c>
      <c r="AG66" s="64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4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4">
        <v>5326477214</v>
      </c>
      <c r="AB67" s="64">
        <v>1043837.65169</v>
      </c>
      <c r="AC67" s="64">
        <v>9000000</v>
      </c>
      <c r="AD67" s="64">
        <v>141199.467275495</v>
      </c>
      <c r="AE67" s="64">
        <v>160000</v>
      </c>
      <c r="AF67" s="64">
        <v>14987064.137</v>
      </c>
      <c r="AG67" s="64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4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4">
        <v>5326477214</v>
      </c>
      <c r="AB68" s="64">
        <v>1073356.5716899999</v>
      </c>
      <c r="AC68" s="64">
        <v>9000000</v>
      </c>
      <c r="AD68" s="64">
        <v>141199.467275495</v>
      </c>
      <c r="AE68" s="64">
        <v>160000</v>
      </c>
      <c r="AF68" s="64">
        <v>15105321.484999999</v>
      </c>
      <c r="AG68" s="64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4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4">
        <v>4452570427</v>
      </c>
      <c r="AB69" s="64">
        <v>1073356.5716899999</v>
      </c>
      <c r="AC69" s="64">
        <v>9000000</v>
      </c>
      <c r="AD69" s="64">
        <v>141199.467275495</v>
      </c>
      <c r="AE69" s="64">
        <v>160000</v>
      </c>
      <c r="AF69" s="64">
        <v>15276296.839</v>
      </c>
      <c r="AG69" s="64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4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4">
        <v>4251587803</v>
      </c>
      <c r="AB70" s="64">
        <v>1073356.5716899999</v>
      </c>
      <c r="AC70" s="64">
        <v>9000000</v>
      </c>
      <c r="AD70" s="64">
        <v>141199.467275495</v>
      </c>
      <c r="AE70" s="64">
        <v>160000</v>
      </c>
      <c r="AF70" s="64">
        <v>15276296.839</v>
      </c>
      <c r="AG70" s="64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4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4">
        <v>4290166643</v>
      </c>
      <c r="AB71" s="64">
        <v>1146353.5376899999</v>
      </c>
      <c r="AC71" s="64">
        <v>9000000</v>
      </c>
      <c r="AD71" s="64">
        <v>141199.467275495</v>
      </c>
      <c r="AE71" s="64">
        <v>160000</v>
      </c>
      <c r="AF71" s="64">
        <v>16078914.694499999</v>
      </c>
      <c r="AG71" s="64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4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4">
        <v>4379298833</v>
      </c>
      <c r="AB72" s="64">
        <v>1146353.5376899999</v>
      </c>
      <c r="AC72" s="64">
        <v>9000000</v>
      </c>
      <c r="AD72" s="64">
        <v>141199.467275495</v>
      </c>
      <c r="AE72" s="64">
        <v>160000</v>
      </c>
      <c r="AF72" s="64">
        <v>16224100.4625</v>
      </c>
      <c r="AG72" s="64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4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4">
        <v>4712030319</v>
      </c>
      <c r="AB73" s="64">
        <v>1146353.5376899999</v>
      </c>
      <c r="AC73" s="64">
        <v>9000000</v>
      </c>
      <c r="AD73" s="64">
        <v>141199.467275495</v>
      </c>
      <c r="AE73" s="64">
        <v>160000</v>
      </c>
      <c r="AF73" s="64">
        <v>16778257.956500001</v>
      </c>
      <c r="AG73" s="64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4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4">
        <v>4694734694</v>
      </c>
      <c r="AB74" s="64">
        <v>1197403.0916899999</v>
      </c>
      <c r="AC74" s="64">
        <v>9000000</v>
      </c>
      <c r="AD74" s="64">
        <v>141199.467275495</v>
      </c>
      <c r="AE74" s="64">
        <v>160000</v>
      </c>
      <c r="AF74" s="64">
        <v>17866546.067499999</v>
      </c>
      <c r="AG74" s="64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4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4">
        <v>5547195047</v>
      </c>
      <c r="AB75" s="64">
        <v>1197403.0916899999</v>
      </c>
      <c r="AC75" s="64">
        <v>9000000</v>
      </c>
      <c r="AD75" s="64">
        <v>141199.467275495</v>
      </c>
      <c r="AE75" s="64">
        <v>160000</v>
      </c>
      <c r="AF75" s="64">
        <v>19735952.995499998</v>
      </c>
      <c r="AG75" s="64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4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4">
        <v>5696016937</v>
      </c>
      <c r="AB76" s="64">
        <v>1197403.0916899999</v>
      </c>
      <c r="AC76" s="64">
        <v>9000000</v>
      </c>
      <c r="AD76" s="64">
        <v>141199.467275495</v>
      </c>
      <c r="AE76" s="64">
        <v>160000</v>
      </c>
      <c r="AF76" s="64">
        <v>20113367.468499999</v>
      </c>
      <c r="AG76" s="64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4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4">
        <v>6059237792</v>
      </c>
      <c r="AB77" s="64">
        <v>1197403.0916899999</v>
      </c>
      <c r="AC77" s="64">
        <v>9000000</v>
      </c>
      <c r="AD77" s="64">
        <v>141199.467275495</v>
      </c>
      <c r="AE77" s="64">
        <v>160000</v>
      </c>
      <c r="AF77" s="64">
        <v>20113367.468499999</v>
      </c>
      <c r="AG77" s="64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4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4">
        <v>6734890193</v>
      </c>
      <c r="AB78" s="64">
        <v>1197403.0916899999</v>
      </c>
      <c r="AC78" s="64">
        <v>9000000</v>
      </c>
      <c r="AD78" s="64">
        <v>141199.467275495</v>
      </c>
      <c r="AE78" s="64">
        <v>160000</v>
      </c>
      <c r="AF78" s="64">
        <v>10799849.478499999</v>
      </c>
      <c r="AG78" s="64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4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4">
        <v>6714755409</v>
      </c>
      <c r="AB79" s="64">
        <v>1197403.0916899999</v>
      </c>
      <c r="AC79" s="64">
        <v>9000000</v>
      </c>
      <c r="AD79" s="64">
        <v>141199.467275495</v>
      </c>
      <c r="AE79" s="64">
        <v>280000</v>
      </c>
      <c r="AF79" s="64">
        <v>11061867.478499999</v>
      </c>
      <c r="AG79" s="64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4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4">
        <v>6871897895</v>
      </c>
      <c r="AB80" s="64">
        <v>1196248.61769</v>
      </c>
      <c r="AC80" s="64">
        <v>9000000</v>
      </c>
      <c r="AD80" s="64">
        <v>141199.467275495</v>
      </c>
      <c r="AE80" s="64">
        <v>280000</v>
      </c>
      <c r="AF80" s="64">
        <v>11210473.578500001</v>
      </c>
      <c r="AG80" s="64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4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4">
        <v>7025155800</v>
      </c>
      <c r="AB81" s="64">
        <v>1196248.61769</v>
      </c>
      <c r="AC81" s="64">
        <v>9000000</v>
      </c>
      <c r="AD81" s="64">
        <v>141199.467275495</v>
      </c>
      <c r="AE81" s="64">
        <v>280000</v>
      </c>
      <c r="AF81" s="64">
        <v>12797567.936000001</v>
      </c>
      <c r="AG81" s="64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4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4">
        <v>7174765725</v>
      </c>
      <c r="AB82" s="64">
        <v>1196248.61769</v>
      </c>
      <c r="AC82" s="64">
        <v>9000000</v>
      </c>
      <c r="AD82" s="64">
        <v>141199.467275495</v>
      </c>
      <c r="AE82" s="64">
        <v>280000</v>
      </c>
      <c r="AF82" s="64">
        <v>12657303.614</v>
      </c>
      <c r="AG82" s="64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4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4">
        <v>6689223249</v>
      </c>
      <c r="AB83" s="64">
        <v>1196248.61769</v>
      </c>
      <c r="AC83" s="64">
        <v>9000000</v>
      </c>
      <c r="AD83" s="64">
        <v>141199.47</v>
      </c>
      <c r="AE83" s="64">
        <v>280000</v>
      </c>
      <c r="AF83" s="64">
        <v>12737370.011500001</v>
      </c>
      <c r="AG83" s="64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4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4">
        <v>6649944967</v>
      </c>
      <c r="AB84" s="64">
        <v>1196248.61769</v>
      </c>
      <c r="AC84" s="64">
        <v>10000000</v>
      </c>
      <c r="AD84" s="64">
        <v>141199.47</v>
      </c>
      <c r="AE84" s="64">
        <v>280000</v>
      </c>
      <c r="AF84" s="64">
        <v>12946008.067500001</v>
      </c>
      <c r="AG84" s="64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4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4">
        <v>5996923699</v>
      </c>
      <c r="AB85" s="64">
        <v>1100365.03789</v>
      </c>
      <c r="AC85" s="64">
        <v>10000000</v>
      </c>
      <c r="AD85" s="64">
        <v>141199.47</v>
      </c>
      <c r="AE85" s="64">
        <v>280000</v>
      </c>
      <c r="AF85" s="64">
        <v>12953741.867500002</v>
      </c>
      <c r="AG85" s="64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4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4">
        <v>6063339939</v>
      </c>
      <c r="AB86" s="64">
        <v>1100365.03789</v>
      </c>
      <c r="AC86" s="64">
        <v>10000000</v>
      </c>
      <c r="AD86" s="64">
        <v>141199.47</v>
      </c>
      <c r="AE86" s="64">
        <v>280000</v>
      </c>
      <c r="AF86" s="64">
        <v>12416677.031000001</v>
      </c>
      <c r="AG86" s="64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4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4">
        <f>+'[1]CF Dia V1'!$CJ$102</f>
        <v>6063777655</v>
      </c>
      <c r="AB87" s="64">
        <f>+'[1]CF Dia V1'!$CJ$103</f>
        <v>1100365.03789</v>
      </c>
      <c r="AC87" s="64">
        <f>+'[1]CF Dia V1'!$CJ$105</f>
        <v>10000000</v>
      </c>
      <c r="AD87" s="64">
        <f>+'[1]CF Dia V1'!$CJ$106</f>
        <v>141199.46727549468</v>
      </c>
      <c r="AE87" s="64">
        <f>+'[1]CF Dia V1'!$CJ$107</f>
        <v>280000</v>
      </c>
      <c r="AF87" s="64">
        <f>+'[1]CF Dia V1'!$CJ$97</f>
        <v>12457096.382999999</v>
      </c>
      <c r="AG87" s="64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4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4">
        <f>+'[1]CF Dia V1'!$CK$102</f>
        <v>5851473775</v>
      </c>
      <c r="AB88" s="64">
        <f>+'[1]CF Dia V1'!$CK$103</f>
        <v>1100365.03789</v>
      </c>
      <c r="AC88" s="64">
        <f>+'[1]CF Dia V1'!$CK$105</f>
        <v>10000000</v>
      </c>
      <c r="AD88" s="64">
        <v>220000</v>
      </c>
      <c r="AE88" s="64">
        <f>+'[1]CF Dia V1'!$CK$107</f>
        <v>280000</v>
      </c>
      <c r="AF88" s="64">
        <f>+'[1]CF Dia V1'!$CK$97</f>
        <v>13310282.683</v>
      </c>
      <c r="AG88" s="64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4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4">
        <v>5792810924</v>
      </c>
      <c r="AB89" s="64">
        <v>1048306.3957399999</v>
      </c>
      <c r="AC89" s="64">
        <v>10000000</v>
      </c>
      <c r="AD89" s="64">
        <v>220000</v>
      </c>
      <c r="AE89" s="64">
        <v>280000</v>
      </c>
      <c r="AF89" s="64">
        <v>11256610.555</v>
      </c>
      <c r="AG89" s="64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4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4">
        <v>6003601474</v>
      </c>
      <c r="AB90" s="64">
        <f t="shared" ref="AB90:AB95" si="0">+AB89</f>
        <v>1048306.3957399999</v>
      </c>
      <c r="AC90" s="64">
        <v>10000000</v>
      </c>
      <c r="AD90" s="64">
        <v>220000</v>
      </c>
      <c r="AE90" s="64">
        <v>280000</v>
      </c>
      <c r="AF90" s="64">
        <v>9237646.2980000023</v>
      </c>
      <c r="AG90" s="64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4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4">
        <f>+'[1]CF Dia V1'!$CN$102</f>
        <v>6003847969</v>
      </c>
      <c r="AB91" s="64">
        <f t="shared" si="0"/>
        <v>1048306.3957399999</v>
      </c>
      <c r="AC91" s="64">
        <f t="shared" ref="AC91:AE92" si="2">+AC90</f>
        <v>10000000</v>
      </c>
      <c r="AD91" s="64">
        <f t="shared" si="2"/>
        <v>220000</v>
      </c>
      <c r="AE91" s="64">
        <f t="shared" si="2"/>
        <v>280000</v>
      </c>
      <c r="AF91" s="64">
        <f>+'[1]CF Dia V1'!$CN$97</f>
        <v>9255314.4630000032</v>
      </c>
      <c r="AG91" s="64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4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4">
        <f>+'[1]CF Dia V1'!$CO$102</f>
        <v>6263281746</v>
      </c>
      <c r="AB92" s="64">
        <f t="shared" si="0"/>
        <v>1048306.3957399999</v>
      </c>
      <c r="AC92" s="64">
        <f t="shared" si="2"/>
        <v>10000000</v>
      </c>
      <c r="AD92" s="64">
        <f t="shared" si="2"/>
        <v>220000</v>
      </c>
      <c r="AE92" s="64">
        <f t="shared" si="2"/>
        <v>280000</v>
      </c>
      <c r="AF92" s="64">
        <f>+'[1]CF Dia V1'!$CO$97</f>
        <v>9079082.2650000025</v>
      </c>
      <c r="AG92" s="64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4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4">
        <f>+'[1]CF Dia V1'!$CP$102</f>
        <v>5815616379</v>
      </c>
      <c r="AB93" s="64">
        <f t="shared" si="0"/>
        <v>1048306.3957399999</v>
      </c>
      <c r="AC93" s="64">
        <f t="shared" ref="AC93:AE94" si="3">+AC92</f>
        <v>10000000</v>
      </c>
      <c r="AD93" s="64">
        <f t="shared" si="3"/>
        <v>220000</v>
      </c>
      <c r="AE93" s="64">
        <f t="shared" si="3"/>
        <v>280000</v>
      </c>
      <c r="AF93" s="64">
        <f>+'[1]CF Dia V1'!$CP$97</f>
        <v>10753652</v>
      </c>
      <c r="AG93" s="64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4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4">
        <f>+'[1]CF Dia V1'!$CQ$102</f>
        <v>5807216200</v>
      </c>
      <c r="AB94" s="64">
        <f t="shared" si="0"/>
        <v>1048306.3957399999</v>
      </c>
      <c r="AC94" s="64">
        <f t="shared" si="3"/>
        <v>10000000</v>
      </c>
      <c r="AD94" s="64">
        <f t="shared" si="3"/>
        <v>220000</v>
      </c>
      <c r="AE94" s="64">
        <f t="shared" si="3"/>
        <v>280000</v>
      </c>
      <c r="AF94" s="64">
        <f>+'[1]CF Dia V1'!$CQ$97</f>
        <v>10972527.037500003</v>
      </c>
      <c r="AG94" s="64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4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4">
        <f>+'[1]CF Dia V1'!$CR$102</f>
        <v>5719924121</v>
      </c>
      <c r="AB95" s="64">
        <f t="shared" si="0"/>
        <v>1048306.3957399999</v>
      </c>
      <c r="AC95" s="64">
        <f t="shared" ref="AC95:AE96" si="4">+AC94</f>
        <v>10000000</v>
      </c>
      <c r="AD95" s="64">
        <f t="shared" si="4"/>
        <v>220000</v>
      </c>
      <c r="AE95" s="64">
        <f t="shared" si="4"/>
        <v>280000</v>
      </c>
      <c r="AF95" s="64">
        <f>+'[1]CF Dia V1'!$CR$97</f>
        <v>10949887.950000001</v>
      </c>
      <c r="AG95" s="64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4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4">
        <f>+'[1]CF Dia V1'!$CS$102</f>
        <v>4896254184</v>
      </c>
      <c r="AB96" s="64">
        <f>+AB95</f>
        <v>1048306.3957399999</v>
      </c>
      <c r="AC96" s="64">
        <f t="shared" si="4"/>
        <v>10000000</v>
      </c>
      <c r="AD96" s="64">
        <f t="shared" si="4"/>
        <v>220000</v>
      </c>
      <c r="AE96" s="64">
        <f t="shared" si="4"/>
        <v>280000</v>
      </c>
      <c r="AF96" s="64">
        <f>+'[1]CF Dia V1'!$CS$97</f>
        <v>11250560.032</v>
      </c>
      <c r="AG96" s="64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4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4">
        <f>+'[1]CF Dia V1'!$CT$102</f>
        <v>4628913889</v>
      </c>
      <c r="AB97" s="64">
        <f>+AB96</f>
        <v>1048306.3957399999</v>
      </c>
      <c r="AC97" s="64">
        <f t="shared" ref="AC97:AE98" si="5">+AC96</f>
        <v>10000000</v>
      </c>
      <c r="AD97" s="64">
        <f t="shared" si="5"/>
        <v>220000</v>
      </c>
      <c r="AE97" s="64">
        <f t="shared" si="5"/>
        <v>280000</v>
      </c>
      <c r="AF97" s="64">
        <f>+'[1]CF Dia V1'!$CT$97</f>
        <v>10968761.151000001</v>
      </c>
      <c r="AG97" s="64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4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4">
        <f>+'[1]CF Dia V1'!$CU$102</f>
        <v>4562436968</v>
      </c>
      <c r="AB98" s="64">
        <f>+'[1]CF Dia V1'!$CU$103</f>
        <v>1028533.4021649999</v>
      </c>
      <c r="AC98" s="64">
        <f t="shared" si="5"/>
        <v>10000000</v>
      </c>
      <c r="AD98" s="64">
        <f t="shared" si="5"/>
        <v>220000</v>
      </c>
      <c r="AE98" s="64">
        <f t="shared" si="5"/>
        <v>280000</v>
      </c>
      <c r="AF98" s="64">
        <f>+'[1]CF Dia V1'!$CU$97</f>
        <v>11754724.031500001</v>
      </c>
      <c r="AG98" s="64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4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4">
        <f>+'[1]CF Dia V1'!$CV$102</f>
        <v>4496965997</v>
      </c>
      <c r="AB99" s="64">
        <f t="shared" ref="AB99:AE100" si="7">+AB98</f>
        <v>1028533.4021649999</v>
      </c>
      <c r="AC99" s="64">
        <f t="shared" si="7"/>
        <v>10000000</v>
      </c>
      <c r="AD99" s="64">
        <f t="shared" si="7"/>
        <v>220000</v>
      </c>
      <c r="AE99" s="64">
        <f t="shared" si="7"/>
        <v>280000</v>
      </c>
      <c r="AF99" s="64">
        <f>+'[1]CF Dia V1'!$CV$97</f>
        <v>12774427.1315</v>
      </c>
      <c r="AG99" s="64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4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4">
        <f>+'[1]CF Dia V1'!$CW$102</f>
        <v>4472804706</v>
      </c>
      <c r="AB100" s="64">
        <f t="shared" si="7"/>
        <v>1028533.4021649999</v>
      </c>
      <c r="AC100" s="64">
        <f t="shared" si="7"/>
        <v>10000000</v>
      </c>
      <c r="AD100" s="64">
        <f t="shared" si="7"/>
        <v>220000</v>
      </c>
      <c r="AE100" s="64">
        <f t="shared" si="7"/>
        <v>280000</v>
      </c>
      <c r="AF100" s="64">
        <f>+'[1]CF Dia V1'!$CW$97</f>
        <v>12799702.291499998</v>
      </c>
      <c r="AG100" s="64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4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4">
        <f>+'[1]CF Dia V1'!$CX$102</f>
        <v>4799416274</v>
      </c>
      <c r="AB101" s="64">
        <f t="shared" ref="AB101:AE102" si="10">+AB100</f>
        <v>1028533.4021649999</v>
      </c>
      <c r="AC101" s="64">
        <f t="shared" si="10"/>
        <v>10000000</v>
      </c>
      <c r="AD101" s="64">
        <f t="shared" si="10"/>
        <v>220000</v>
      </c>
      <c r="AE101" s="64">
        <f t="shared" si="10"/>
        <v>280000</v>
      </c>
      <c r="AF101" s="64">
        <f>+'[1]CF Dia V1'!$CX$97</f>
        <v>13832646.739500001</v>
      </c>
      <c r="AG101" s="64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4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4">
        <f>+'[1]CF Dia V1'!$CY$102</f>
        <v>4744842059</v>
      </c>
      <c r="AB102" s="64">
        <f t="shared" si="10"/>
        <v>1028533.4021649999</v>
      </c>
      <c r="AC102" s="64">
        <f t="shared" si="10"/>
        <v>10000000</v>
      </c>
      <c r="AD102" s="64">
        <f t="shared" si="10"/>
        <v>220000</v>
      </c>
      <c r="AE102" s="64">
        <f t="shared" si="10"/>
        <v>280000</v>
      </c>
      <c r="AF102" s="64">
        <f>+'[1]CF Dia V1'!$CY$97</f>
        <v>14177312.419500001</v>
      </c>
      <c r="AG102" s="64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4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4">
        <f>+'[1]CF Dia V1'!$CZ$102</f>
        <v>5023890065</v>
      </c>
      <c r="AB103" s="64">
        <v>1202455.9875649996</v>
      </c>
      <c r="AC103" s="64">
        <f t="shared" ref="AC103:AE105" si="11">+AC102</f>
        <v>10000000</v>
      </c>
      <c r="AD103" s="64">
        <f t="shared" si="11"/>
        <v>220000</v>
      </c>
      <c r="AE103" s="64">
        <f t="shared" si="11"/>
        <v>280000</v>
      </c>
      <c r="AF103" s="64">
        <f>+'[1]CF Dia V1'!$CZ$97</f>
        <v>15757126.767000001</v>
      </c>
      <c r="AG103" s="64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4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4">
        <f>+'[1]CF Dia V1'!$DA$102</f>
        <v>5329656243.5</v>
      </c>
      <c r="AB104" s="64">
        <f>+AB103</f>
        <v>1202455.9875649996</v>
      </c>
      <c r="AC104" s="64">
        <f t="shared" si="11"/>
        <v>10000000</v>
      </c>
      <c r="AD104" s="64">
        <f t="shared" si="11"/>
        <v>220000</v>
      </c>
      <c r="AE104" s="64">
        <f t="shared" si="11"/>
        <v>280000</v>
      </c>
      <c r="AF104" s="64">
        <f>+'[1]CF Dia V1'!$DA$97</f>
        <v>16549621.550000001</v>
      </c>
      <c r="AG104" s="64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4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4">
        <f>+'[1]CF Dia V1'!$DB$102</f>
        <v>5465695997</v>
      </c>
      <c r="AB105" s="64">
        <f>+AB104</f>
        <v>1202455.9875649996</v>
      </c>
      <c r="AC105" s="64">
        <f t="shared" si="11"/>
        <v>10000000</v>
      </c>
      <c r="AD105" s="64">
        <f t="shared" si="11"/>
        <v>220000</v>
      </c>
      <c r="AE105" s="64">
        <f t="shared" si="11"/>
        <v>280000</v>
      </c>
      <c r="AF105" s="64">
        <f>+'[1]CF Dia V1'!$DB$97</f>
        <v>17096376.949999999</v>
      </c>
      <c r="AG105" s="64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4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>+Z105</f>
        <v>191016771.98655012</v>
      </c>
      <c r="AA106" s="64">
        <f>+'[1]CF Dia V1'!$DD$102</f>
        <v>5589564137</v>
      </c>
      <c r="AB106" s="64">
        <f>+AB105</f>
        <v>1202455.9875649996</v>
      </c>
      <c r="AC106" s="64">
        <f t="shared" ref="AC106:AE107" si="12">+AC105</f>
        <v>10000000</v>
      </c>
      <c r="AD106" s="64">
        <f t="shared" si="12"/>
        <v>220000</v>
      </c>
      <c r="AE106" s="64">
        <f t="shared" si="12"/>
        <v>280000</v>
      </c>
      <c r="AF106" s="64">
        <f>+'[1]CF Dia V1'!$DD$97</f>
        <v>19516839.159499999</v>
      </c>
      <c r="AG106" s="64">
        <f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4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>+Z106</f>
        <v>191016771.98655012</v>
      </c>
      <c r="AA107" s="64">
        <f>+'[1]CF Dia V1'!$DE$102</f>
        <v>5589072977</v>
      </c>
      <c r="AB107" s="64">
        <f>+AB106</f>
        <v>1202455.9875649996</v>
      </c>
      <c r="AC107" s="64">
        <f t="shared" si="12"/>
        <v>10000000</v>
      </c>
      <c r="AD107" s="64">
        <f t="shared" si="12"/>
        <v>220000</v>
      </c>
      <c r="AE107" s="64">
        <f t="shared" si="12"/>
        <v>280000</v>
      </c>
      <c r="AF107" s="64">
        <f>+'[1]CF Dia V1'!$DE$97</f>
        <v>19391145.541500002</v>
      </c>
      <c r="AG107" s="64">
        <f>+AG106</f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4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>+Z107</f>
        <v>191016771.98655012</v>
      </c>
      <c r="AA108" s="64">
        <f>+'[1]CF Dia V1'!$DF$102</f>
        <v>5527488705</v>
      </c>
      <c r="AB108" s="64">
        <f>+AB107</f>
        <v>1202455.9875649996</v>
      </c>
      <c r="AC108" s="64">
        <f>+AC107</f>
        <v>10000000</v>
      </c>
      <c r="AD108" s="64">
        <f>+AD107</f>
        <v>220000</v>
      </c>
      <c r="AE108" s="64">
        <f>+AE107</f>
        <v>280000</v>
      </c>
      <c r="AF108" s="64">
        <f>+'[1]CF Dia V1'!$DF$97</f>
        <v>20317621.8455</v>
      </c>
      <c r="AG108" s="64">
        <f>+AG107</f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-33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-18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-7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750</v>
      </c>
      <c r="B4" t="s">
        <v>771</v>
      </c>
      <c r="C4" s="68">
        <v>1934482.85</v>
      </c>
      <c r="D4" s="13">
        <v>46168</v>
      </c>
      <c r="E4" s="65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751</v>
      </c>
      <c r="B5" t="s">
        <v>772</v>
      </c>
      <c r="C5" s="68">
        <v>4000000</v>
      </c>
      <c r="D5" s="13">
        <v>46169</v>
      </c>
      <c r="E5" s="65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751</v>
      </c>
      <c r="B6" t="s">
        <v>773</v>
      </c>
      <c r="C6" s="68">
        <v>4000000</v>
      </c>
      <c r="D6" s="13">
        <v>46170</v>
      </c>
      <c r="E6" s="65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752</v>
      </c>
      <c r="B7" t="s">
        <v>774</v>
      </c>
      <c r="C7" s="68">
        <v>5000000</v>
      </c>
      <c r="D7" s="13">
        <v>46171</v>
      </c>
      <c r="E7" s="65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751</v>
      </c>
      <c r="B8" t="s">
        <v>775</v>
      </c>
      <c r="C8" s="68">
        <v>4000000</v>
      </c>
      <c r="D8" s="13">
        <v>46172</v>
      </c>
      <c r="E8" s="65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753</v>
      </c>
      <c r="B9" t="s">
        <v>776</v>
      </c>
      <c r="C9" s="68">
        <v>3099000</v>
      </c>
      <c r="D9" s="13">
        <v>46173</v>
      </c>
      <c r="E9" s="65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752</v>
      </c>
      <c r="B10" t="s">
        <v>777</v>
      </c>
      <c r="C10" s="68">
        <v>4322000</v>
      </c>
      <c r="D10" s="13">
        <v>46174</v>
      </c>
      <c r="E10" s="65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753</v>
      </c>
      <c r="B11" t="s">
        <v>778</v>
      </c>
      <c r="C11" s="68">
        <v>2600000</v>
      </c>
      <c r="D11" s="13">
        <v>46175</v>
      </c>
      <c r="E11" s="65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753</v>
      </c>
      <c r="B12" t="s">
        <v>779</v>
      </c>
      <c r="C12" s="68">
        <v>3000600</v>
      </c>
      <c r="D12" s="13">
        <v>46176</v>
      </c>
      <c r="E12" s="65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753</v>
      </c>
      <c r="B13" t="s">
        <v>780</v>
      </c>
      <c r="C13" s="68">
        <v>3000040</v>
      </c>
      <c r="D13" s="13">
        <v>46177</v>
      </c>
      <c r="E13" s="65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751</v>
      </c>
      <c r="B14" t="s">
        <v>781</v>
      </c>
      <c r="C14" s="68">
        <v>4000000</v>
      </c>
      <c r="D14" s="13">
        <v>46178</v>
      </c>
      <c r="E14" s="65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751</v>
      </c>
      <c r="B15" t="s">
        <v>782</v>
      </c>
      <c r="C15" s="68">
        <v>4000000</v>
      </c>
      <c r="D15" s="13">
        <v>46179</v>
      </c>
      <c r="E15" s="65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754</v>
      </c>
      <c r="B16" t="s">
        <v>783</v>
      </c>
      <c r="C16" s="68">
        <v>4074325</v>
      </c>
      <c r="D16" s="13">
        <v>46180</v>
      </c>
      <c r="E16" s="65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752</v>
      </c>
      <c r="B17" t="s">
        <v>784</v>
      </c>
      <c r="C17" s="68">
        <v>5000000</v>
      </c>
      <c r="D17" s="13">
        <v>46181</v>
      </c>
      <c r="E17" s="65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754</v>
      </c>
      <c r="B18" t="s">
        <v>785</v>
      </c>
      <c r="C18" s="68">
        <v>5000000</v>
      </c>
      <c r="D18" s="13">
        <v>46182</v>
      </c>
      <c r="E18" s="65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754</v>
      </c>
      <c r="B19" t="s">
        <v>786</v>
      </c>
      <c r="C19" s="68">
        <v>5000000</v>
      </c>
      <c r="D19" s="13">
        <v>46183</v>
      </c>
      <c r="E19" s="65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754</v>
      </c>
      <c r="B20" t="s">
        <v>787</v>
      </c>
      <c r="C20" s="68">
        <v>5000000</v>
      </c>
      <c r="D20" s="13">
        <v>46184</v>
      </c>
      <c r="E20" s="65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754</v>
      </c>
      <c r="B21" t="s">
        <v>788</v>
      </c>
      <c r="C21" s="68">
        <v>5000000</v>
      </c>
      <c r="D21" s="13">
        <v>46185</v>
      </c>
      <c r="E21" s="65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751</v>
      </c>
      <c r="B22" t="s">
        <v>789</v>
      </c>
      <c r="C22" s="68">
        <v>3977525</v>
      </c>
      <c r="D22" s="13">
        <v>46186</v>
      </c>
      <c r="E22" s="65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753</v>
      </c>
      <c r="B23" t="s">
        <v>790</v>
      </c>
      <c r="C23" s="68">
        <v>1000100</v>
      </c>
      <c r="D23" s="13">
        <v>46187</v>
      </c>
      <c r="E23" s="65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753</v>
      </c>
      <c r="B24" t="s">
        <v>791</v>
      </c>
      <c r="C24" s="68">
        <v>3000100</v>
      </c>
      <c r="D24" s="13">
        <v>46188</v>
      </c>
      <c r="E24" s="65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753</v>
      </c>
      <c r="B25" t="s">
        <v>792</v>
      </c>
      <c r="C25" s="68">
        <v>3000100</v>
      </c>
      <c r="D25" s="13">
        <v>46189</v>
      </c>
      <c r="E25" s="65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753</v>
      </c>
      <c r="B26" t="s">
        <v>793</v>
      </c>
      <c r="C26" s="68">
        <v>3032000</v>
      </c>
      <c r="D26" s="13">
        <v>46190</v>
      </c>
      <c r="E26" s="65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755</v>
      </c>
      <c r="B27" t="s">
        <v>794</v>
      </c>
      <c r="C27" s="68">
        <v>28607040</v>
      </c>
      <c r="D27" s="13">
        <v>46191</v>
      </c>
      <c r="E27" s="65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756</v>
      </c>
      <c r="B28" t="s">
        <v>795</v>
      </c>
      <c r="C28" s="68">
        <v>1479937.5</v>
      </c>
      <c r="D28" s="13">
        <v>46192</v>
      </c>
      <c r="E28" s="65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752</v>
      </c>
      <c r="B29" t="s">
        <v>796</v>
      </c>
      <c r="C29" s="68">
        <v>5000000</v>
      </c>
      <c r="D29" s="13">
        <v>46193</v>
      </c>
      <c r="E29" s="65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757</v>
      </c>
      <c r="B30" t="s">
        <v>797</v>
      </c>
      <c r="C30" s="68">
        <v>843325</v>
      </c>
      <c r="D30" s="13">
        <v>46194</v>
      </c>
      <c r="E30" s="65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756</v>
      </c>
      <c r="B31" t="s">
        <v>798</v>
      </c>
      <c r="C31" s="68">
        <v>1500000</v>
      </c>
      <c r="D31" s="13">
        <v>46195</v>
      </c>
      <c r="E31" s="65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756</v>
      </c>
      <c r="B32" t="s">
        <v>799</v>
      </c>
      <c r="C32" s="68">
        <v>1381275</v>
      </c>
      <c r="D32" s="13">
        <v>46196</v>
      </c>
      <c r="E32" s="65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752</v>
      </c>
      <c r="B33" t="s">
        <v>800</v>
      </c>
      <c r="C33" s="68">
        <v>5000000</v>
      </c>
      <c r="D33" s="13">
        <v>46197</v>
      </c>
      <c r="E33" s="65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757</v>
      </c>
      <c r="B34" t="s">
        <v>801</v>
      </c>
      <c r="C34" s="68">
        <v>1300000</v>
      </c>
      <c r="D34" s="13">
        <v>46198</v>
      </c>
      <c r="E34" s="65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756</v>
      </c>
      <c r="B35" t="s">
        <v>802</v>
      </c>
      <c r="C35" s="68">
        <v>1400000</v>
      </c>
      <c r="D35" s="13">
        <v>46199</v>
      </c>
      <c r="E35" s="65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756</v>
      </c>
      <c r="B36" t="s">
        <v>803</v>
      </c>
      <c r="C36" s="68">
        <v>1500000</v>
      </c>
      <c r="D36" s="13">
        <v>46200</v>
      </c>
      <c r="E36" s="65">
        <v>46202.000138888892</v>
      </c>
      <c r="F36" s="40">
        <f t="shared" si="0"/>
        <v>46204.000138888892</v>
      </c>
      <c r="G36" s="27"/>
      <c r="L36" s="66"/>
    </row>
    <row r="37" spans="1:12" ht="15.75" customHeight="1" x14ac:dyDescent="0.25">
      <c r="A37" t="s">
        <v>752</v>
      </c>
      <c r="B37" t="s">
        <v>804</v>
      </c>
      <c r="C37" s="68">
        <v>5000000</v>
      </c>
      <c r="D37" s="13">
        <v>46201</v>
      </c>
      <c r="E37" s="65">
        <v>46201.000138888892</v>
      </c>
      <c r="F37" s="40">
        <f t="shared" si="0"/>
        <v>46203.000138888892</v>
      </c>
      <c r="G37" s="27"/>
      <c r="L37" s="66"/>
    </row>
    <row r="38" spans="1:12" ht="15.75" customHeight="1" x14ac:dyDescent="0.25">
      <c r="A38" t="s">
        <v>753</v>
      </c>
      <c r="B38" t="s">
        <v>805</v>
      </c>
      <c r="C38" s="68">
        <v>3000040</v>
      </c>
      <c r="D38" s="13">
        <v>46202</v>
      </c>
      <c r="E38" s="65">
        <v>46201.000138888892</v>
      </c>
      <c r="F38" s="40">
        <f t="shared" si="0"/>
        <v>46203.000138888892</v>
      </c>
      <c r="G38" s="27"/>
      <c r="L38" s="66"/>
    </row>
    <row r="39" spans="1:12" ht="15.75" customHeight="1" x14ac:dyDescent="0.25">
      <c r="A39" t="s">
        <v>753</v>
      </c>
      <c r="B39" t="s">
        <v>806</v>
      </c>
      <c r="C39" s="68">
        <v>3000400</v>
      </c>
      <c r="D39" s="13">
        <v>46203</v>
      </c>
      <c r="E39" s="65">
        <v>46201.000138888892</v>
      </c>
      <c r="F39" s="40">
        <f t="shared" si="0"/>
        <v>46203.000138888892</v>
      </c>
      <c r="G39" s="27"/>
      <c r="L39" s="66"/>
    </row>
    <row r="40" spans="1:12" ht="15.75" customHeight="1" x14ac:dyDescent="0.25">
      <c r="A40" t="s">
        <v>753</v>
      </c>
      <c r="B40" t="s">
        <v>807</v>
      </c>
      <c r="C40" s="68">
        <v>3047000</v>
      </c>
      <c r="D40" s="13">
        <v>46204</v>
      </c>
      <c r="E40" s="65">
        <v>46201.000138888892</v>
      </c>
      <c r="F40" s="40">
        <f t="shared" si="0"/>
        <v>46203.000138888892</v>
      </c>
      <c r="G40" s="27"/>
      <c r="L40" s="66"/>
    </row>
    <row r="41" spans="1:12" ht="15.75" customHeight="1" x14ac:dyDescent="0.25">
      <c r="A41" t="s">
        <v>753</v>
      </c>
      <c r="B41" t="s">
        <v>808</v>
      </c>
      <c r="C41" s="68">
        <v>3500000</v>
      </c>
      <c r="D41" s="13">
        <v>46205</v>
      </c>
      <c r="E41" s="65">
        <v>46201.000138888892</v>
      </c>
      <c r="F41" s="40">
        <f t="shared" si="0"/>
        <v>46203.000138888892</v>
      </c>
      <c r="G41" s="27"/>
      <c r="L41" s="66"/>
    </row>
    <row r="42" spans="1:12" ht="15.75" customHeight="1" x14ac:dyDescent="0.25">
      <c r="A42" t="s">
        <v>752</v>
      </c>
      <c r="B42" t="s">
        <v>809</v>
      </c>
      <c r="C42" s="68">
        <v>5000000</v>
      </c>
      <c r="D42" s="13">
        <v>46206</v>
      </c>
      <c r="E42" s="65">
        <v>46200.000138888892</v>
      </c>
      <c r="F42" s="40">
        <f t="shared" si="0"/>
        <v>46202.000138888892</v>
      </c>
      <c r="G42" s="27"/>
      <c r="L42" s="66"/>
    </row>
    <row r="43" spans="1:12" ht="15.75" customHeight="1" x14ac:dyDescent="0.25">
      <c r="A43" t="s">
        <v>752</v>
      </c>
      <c r="B43" t="s">
        <v>810</v>
      </c>
      <c r="C43" s="68">
        <v>5000000</v>
      </c>
      <c r="D43" s="13">
        <v>46207</v>
      </c>
      <c r="E43" s="65">
        <v>46200.000138888892</v>
      </c>
      <c r="F43" s="40">
        <f t="shared" si="0"/>
        <v>46202.000138888892</v>
      </c>
      <c r="G43" s="27"/>
      <c r="L43" s="66"/>
    </row>
    <row r="44" spans="1:12" ht="15.75" customHeight="1" x14ac:dyDescent="0.25">
      <c r="A44" t="s">
        <v>758</v>
      </c>
      <c r="B44" t="s">
        <v>811</v>
      </c>
      <c r="C44" s="68">
        <v>14107155</v>
      </c>
      <c r="D44" s="13">
        <v>46208</v>
      </c>
      <c r="E44" s="65">
        <v>46200.000138888892</v>
      </c>
      <c r="F44" s="40">
        <f t="shared" si="0"/>
        <v>46202.000138888892</v>
      </c>
      <c r="G44" s="27"/>
      <c r="L44" s="66"/>
    </row>
    <row r="45" spans="1:12" ht="15.75" customHeight="1" x14ac:dyDescent="0.25">
      <c r="A45" t="s">
        <v>758</v>
      </c>
      <c r="B45" t="s">
        <v>812</v>
      </c>
      <c r="C45" s="68">
        <v>15000000</v>
      </c>
      <c r="D45" s="13">
        <v>46209</v>
      </c>
      <c r="E45" s="65">
        <v>46200.000138888892</v>
      </c>
      <c r="F45" s="40">
        <f t="shared" si="0"/>
        <v>46202.000138888892</v>
      </c>
      <c r="G45" s="27"/>
      <c r="L45" s="66"/>
    </row>
    <row r="46" spans="1:12" ht="15.75" customHeight="1" x14ac:dyDescent="0.25">
      <c r="A46" t="s">
        <v>759</v>
      </c>
      <c r="B46" t="s">
        <v>813</v>
      </c>
      <c r="C46" s="68">
        <v>23687070</v>
      </c>
      <c r="D46" s="13">
        <v>46210</v>
      </c>
      <c r="E46" s="65">
        <v>46200.000138888892</v>
      </c>
      <c r="F46" s="40">
        <f t="shared" si="0"/>
        <v>46202.000138888892</v>
      </c>
      <c r="G46" s="27"/>
      <c r="L46" s="66"/>
    </row>
    <row r="47" spans="1:12" ht="15.75" customHeight="1" x14ac:dyDescent="0.25">
      <c r="A47" t="s">
        <v>753</v>
      </c>
      <c r="B47" t="s">
        <v>814</v>
      </c>
      <c r="C47" s="68">
        <v>2600000</v>
      </c>
      <c r="D47" s="13">
        <v>46211</v>
      </c>
      <c r="E47" s="65">
        <v>46200.000138888892</v>
      </c>
      <c r="F47" s="40">
        <f t="shared" si="0"/>
        <v>46202.000138888892</v>
      </c>
      <c r="G47" s="27"/>
      <c r="L47" s="66"/>
    </row>
    <row r="48" spans="1:12" ht="15.75" customHeight="1" x14ac:dyDescent="0.25">
      <c r="A48" t="s">
        <v>753</v>
      </c>
      <c r="B48" t="s">
        <v>815</v>
      </c>
      <c r="C48" s="68">
        <v>3000720</v>
      </c>
      <c r="D48" s="13">
        <v>46212</v>
      </c>
      <c r="E48" s="65">
        <v>46200.000138888892</v>
      </c>
      <c r="F48" s="40">
        <f t="shared" si="0"/>
        <v>46202.000138888892</v>
      </c>
      <c r="G48" s="27"/>
      <c r="L48" s="66"/>
    </row>
    <row r="49" spans="1:12" ht="15.75" customHeight="1" x14ac:dyDescent="0.25">
      <c r="A49" t="s">
        <v>753</v>
      </c>
      <c r="B49" t="s">
        <v>816</v>
      </c>
      <c r="C49" s="68">
        <v>2086000</v>
      </c>
      <c r="D49" s="13">
        <v>46213</v>
      </c>
      <c r="E49" s="65">
        <v>46200.000138888892</v>
      </c>
      <c r="F49" s="40">
        <f t="shared" si="0"/>
        <v>46202.000138888892</v>
      </c>
      <c r="G49" s="27"/>
      <c r="L49" s="66"/>
    </row>
    <row r="50" spans="1:12" ht="15.75" customHeight="1" x14ac:dyDescent="0.25">
      <c r="A50" t="s">
        <v>752</v>
      </c>
      <c r="B50" t="s">
        <v>817</v>
      </c>
      <c r="C50" s="68">
        <v>5690000</v>
      </c>
      <c r="D50" s="13">
        <v>46214</v>
      </c>
      <c r="E50" s="65">
        <v>46199.000138888892</v>
      </c>
      <c r="F50" s="40">
        <f t="shared" si="0"/>
        <v>46201.000138888892</v>
      </c>
      <c r="G50" s="27"/>
      <c r="L50" s="66"/>
    </row>
    <row r="51" spans="1:12" ht="15.75" customHeight="1" x14ac:dyDescent="0.25">
      <c r="A51" t="s">
        <v>757</v>
      </c>
      <c r="B51" t="s">
        <v>818</v>
      </c>
      <c r="C51" s="68">
        <v>1300000</v>
      </c>
      <c r="D51" s="13">
        <v>46215</v>
      </c>
      <c r="E51" s="65">
        <v>46199.000138888892</v>
      </c>
      <c r="F51" s="40">
        <f t="shared" si="0"/>
        <v>46201.000138888892</v>
      </c>
      <c r="G51" s="27"/>
      <c r="L51" s="66"/>
    </row>
    <row r="52" spans="1:12" ht="15.75" customHeight="1" x14ac:dyDescent="0.25">
      <c r="A52" t="s">
        <v>760</v>
      </c>
      <c r="B52" t="s">
        <v>819</v>
      </c>
      <c r="C52" s="68">
        <v>17304197.5</v>
      </c>
      <c r="D52" s="13">
        <v>46216</v>
      </c>
      <c r="E52" s="65">
        <v>46199.000138888892</v>
      </c>
      <c r="F52" s="40">
        <f t="shared" si="0"/>
        <v>46201.000138888892</v>
      </c>
      <c r="G52" s="27"/>
      <c r="L52" s="66"/>
    </row>
    <row r="53" spans="1:12" ht="15.75" customHeight="1" x14ac:dyDescent="0.25">
      <c r="A53" t="s">
        <v>756</v>
      </c>
      <c r="B53" t="s">
        <v>820</v>
      </c>
      <c r="C53" s="68">
        <v>1500000</v>
      </c>
      <c r="D53" s="13">
        <v>46217</v>
      </c>
      <c r="E53" s="65">
        <v>46199.000138888892</v>
      </c>
      <c r="F53" s="40">
        <f t="shared" si="0"/>
        <v>46201.000138888892</v>
      </c>
      <c r="G53" s="27"/>
      <c r="L53" s="66"/>
    </row>
    <row r="54" spans="1:12" ht="15.75" customHeight="1" x14ac:dyDescent="0.25">
      <c r="A54" t="s">
        <v>760</v>
      </c>
      <c r="B54" t="s">
        <v>821</v>
      </c>
      <c r="C54" s="68">
        <v>16500000</v>
      </c>
      <c r="D54" s="13">
        <v>46218</v>
      </c>
      <c r="E54" s="65">
        <v>46199.000138888892</v>
      </c>
      <c r="F54" s="40">
        <f t="shared" si="0"/>
        <v>46201.000138888892</v>
      </c>
      <c r="G54" s="27"/>
      <c r="L54" s="66"/>
    </row>
    <row r="55" spans="1:12" ht="15.75" customHeight="1" x14ac:dyDescent="0.25">
      <c r="A55" t="s">
        <v>756</v>
      </c>
      <c r="B55" t="s">
        <v>822</v>
      </c>
      <c r="C55" s="68">
        <v>1400000</v>
      </c>
      <c r="D55" s="13">
        <v>46219</v>
      </c>
      <c r="E55" s="65">
        <v>46199.000138888892</v>
      </c>
      <c r="F55" s="40">
        <f t="shared" si="0"/>
        <v>46201.000138888892</v>
      </c>
      <c r="G55" s="27"/>
      <c r="L55" s="66"/>
    </row>
    <row r="56" spans="1:12" ht="15.75" customHeight="1" x14ac:dyDescent="0.25">
      <c r="A56" t="s">
        <v>757</v>
      </c>
      <c r="B56" t="s">
        <v>823</v>
      </c>
      <c r="C56" s="68">
        <v>1700000</v>
      </c>
      <c r="D56" s="13">
        <v>46220</v>
      </c>
      <c r="E56" s="65">
        <v>46199.000138888892</v>
      </c>
      <c r="F56" s="40">
        <f t="shared" si="0"/>
        <v>46201.000138888892</v>
      </c>
      <c r="G56" s="27"/>
      <c r="L56" s="66"/>
    </row>
    <row r="57" spans="1:12" ht="15.75" customHeight="1" x14ac:dyDescent="0.25">
      <c r="A57" t="s">
        <v>755</v>
      </c>
      <c r="B57" t="s">
        <v>824</v>
      </c>
      <c r="C57" s="68">
        <v>23839200</v>
      </c>
      <c r="D57" s="13">
        <v>46221</v>
      </c>
      <c r="E57" s="65">
        <v>46199.000138888892</v>
      </c>
      <c r="F57" s="40">
        <f t="shared" si="0"/>
        <v>46201.000138888892</v>
      </c>
      <c r="G57" s="27"/>
      <c r="L57" s="66"/>
    </row>
    <row r="58" spans="1:12" ht="15.75" customHeight="1" x14ac:dyDescent="0.25">
      <c r="A58" t="s">
        <v>756</v>
      </c>
      <c r="B58" t="s">
        <v>825</v>
      </c>
      <c r="C58" s="68">
        <v>1400000</v>
      </c>
      <c r="D58" s="13">
        <v>46222</v>
      </c>
      <c r="E58" s="65">
        <v>46198.000138888892</v>
      </c>
      <c r="F58" s="40">
        <f t="shared" si="0"/>
        <v>46200.000138888892</v>
      </c>
      <c r="G58" s="27"/>
      <c r="L58" s="66"/>
    </row>
    <row r="59" spans="1:12" ht="15.75" customHeight="1" x14ac:dyDescent="0.25">
      <c r="A59" t="s">
        <v>756</v>
      </c>
      <c r="B59" t="s">
        <v>826</v>
      </c>
      <c r="C59" s="68">
        <v>1500000</v>
      </c>
      <c r="D59" s="13">
        <v>46223</v>
      </c>
      <c r="E59" s="65">
        <v>46198.000138888892</v>
      </c>
      <c r="F59" s="40">
        <f t="shared" si="0"/>
        <v>46200.000138888892</v>
      </c>
      <c r="G59" s="27"/>
      <c r="L59" s="66"/>
    </row>
    <row r="60" spans="1:12" ht="15.75" customHeight="1" x14ac:dyDescent="0.25">
      <c r="A60" t="s">
        <v>757</v>
      </c>
      <c r="B60" t="s">
        <v>827</v>
      </c>
      <c r="C60" s="68">
        <v>1300000</v>
      </c>
      <c r="D60" s="13">
        <v>46224</v>
      </c>
      <c r="E60" s="65">
        <v>46197.000138888892</v>
      </c>
      <c r="F60" s="40">
        <f t="shared" si="0"/>
        <v>46199.000138888892</v>
      </c>
      <c r="G60" s="27"/>
      <c r="L60" s="66"/>
    </row>
    <row r="61" spans="1:12" ht="15.75" customHeight="1" x14ac:dyDescent="0.25">
      <c r="A61" t="s">
        <v>757</v>
      </c>
      <c r="B61" t="s">
        <v>828</v>
      </c>
      <c r="C61" s="68">
        <v>1433000</v>
      </c>
      <c r="D61" s="13">
        <v>46225</v>
      </c>
      <c r="E61" s="65">
        <v>46197.000138888892</v>
      </c>
      <c r="F61" s="40">
        <f t="shared" si="0"/>
        <v>46199.000138888892</v>
      </c>
      <c r="G61" s="27"/>
      <c r="L61" s="66"/>
    </row>
    <row r="62" spans="1:12" ht="15.75" customHeight="1" x14ac:dyDescent="0.25">
      <c r="A62" t="s">
        <v>761</v>
      </c>
      <c r="B62" t="s">
        <v>829</v>
      </c>
      <c r="C62" s="68">
        <v>9609600</v>
      </c>
      <c r="D62" s="13">
        <v>46226</v>
      </c>
      <c r="E62" s="65">
        <v>46197.000138888892</v>
      </c>
      <c r="F62" s="40">
        <f t="shared" si="0"/>
        <v>46199.000138888892</v>
      </c>
      <c r="G62" s="27"/>
      <c r="L62" s="66"/>
    </row>
    <row r="63" spans="1:12" ht="15.75" customHeight="1" x14ac:dyDescent="0.25">
      <c r="A63" t="s">
        <v>757</v>
      </c>
      <c r="B63" t="s">
        <v>830</v>
      </c>
      <c r="C63" s="68">
        <v>949750</v>
      </c>
      <c r="D63" s="13">
        <v>46227</v>
      </c>
      <c r="E63" s="65">
        <v>46197.000138888892</v>
      </c>
      <c r="F63" s="40">
        <f t="shared" si="0"/>
        <v>46199.000138888892</v>
      </c>
      <c r="G63" s="27"/>
      <c r="L63" s="66"/>
    </row>
    <row r="64" spans="1:12" ht="15.75" customHeight="1" x14ac:dyDescent="0.25">
      <c r="A64" t="s">
        <v>751</v>
      </c>
      <c r="B64" t="s">
        <v>831</v>
      </c>
      <c r="C64" s="68">
        <v>3050000</v>
      </c>
      <c r="D64" s="13">
        <v>46228</v>
      </c>
      <c r="E64" s="65">
        <v>46197.000138888892</v>
      </c>
      <c r="F64" s="40">
        <f t="shared" si="0"/>
        <v>46199.000138888892</v>
      </c>
      <c r="G64" s="27"/>
      <c r="L64" s="66"/>
    </row>
    <row r="65" spans="1:12" ht="15.75" customHeight="1" x14ac:dyDescent="0.25">
      <c r="A65" t="s">
        <v>757</v>
      </c>
      <c r="B65" t="s">
        <v>832</v>
      </c>
      <c r="C65" s="68">
        <v>1300000</v>
      </c>
      <c r="D65" s="13">
        <v>46229</v>
      </c>
      <c r="E65" s="65">
        <v>46196.000138888892</v>
      </c>
      <c r="F65" s="40">
        <f t="shared" si="0"/>
        <v>46198.000138888892</v>
      </c>
      <c r="G65" s="27"/>
      <c r="L65" s="66"/>
    </row>
    <row r="66" spans="1:12" ht="15.75" customHeight="1" x14ac:dyDescent="0.25">
      <c r="A66" t="s">
        <v>756</v>
      </c>
      <c r="B66" t="s">
        <v>833</v>
      </c>
      <c r="C66" s="68">
        <v>1500000</v>
      </c>
      <c r="D66" s="13">
        <v>46230</v>
      </c>
      <c r="E66" s="65">
        <v>46196.000138888892</v>
      </c>
      <c r="F66" s="40">
        <f t="shared" si="0"/>
        <v>46198.000138888892</v>
      </c>
      <c r="G66" s="27"/>
      <c r="L66" s="66"/>
    </row>
    <row r="67" spans="1:12" ht="15.75" customHeight="1" x14ac:dyDescent="0.25">
      <c r="A67" t="s">
        <v>756</v>
      </c>
      <c r="B67" t="s">
        <v>834</v>
      </c>
      <c r="C67" s="68">
        <v>1400000</v>
      </c>
      <c r="D67" s="13">
        <v>46231</v>
      </c>
      <c r="E67" s="65">
        <v>46196.000138888892</v>
      </c>
      <c r="F67" s="40">
        <f t="shared" si="0"/>
        <v>46198.000138888892</v>
      </c>
      <c r="G67" s="27"/>
      <c r="L67" s="66"/>
    </row>
    <row r="68" spans="1:12" ht="15.75" customHeight="1" x14ac:dyDescent="0.25">
      <c r="A68" t="s">
        <v>757</v>
      </c>
      <c r="B68" t="s">
        <v>835</v>
      </c>
      <c r="C68" s="68">
        <v>1700000</v>
      </c>
      <c r="D68" s="13">
        <v>46232</v>
      </c>
      <c r="E68" s="65">
        <v>46196.000138888892</v>
      </c>
      <c r="F68" s="40">
        <f t="shared" si="0"/>
        <v>46198.000138888892</v>
      </c>
      <c r="G68" s="27"/>
      <c r="L68" s="66"/>
    </row>
    <row r="69" spans="1:12" ht="15.75" customHeight="1" x14ac:dyDescent="0.25">
      <c r="A69" t="s">
        <v>757</v>
      </c>
      <c r="B69" t="s">
        <v>836</v>
      </c>
      <c r="C69" s="68">
        <v>1300000</v>
      </c>
      <c r="D69" s="13">
        <v>46233</v>
      </c>
      <c r="E69" s="65">
        <v>46196.000138888892</v>
      </c>
      <c r="F69" s="40">
        <f t="shared" ref="F69:F132" si="1">+E69+2</f>
        <v>46198.000138888892</v>
      </c>
      <c r="G69" s="27"/>
      <c r="L69" s="66"/>
    </row>
    <row r="70" spans="1:12" ht="15.75" customHeight="1" x14ac:dyDescent="0.25">
      <c r="A70" t="s">
        <v>751</v>
      </c>
      <c r="B70" t="s">
        <v>837</v>
      </c>
      <c r="C70" s="68">
        <v>3050000</v>
      </c>
      <c r="D70" s="13">
        <v>46234</v>
      </c>
      <c r="E70" s="65">
        <v>46196.000138888892</v>
      </c>
      <c r="F70" s="40">
        <f t="shared" si="1"/>
        <v>46198.000138888892</v>
      </c>
      <c r="G70" s="27"/>
      <c r="L70" s="66"/>
    </row>
    <row r="71" spans="1:12" ht="15.75" customHeight="1" x14ac:dyDescent="0.25">
      <c r="A71" t="s">
        <v>757</v>
      </c>
      <c r="B71" t="s">
        <v>838</v>
      </c>
      <c r="C71" s="68">
        <v>1300000</v>
      </c>
      <c r="D71" s="13">
        <v>46235</v>
      </c>
      <c r="E71" s="65">
        <v>46195.000138888892</v>
      </c>
      <c r="F71" s="40">
        <f t="shared" si="1"/>
        <v>46197.000138888892</v>
      </c>
      <c r="G71" s="27"/>
      <c r="L71" s="66"/>
    </row>
    <row r="72" spans="1:12" ht="15.75" customHeight="1" x14ac:dyDescent="0.25">
      <c r="A72" t="s">
        <v>756</v>
      </c>
      <c r="B72" t="s">
        <v>839</v>
      </c>
      <c r="C72" s="68">
        <v>1400000</v>
      </c>
      <c r="D72" s="13">
        <v>46236</v>
      </c>
      <c r="E72" s="65">
        <v>46195.000138888892</v>
      </c>
      <c r="F72" s="40">
        <f t="shared" si="1"/>
        <v>46197.000138888892</v>
      </c>
      <c r="G72" s="27"/>
      <c r="L72" s="66"/>
    </row>
    <row r="73" spans="1:12" ht="15.75" customHeight="1" x14ac:dyDescent="0.25">
      <c r="A73" t="s">
        <v>756</v>
      </c>
      <c r="B73" t="s">
        <v>840</v>
      </c>
      <c r="C73" s="68">
        <v>1500000</v>
      </c>
      <c r="D73" s="13">
        <v>46237</v>
      </c>
      <c r="E73" s="65">
        <v>46195.000138888892</v>
      </c>
      <c r="F73" s="40">
        <f t="shared" si="1"/>
        <v>46197.000138888892</v>
      </c>
      <c r="G73" s="27"/>
      <c r="L73" s="66"/>
    </row>
    <row r="74" spans="1:12" ht="15.75" customHeight="1" x14ac:dyDescent="0.25">
      <c r="A74" t="s">
        <v>757</v>
      </c>
      <c r="B74" t="s">
        <v>841</v>
      </c>
      <c r="C74" s="68">
        <v>1700000</v>
      </c>
      <c r="D74" s="13">
        <v>46238</v>
      </c>
      <c r="E74" s="65">
        <v>46195.000138888892</v>
      </c>
      <c r="F74" s="40">
        <f t="shared" si="1"/>
        <v>46197.000138888892</v>
      </c>
      <c r="G74" s="27"/>
      <c r="L74" s="66"/>
    </row>
    <row r="75" spans="1:12" ht="15.75" customHeight="1" x14ac:dyDescent="0.25">
      <c r="A75" t="s">
        <v>762</v>
      </c>
      <c r="B75" t="s">
        <v>842</v>
      </c>
      <c r="C75" s="68">
        <v>32881480.800000001</v>
      </c>
      <c r="D75" s="13">
        <v>46239</v>
      </c>
      <c r="E75" s="65">
        <v>46195.000138888892</v>
      </c>
      <c r="F75" s="40">
        <f t="shared" si="1"/>
        <v>46197.000138888892</v>
      </c>
      <c r="G75" s="27"/>
      <c r="L75" s="66"/>
    </row>
    <row r="76" spans="1:12" ht="15.75" customHeight="1" x14ac:dyDescent="0.25">
      <c r="A76" t="s">
        <v>757</v>
      </c>
      <c r="B76" t="s">
        <v>843</v>
      </c>
      <c r="C76" s="68">
        <v>1300000</v>
      </c>
      <c r="D76" s="13">
        <v>46240</v>
      </c>
      <c r="E76" s="65">
        <v>46195.000138888892</v>
      </c>
      <c r="F76" s="40">
        <f t="shared" si="1"/>
        <v>46197.000138888892</v>
      </c>
      <c r="G76" s="27"/>
      <c r="L76" s="66"/>
    </row>
    <row r="77" spans="1:12" ht="15.75" customHeight="1" x14ac:dyDescent="0.25">
      <c r="A77" t="s">
        <v>751</v>
      </c>
      <c r="B77" t="s">
        <v>844</v>
      </c>
      <c r="C77" s="68">
        <v>3050000</v>
      </c>
      <c r="D77" s="13">
        <v>46241</v>
      </c>
      <c r="E77" s="65">
        <v>46195.000138888892</v>
      </c>
      <c r="F77" s="40">
        <f t="shared" si="1"/>
        <v>46197.000138888892</v>
      </c>
      <c r="G77" s="27"/>
      <c r="L77" s="66"/>
    </row>
    <row r="78" spans="1:12" ht="15.75" customHeight="1" x14ac:dyDescent="0.25">
      <c r="A78" t="s">
        <v>751</v>
      </c>
      <c r="B78" t="s">
        <v>845</v>
      </c>
      <c r="C78" s="68">
        <v>3050000</v>
      </c>
      <c r="D78" s="13">
        <v>46242</v>
      </c>
      <c r="E78" s="65">
        <v>46194.000138888892</v>
      </c>
      <c r="F78" s="40">
        <f t="shared" si="1"/>
        <v>46196.000138888892</v>
      </c>
      <c r="G78" s="27"/>
      <c r="L78" s="66"/>
    </row>
    <row r="79" spans="1:12" ht="15.75" customHeight="1" x14ac:dyDescent="0.25">
      <c r="A79" t="s">
        <v>763</v>
      </c>
      <c r="B79" t="s">
        <v>846</v>
      </c>
      <c r="C79" s="68">
        <v>14000000</v>
      </c>
      <c r="D79" s="13">
        <v>46243</v>
      </c>
      <c r="E79" s="65">
        <v>46193.000138888892</v>
      </c>
      <c r="F79" s="40">
        <f t="shared" si="1"/>
        <v>46195.000138888892</v>
      </c>
      <c r="G79" s="27"/>
      <c r="L79" s="66"/>
    </row>
    <row r="80" spans="1:12" ht="15.75" customHeight="1" x14ac:dyDescent="0.25">
      <c r="A80" t="s">
        <v>763</v>
      </c>
      <c r="B80" t="s">
        <v>847</v>
      </c>
      <c r="C80" s="68">
        <v>12277397.439999999</v>
      </c>
      <c r="D80" s="13">
        <v>46244</v>
      </c>
      <c r="E80" s="65">
        <v>46193.000138888892</v>
      </c>
      <c r="F80" s="40">
        <f t="shared" si="1"/>
        <v>46195.000138888892</v>
      </c>
      <c r="G80" s="27"/>
      <c r="L80" s="66"/>
    </row>
    <row r="81" spans="1:12" ht="15.75" customHeight="1" x14ac:dyDescent="0.25">
      <c r="A81" t="s">
        <v>762</v>
      </c>
      <c r="B81" t="s">
        <v>848</v>
      </c>
      <c r="C81" s="68">
        <v>28000000</v>
      </c>
      <c r="D81" s="13">
        <v>46245</v>
      </c>
      <c r="E81" s="65">
        <v>46193.000138888892</v>
      </c>
      <c r="F81" s="40">
        <f t="shared" si="1"/>
        <v>46195.000138888892</v>
      </c>
      <c r="G81" s="27"/>
      <c r="L81" s="66"/>
    </row>
    <row r="82" spans="1:12" ht="15.75" customHeight="1" x14ac:dyDescent="0.25">
      <c r="A82" t="s">
        <v>754</v>
      </c>
      <c r="B82" t="s">
        <v>849</v>
      </c>
      <c r="C82" s="68">
        <v>6526515</v>
      </c>
      <c r="D82" s="13">
        <v>46246</v>
      </c>
      <c r="E82" s="65">
        <v>46193.000138888892</v>
      </c>
      <c r="F82" s="40">
        <f t="shared" si="1"/>
        <v>46195.000138888892</v>
      </c>
      <c r="G82" s="27"/>
      <c r="L82" s="66"/>
    </row>
    <row r="83" spans="1:12" ht="15.75" customHeight="1" x14ac:dyDescent="0.25">
      <c r="A83" t="s">
        <v>754</v>
      </c>
      <c r="B83" t="s">
        <v>850</v>
      </c>
      <c r="C83" s="68">
        <v>10000000</v>
      </c>
      <c r="D83" s="13">
        <v>46247</v>
      </c>
      <c r="E83" s="65">
        <v>46193.000138888892</v>
      </c>
      <c r="F83" s="40">
        <f t="shared" si="1"/>
        <v>46195.000138888892</v>
      </c>
      <c r="G83" s="27"/>
      <c r="L83" s="66"/>
    </row>
    <row r="84" spans="1:12" ht="15.75" customHeight="1" x14ac:dyDescent="0.25">
      <c r="A84" t="s">
        <v>754</v>
      </c>
      <c r="B84" t="s">
        <v>851</v>
      </c>
      <c r="C84" s="68">
        <v>10000000</v>
      </c>
      <c r="D84" s="13">
        <v>46248</v>
      </c>
      <c r="E84" s="65">
        <v>46193.000138888892</v>
      </c>
      <c r="F84" s="40">
        <f t="shared" si="1"/>
        <v>46195.000138888892</v>
      </c>
      <c r="G84" s="27"/>
      <c r="L84" s="66"/>
    </row>
    <row r="85" spans="1:12" ht="15.75" customHeight="1" x14ac:dyDescent="0.25">
      <c r="A85" t="s">
        <v>754</v>
      </c>
      <c r="B85" t="s">
        <v>852</v>
      </c>
      <c r="C85" s="68">
        <v>10000000</v>
      </c>
      <c r="D85" s="13">
        <v>46249</v>
      </c>
      <c r="E85" s="65">
        <v>46193.000138888892</v>
      </c>
      <c r="F85" s="40">
        <f t="shared" si="1"/>
        <v>46195.000138888892</v>
      </c>
      <c r="G85" s="27"/>
      <c r="L85" s="66"/>
    </row>
    <row r="86" spans="1:12" ht="15.75" customHeight="1" x14ac:dyDescent="0.25">
      <c r="A86" t="s">
        <v>754</v>
      </c>
      <c r="B86" t="s">
        <v>853</v>
      </c>
      <c r="C86" s="68">
        <v>10000000</v>
      </c>
      <c r="D86" s="13">
        <v>46250</v>
      </c>
      <c r="E86" s="65">
        <v>46193.000138888892</v>
      </c>
      <c r="F86" s="40">
        <f t="shared" si="1"/>
        <v>46195.000138888892</v>
      </c>
      <c r="G86" s="27"/>
      <c r="L86" s="66"/>
    </row>
    <row r="87" spans="1:12" ht="15.75" customHeight="1" x14ac:dyDescent="0.25">
      <c r="A87" t="s">
        <v>758</v>
      </c>
      <c r="B87" t="s">
        <v>854</v>
      </c>
      <c r="C87" s="68">
        <v>14268870</v>
      </c>
      <c r="D87" s="13">
        <v>46251</v>
      </c>
      <c r="E87" s="65">
        <v>46193.000138888892</v>
      </c>
      <c r="F87" s="40">
        <f t="shared" si="1"/>
        <v>46195.000138888892</v>
      </c>
      <c r="G87" s="27"/>
      <c r="L87" s="66"/>
    </row>
    <row r="88" spans="1:12" ht="15.75" customHeight="1" x14ac:dyDescent="0.25">
      <c r="A88" t="s">
        <v>754</v>
      </c>
      <c r="B88" t="s">
        <v>855</v>
      </c>
      <c r="C88" s="68">
        <v>10000000</v>
      </c>
      <c r="D88" s="13">
        <v>46252</v>
      </c>
      <c r="E88" s="65">
        <v>46193.000138888892</v>
      </c>
      <c r="F88" s="40">
        <f t="shared" si="1"/>
        <v>46195.000138888892</v>
      </c>
      <c r="G88" s="27"/>
      <c r="L88" s="66"/>
    </row>
    <row r="89" spans="1:12" ht="15.75" customHeight="1" x14ac:dyDescent="0.25">
      <c r="A89" t="s">
        <v>754</v>
      </c>
      <c r="B89" t="s">
        <v>856</v>
      </c>
      <c r="C89" s="68">
        <v>10000000</v>
      </c>
      <c r="D89" s="13">
        <v>46253</v>
      </c>
      <c r="E89" s="65">
        <v>46193.000138888892</v>
      </c>
      <c r="F89" s="40">
        <f t="shared" si="1"/>
        <v>46195.000138888892</v>
      </c>
      <c r="G89" s="27"/>
      <c r="L89" s="66"/>
    </row>
    <row r="90" spans="1:12" ht="15.75" customHeight="1" x14ac:dyDescent="0.25">
      <c r="A90" t="s">
        <v>753</v>
      </c>
      <c r="B90" t="s">
        <v>857</v>
      </c>
      <c r="C90" s="68">
        <v>3000380</v>
      </c>
      <c r="D90" s="13">
        <v>46254</v>
      </c>
      <c r="E90" s="65">
        <v>46193.000138888892</v>
      </c>
      <c r="F90" s="40">
        <f t="shared" si="1"/>
        <v>46195.000138888892</v>
      </c>
      <c r="G90" s="27"/>
      <c r="L90" s="66"/>
    </row>
    <row r="91" spans="1:12" ht="15.75" customHeight="1" x14ac:dyDescent="0.25">
      <c r="A91" t="s">
        <v>753</v>
      </c>
      <c r="B91" t="s">
        <v>858</v>
      </c>
      <c r="C91" s="68">
        <v>3019000</v>
      </c>
      <c r="D91" s="13">
        <v>46255</v>
      </c>
      <c r="E91" s="65">
        <v>46193.000138888892</v>
      </c>
      <c r="F91" s="40">
        <f t="shared" si="1"/>
        <v>46195.000138888892</v>
      </c>
      <c r="G91" s="27"/>
      <c r="L91" s="66"/>
    </row>
    <row r="92" spans="1:12" ht="15.75" customHeight="1" x14ac:dyDescent="0.25">
      <c r="A92" t="s">
        <v>751</v>
      </c>
      <c r="B92" t="s">
        <v>859</v>
      </c>
      <c r="C92" s="68">
        <v>3050000</v>
      </c>
      <c r="D92" s="13">
        <v>46256</v>
      </c>
      <c r="E92" s="65">
        <v>46193.000138888892</v>
      </c>
      <c r="F92" s="40">
        <f t="shared" si="1"/>
        <v>46195.000138888892</v>
      </c>
      <c r="G92" s="27"/>
      <c r="L92" s="66"/>
    </row>
    <row r="93" spans="1:12" ht="15.75" customHeight="1" x14ac:dyDescent="0.25">
      <c r="A93" t="s">
        <v>756</v>
      </c>
      <c r="B93" t="s">
        <v>860</v>
      </c>
      <c r="C93" s="68">
        <v>1400000</v>
      </c>
      <c r="D93" s="13">
        <v>46257</v>
      </c>
      <c r="E93" s="65">
        <v>46192.000138888892</v>
      </c>
      <c r="F93" s="40">
        <f t="shared" si="1"/>
        <v>46194.000138888892</v>
      </c>
      <c r="G93" s="27"/>
      <c r="L93" s="66"/>
    </row>
    <row r="94" spans="1:12" ht="15.75" customHeight="1" x14ac:dyDescent="0.25">
      <c r="A94" t="s">
        <v>756</v>
      </c>
      <c r="B94" t="s">
        <v>861</v>
      </c>
      <c r="C94" s="68">
        <v>1500000</v>
      </c>
      <c r="D94" s="13">
        <v>46258</v>
      </c>
      <c r="E94" s="65">
        <v>46192.000138888892</v>
      </c>
      <c r="F94" s="40">
        <f t="shared" si="1"/>
        <v>46194.000138888892</v>
      </c>
      <c r="G94" s="27"/>
      <c r="L94" s="66"/>
    </row>
    <row r="95" spans="1:12" ht="15.75" customHeight="1" x14ac:dyDescent="0.25">
      <c r="A95" t="s">
        <v>757</v>
      </c>
      <c r="B95" t="s">
        <v>862</v>
      </c>
      <c r="C95" s="68">
        <v>1700000</v>
      </c>
      <c r="D95" s="13">
        <v>46259</v>
      </c>
      <c r="E95" s="65">
        <v>46192.000138888892</v>
      </c>
      <c r="F95" s="40">
        <f t="shared" si="1"/>
        <v>46194.000138888892</v>
      </c>
      <c r="G95" s="27"/>
      <c r="L95" s="66"/>
    </row>
    <row r="96" spans="1:12" ht="15.75" customHeight="1" x14ac:dyDescent="0.25">
      <c r="A96" t="s">
        <v>757</v>
      </c>
      <c r="B96" t="s">
        <v>863</v>
      </c>
      <c r="C96" s="68">
        <v>1300000</v>
      </c>
      <c r="D96" s="13">
        <v>46260</v>
      </c>
      <c r="E96" s="65">
        <v>46192.000138888892</v>
      </c>
      <c r="F96" s="40">
        <f t="shared" si="1"/>
        <v>46194.000138888892</v>
      </c>
      <c r="G96" s="27"/>
      <c r="L96" s="66"/>
    </row>
    <row r="97" spans="1:12" ht="15.75" customHeight="1" x14ac:dyDescent="0.25">
      <c r="A97" t="s">
        <v>760</v>
      </c>
      <c r="B97" t="s">
        <v>864</v>
      </c>
      <c r="C97" s="68">
        <v>21096432.5</v>
      </c>
      <c r="D97" s="13">
        <v>46261</v>
      </c>
      <c r="E97" s="65">
        <v>46192.000138888892</v>
      </c>
      <c r="F97" s="40">
        <f t="shared" si="1"/>
        <v>46194.000138888892</v>
      </c>
      <c r="G97" s="27"/>
      <c r="L97" s="66"/>
    </row>
    <row r="98" spans="1:12" ht="15.75" customHeight="1" x14ac:dyDescent="0.25">
      <c r="A98" t="s">
        <v>753</v>
      </c>
      <c r="B98" t="s">
        <v>865</v>
      </c>
      <c r="C98" s="68">
        <v>3000060</v>
      </c>
      <c r="D98" s="13">
        <v>46262</v>
      </c>
      <c r="E98" s="65">
        <v>46192.000138888892</v>
      </c>
      <c r="F98" s="40">
        <f t="shared" si="1"/>
        <v>46194.000138888892</v>
      </c>
      <c r="G98" s="27"/>
      <c r="L98" s="66"/>
    </row>
    <row r="99" spans="1:12" ht="15.75" customHeight="1" x14ac:dyDescent="0.25">
      <c r="A99" t="s">
        <v>753</v>
      </c>
      <c r="B99" t="s">
        <v>866</v>
      </c>
      <c r="C99" s="68">
        <v>2364000</v>
      </c>
      <c r="D99" s="13">
        <v>46263</v>
      </c>
      <c r="E99" s="65">
        <v>46192.000138888892</v>
      </c>
      <c r="F99" s="40">
        <f t="shared" si="1"/>
        <v>46194.000138888892</v>
      </c>
      <c r="G99" s="27"/>
      <c r="L99" s="66"/>
    </row>
    <row r="100" spans="1:12" ht="15.75" customHeight="1" x14ac:dyDescent="0.25">
      <c r="A100" t="s">
        <v>753</v>
      </c>
      <c r="B100" t="s">
        <v>867</v>
      </c>
      <c r="C100" s="68">
        <v>3000900</v>
      </c>
      <c r="D100" s="13">
        <v>46264</v>
      </c>
      <c r="E100" s="65">
        <v>46192.000138888892</v>
      </c>
      <c r="F100" s="40">
        <f t="shared" si="1"/>
        <v>46194.000138888892</v>
      </c>
      <c r="G100" s="27"/>
      <c r="L100" s="66"/>
    </row>
    <row r="101" spans="1:12" ht="15.75" customHeight="1" x14ac:dyDescent="0.25">
      <c r="A101" t="s">
        <v>764</v>
      </c>
      <c r="B101" t="s">
        <v>868</v>
      </c>
      <c r="C101" s="68">
        <v>1339800</v>
      </c>
      <c r="D101" s="13">
        <v>46265</v>
      </c>
      <c r="E101" s="65">
        <v>46192.000138888892</v>
      </c>
      <c r="F101" s="40">
        <f t="shared" si="1"/>
        <v>46194.000138888892</v>
      </c>
      <c r="G101" s="27"/>
      <c r="L101" s="66"/>
    </row>
    <row r="102" spans="1:12" ht="15.75" customHeight="1" x14ac:dyDescent="0.25">
      <c r="A102" t="s">
        <v>751</v>
      </c>
      <c r="B102" t="s">
        <v>869</v>
      </c>
      <c r="C102" s="68">
        <v>3050000</v>
      </c>
      <c r="D102" s="13">
        <v>46266</v>
      </c>
      <c r="E102" s="65">
        <v>46192.000138888892</v>
      </c>
      <c r="F102" s="40">
        <f t="shared" si="1"/>
        <v>46194.000138888892</v>
      </c>
      <c r="G102" s="27"/>
      <c r="L102" s="66"/>
    </row>
    <row r="103" spans="1:12" ht="15.75" customHeight="1" x14ac:dyDescent="0.25">
      <c r="A103" t="s">
        <v>755</v>
      </c>
      <c r="B103" t="s">
        <v>870</v>
      </c>
      <c r="C103" s="68">
        <v>28375270</v>
      </c>
      <c r="D103" s="13">
        <v>46267</v>
      </c>
      <c r="E103" s="65">
        <v>46192.000138888892</v>
      </c>
      <c r="F103" s="40">
        <f t="shared" si="1"/>
        <v>46194.000138888892</v>
      </c>
      <c r="G103" s="27"/>
      <c r="L103" s="66"/>
    </row>
    <row r="104" spans="1:12" ht="15.75" customHeight="1" x14ac:dyDescent="0.25">
      <c r="A104" t="s">
        <v>756</v>
      </c>
      <c r="B104" t="s">
        <v>871</v>
      </c>
      <c r="C104" s="68">
        <v>1400000</v>
      </c>
      <c r="D104" s="13">
        <v>46268</v>
      </c>
      <c r="E104" s="65">
        <v>46191.000138888892</v>
      </c>
      <c r="F104" s="40">
        <f t="shared" si="1"/>
        <v>46193.000138888892</v>
      </c>
      <c r="G104" s="27"/>
      <c r="L104" s="66"/>
    </row>
    <row r="105" spans="1:12" ht="15.75" customHeight="1" x14ac:dyDescent="0.25">
      <c r="A105" t="s">
        <v>756</v>
      </c>
      <c r="B105" t="s">
        <v>872</v>
      </c>
      <c r="C105" s="68">
        <v>1420740</v>
      </c>
      <c r="D105" s="13">
        <v>46269</v>
      </c>
      <c r="E105" s="65">
        <v>46191.000138888892</v>
      </c>
      <c r="F105" s="40">
        <f t="shared" si="1"/>
        <v>46193.000138888892</v>
      </c>
      <c r="G105" s="27"/>
      <c r="L105" s="66"/>
    </row>
    <row r="106" spans="1:12" ht="15.75" customHeight="1" x14ac:dyDescent="0.25">
      <c r="A106" t="s">
        <v>751</v>
      </c>
      <c r="B106" t="s">
        <v>873</v>
      </c>
      <c r="C106" s="68">
        <v>3050000</v>
      </c>
      <c r="D106" s="13">
        <v>46270</v>
      </c>
      <c r="E106" s="65">
        <v>46191.000138888892</v>
      </c>
      <c r="F106" s="40">
        <f t="shared" si="1"/>
        <v>46193.000138888892</v>
      </c>
      <c r="G106" s="27"/>
      <c r="L106" s="66"/>
    </row>
    <row r="107" spans="1:12" ht="15.75" customHeight="1" x14ac:dyDescent="0.25">
      <c r="A107" t="s">
        <v>756</v>
      </c>
      <c r="B107" t="s">
        <v>874</v>
      </c>
      <c r="C107" s="68">
        <v>1460205</v>
      </c>
      <c r="D107" s="13">
        <v>46271</v>
      </c>
      <c r="E107" s="65">
        <v>46191.000138888892</v>
      </c>
      <c r="F107" s="40">
        <f t="shared" si="1"/>
        <v>46193.000138888892</v>
      </c>
      <c r="G107" s="27"/>
      <c r="L107" s="66"/>
    </row>
    <row r="108" spans="1:12" ht="15.75" customHeight="1" x14ac:dyDescent="0.25">
      <c r="A108" t="s">
        <v>756</v>
      </c>
      <c r="B108" t="s">
        <v>875</v>
      </c>
      <c r="C108" s="68">
        <v>1500000</v>
      </c>
      <c r="D108" s="13">
        <v>46272</v>
      </c>
      <c r="E108" s="65">
        <v>46190.000138888892</v>
      </c>
      <c r="F108" s="40">
        <f t="shared" si="1"/>
        <v>46192.000138888892</v>
      </c>
      <c r="G108" s="27"/>
      <c r="L108" s="66"/>
    </row>
    <row r="109" spans="1:12" ht="15.75" customHeight="1" x14ac:dyDescent="0.25">
      <c r="A109" t="s">
        <v>756</v>
      </c>
      <c r="B109" t="s">
        <v>876</v>
      </c>
      <c r="C109" s="68">
        <v>1400000</v>
      </c>
      <c r="D109" s="13">
        <v>46273</v>
      </c>
      <c r="E109" s="65">
        <v>46190.000138888892</v>
      </c>
      <c r="F109" s="40">
        <f t="shared" si="1"/>
        <v>46192.000138888892</v>
      </c>
      <c r="G109" s="27"/>
      <c r="L109" s="66"/>
    </row>
    <row r="110" spans="1:12" ht="15.75" customHeight="1" x14ac:dyDescent="0.25">
      <c r="A110" t="s">
        <v>760</v>
      </c>
      <c r="B110" t="s">
        <v>877</v>
      </c>
      <c r="C110" s="68">
        <v>18000000</v>
      </c>
      <c r="D110" s="13">
        <v>46274</v>
      </c>
      <c r="E110" s="65">
        <v>46190.000138888892</v>
      </c>
      <c r="F110" s="40">
        <f t="shared" si="1"/>
        <v>46192.000138888892</v>
      </c>
      <c r="G110" s="27"/>
      <c r="L110" s="66"/>
    </row>
    <row r="111" spans="1:12" ht="15.75" customHeight="1" x14ac:dyDescent="0.25">
      <c r="A111" t="s">
        <v>757</v>
      </c>
      <c r="B111" t="s">
        <v>878</v>
      </c>
      <c r="C111" s="68">
        <v>1700000</v>
      </c>
      <c r="D111" s="13">
        <v>46275</v>
      </c>
      <c r="E111" s="65">
        <v>46190.000138888892</v>
      </c>
      <c r="F111" s="40">
        <f t="shared" si="1"/>
        <v>46192.000138888892</v>
      </c>
      <c r="G111" s="27"/>
      <c r="L111" s="66"/>
    </row>
    <row r="112" spans="1:12" ht="15.75" customHeight="1" x14ac:dyDescent="0.25">
      <c r="A112" t="s">
        <v>757</v>
      </c>
      <c r="B112" t="s">
        <v>879</v>
      </c>
      <c r="C112" s="68">
        <v>1300000</v>
      </c>
      <c r="D112" s="13">
        <v>46276</v>
      </c>
      <c r="E112" s="65">
        <v>46190.000138888892</v>
      </c>
      <c r="F112" s="40">
        <f t="shared" si="1"/>
        <v>46192.000138888892</v>
      </c>
      <c r="G112" s="27"/>
      <c r="L112" s="66"/>
    </row>
    <row r="113" spans="1:12" ht="15.75" customHeight="1" x14ac:dyDescent="0.25">
      <c r="A113" t="s">
        <v>756</v>
      </c>
      <c r="B113" t="s">
        <v>880</v>
      </c>
      <c r="C113" s="68">
        <v>1440000</v>
      </c>
      <c r="D113" s="13">
        <v>46277</v>
      </c>
      <c r="E113" s="65">
        <v>46190.000138888892</v>
      </c>
      <c r="F113" s="40">
        <f t="shared" si="1"/>
        <v>46192.000138888892</v>
      </c>
      <c r="G113" s="27"/>
      <c r="L113" s="66"/>
    </row>
    <row r="114" spans="1:12" ht="15.75" customHeight="1" x14ac:dyDescent="0.25">
      <c r="A114" t="s">
        <v>751</v>
      </c>
      <c r="B114" t="s">
        <v>881</v>
      </c>
      <c r="C114" s="68">
        <v>3050000</v>
      </c>
      <c r="D114" s="13">
        <v>46278</v>
      </c>
      <c r="E114" s="65">
        <v>46190.000138888892</v>
      </c>
      <c r="F114" s="40">
        <f t="shared" si="1"/>
        <v>46192.000138888892</v>
      </c>
      <c r="G114" s="27"/>
      <c r="L114" s="66"/>
    </row>
    <row r="115" spans="1:12" ht="15.75" customHeight="1" x14ac:dyDescent="0.25">
      <c r="A115" t="s">
        <v>756</v>
      </c>
      <c r="B115" t="s">
        <v>882</v>
      </c>
      <c r="C115" s="68">
        <v>1480000</v>
      </c>
      <c r="D115" s="13">
        <v>46279</v>
      </c>
      <c r="E115" s="65">
        <v>46190.000138888892</v>
      </c>
      <c r="F115" s="40">
        <f t="shared" si="1"/>
        <v>46192.000138888892</v>
      </c>
      <c r="G115" s="27"/>
      <c r="L115" s="66"/>
    </row>
    <row r="116" spans="1:12" ht="15.75" customHeight="1" x14ac:dyDescent="0.25">
      <c r="A116" t="s">
        <v>756</v>
      </c>
      <c r="B116" t="s">
        <v>883</v>
      </c>
      <c r="C116" s="68">
        <v>1400000</v>
      </c>
      <c r="D116" s="13">
        <v>46280</v>
      </c>
      <c r="E116" s="65">
        <v>46189.000138888892</v>
      </c>
      <c r="F116" s="40">
        <f t="shared" si="1"/>
        <v>46191.000138888892</v>
      </c>
      <c r="G116" s="27"/>
      <c r="L116" s="66"/>
    </row>
    <row r="117" spans="1:12" ht="15.75" customHeight="1" x14ac:dyDescent="0.25">
      <c r="A117" t="s">
        <v>756</v>
      </c>
      <c r="B117" t="s">
        <v>884</v>
      </c>
      <c r="C117" s="68">
        <v>1500000</v>
      </c>
      <c r="D117" s="13">
        <v>46281</v>
      </c>
      <c r="E117" s="65">
        <v>46189.000138888892</v>
      </c>
      <c r="F117" s="40">
        <f t="shared" si="1"/>
        <v>46191.000138888892</v>
      </c>
      <c r="G117" s="27"/>
      <c r="L117" s="66"/>
    </row>
    <row r="118" spans="1:12" ht="15.75" customHeight="1" x14ac:dyDescent="0.25">
      <c r="A118" t="s">
        <v>757</v>
      </c>
      <c r="B118" t="s">
        <v>885</v>
      </c>
      <c r="C118" s="68">
        <v>1300000</v>
      </c>
      <c r="D118" s="13">
        <v>46282</v>
      </c>
      <c r="E118" s="65">
        <v>46189.000138888892</v>
      </c>
      <c r="F118" s="40">
        <f t="shared" si="1"/>
        <v>46191.000138888892</v>
      </c>
      <c r="G118" s="27"/>
      <c r="L118" s="66"/>
    </row>
    <row r="119" spans="1:12" ht="15.75" customHeight="1" x14ac:dyDescent="0.25">
      <c r="A119" t="s">
        <v>756</v>
      </c>
      <c r="B119" t="s">
        <v>886</v>
      </c>
      <c r="C119" s="68">
        <v>1440000</v>
      </c>
      <c r="D119" s="13">
        <v>46283</v>
      </c>
      <c r="E119" s="65">
        <v>46189.000138888892</v>
      </c>
      <c r="F119" s="40">
        <f t="shared" si="1"/>
        <v>46191.000138888892</v>
      </c>
      <c r="G119" s="27"/>
      <c r="L119" s="66"/>
    </row>
    <row r="120" spans="1:12" ht="15.75" customHeight="1" x14ac:dyDescent="0.25">
      <c r="A120" t="s">
        <v>756</v>
      </c>
      <c r="B120" t="s">
        <v>887</v>
      </c>
      <c r="C120" s="68">
        <v>1480000</v>
      </c>
      <c r="D120" s="13">
        <v>46284</v>
      </c>
      <c r="E120" s="65">
        <v>46189.000138888892</v>
      </c>
      <c r="F120" s="40">
        <f t="shared" si="1"/>
        <v>46191.000138888892</v>
      </c>
      <c r="G120" s="27"/>
      <c r="L120" s="66"/>
    </row>
    <row r="121" spans="1:12" ht="15.75" customHeight="1" x14ac:dyDescent="0.25">
      <c r="A121" t="s">
        <v>751</v>
      </c>
      <c r="B121" t="s">
        <v>888</v>
      </c>
      <c r="C121" s="68">
        <v>2983045</v>
      </c>
      <c r="D121" s="13">
        <v>46285</v>
      </c>
      <c r="E121" s="65">
        <v>46189.000138888892</v>
      </c>
      <c r="F121" s="40">
        <f t="shared" si="1"/>
        <v>46191.000138888892</v>
      </c>
      <c r="G121" s="27"/>
      <c r="L121" s="66"/>
    </row>
    <row r="122" spans="1:12" ht="15.75" customHeight="1" x14ac:dyDescent="0.25">
      <c r="A122" t="s">
        <v>759</v>
      </c>
      <c r="B122" t="s">
        <v>889</v>
      </c>
      <c r="C122" s="68">
        <v>11744287.5</v>
      </c>
      <c r="D122" s="13">
        <v>46286</v>
      </c>
      <c r="E122" s="65">
        <v>46189.000138888892</v>
      </c>
      <c r="F122" s="40">
        <f t="shared" si="1"/>
        <v>46191.000138888892</v>
      </c>
      <c r="G122" s="27"/>
      <c r="L122" s="66"/>
    </row>
    <row r="123" spans="1:12" ht="15.75" customHeight="1" x14ac:dyDescent="0.25">
      <c r="A123" t="s">
        <v>765</v>
      </c>
      <c r="B123" t="s">
        <v>890</v>
      </c>
      <c r="C123" s="68">
        <v>6000000</v>
      </c>
      <c r="D123" s="13">
        <v>46287</v>
      </c>
      <c r="E123" s="65">
        <v>46188.000138888892</v>
      </c>
      <c r="F123" s="40">
        <f t="shared" si="1"/>
        <v>46190.000138888892</v>
      </c>
      <c r="G123" s="27"/>
      <c r="L123" s="66"/>
    </row>
    <row r="124" spans="1:12" ht="15.75" customHeight="1" x14ac:dyDescent="0.25">
      <c r="A124" t="s">
        <v>765</v>
      </c>
      <c r="B124" t="s">
        <v>891</v>
      </c>
      <c r="C124" s="68">
        <v>6000000</v>
      </c>
      <c r="D124" s="13">
        <v>46288</v>
      </c>
      <c r="E124" s="65">
        <v>46188.000138888892</v>
      </c>
      <c r="F124" s="40">
        <f t="shared" si="1"/>
        <v>46190.000138888892</v>
      </c>
      <c r="G124" s="27"/>
      <c r="L124" s="66"/>
    </row>
    <row r="125" spans="1:12" ht="15.75" customHeight="1" x14ac:dyDescent="0.25">
      <c r="A125" t="s">
        <v>765</v>
      </c>
      <c r="B125" t="s">
        <v>892</v>
      </c>
      <c r="C125" s="68">
        <v>4658569</v>
      </c>
      <c r="D125" s="13">
        <v>46289</v>
      </c>
      <c r="E125" s="65">
        <v>46188.000138888892</v>
      </c>
      <c r="F125" s="40">
        <f t="shared" si="1"/>
        <v>46190.000138888892</v>
      </c>
      <c r="G125" s="27"/>
      <c r="L125" s="66"/>
    </row>
    <row r="126" spans="1:12" ht="15.75" customHeight="1" x14ac:dyDescent="0.25">
      <c r="A126" t="s">
        <v>753</v>
      </c>
      <c r="B126" t="s">
        <v>893</v>
      </c>
      <c r="C126" s="68">
        <v>3004000</v>
      </c>
      <c r="D126" s="13">
        <v>46290</v>
      </c>
      <c r="E126" s="65">
        <v>46187.000138888892</v>
      </c>
      <c r="F126" s="40">
        <f t="shared" si="1"/>
        <v>46189.000138888892</v>
      </c>
      <c r="G126" s="27"/>
      <c r="L126" s="66"/>
    </row>
    <row r="127" spans="1:12" ht="15.75" customHeight="1" x14ac:dyDescent="0.25">
      <c r="A127" t="s">
        <v>753</v>
      </c>
      <c r="B127" t="s">
        <v>894</v>
      </c>
      <c r="C127" s="68">
        <v>1200000</v>
      </c>
      <c r="D127" s="13">
        <v>46291</v>
      </c>
      <c r="E127" s="65">
        <v>46187.000138888892</v>
      </c>
      <c r="F127" s="40">
        <f t="shared" si="1"/>
        <v>46189.000138888892</v>
      </c>
      <c r="G127" s="27"/>
      <c r="L127" s="66"/>
    </row>
    <row r="128" spans="1:12" ht="15.75" customHeight="1" x14ac:dyDescent="0.25">
      <c r="A128" t="s">
        <v>753</v>
      </c>
      <c r="B128" t="s">
        <v>895</v>
      </c>
      <c r="C128" s="68">
        <v>3050000</v>
      </c>
      <c r="D128" s="13">
        <v>46292</v>
      </c>
      <c r="E128" s="65">
        <v>46187.000138888892</v>
      </c>
      <c r="F128" s="40">
        <f t="shared" si="1"/>
        <v>46189.000138888892</v>
      </c>
      <c r="G128" s="27"/>
      <c r="L128" s="66"/>
    </row>
    <row r="129" spans="1:12" ht="15.75" customHeight="1" x14ac:dyDescent="0.25">
      <c r="A129" t="s">
        <v>763</v>
      </c>
      <c r="B129" t="s">
        <v>896</v>
      </c>
      <c r="C129" s="68">
        <v>10000000</v>
      </c>
      <c r="D129" s="13">
        <v>46293</v>
      </c>
      <c r="E129" s="65">
        <v>46186.000138888892</v>
      </c>
      <c r="F129" s="40">
        <f t="shared" si="1"/>
        <v>46188.000138888892</v>
      </c>
      <c r="G129" s="27"/>
      <c r="L129" s="66"/>
    </row>
    <row r="130" spans="1:12" ht="15.75" customHeight="1" x14ac:dyDescent="0.25">
      <c r="A130" t="s">
        <v>763</v>
      </c>
      <c r="B130" t="s">
        <v>897</v>
      </c>
      <c r="C130" s="68">
        <v>14000000</v>
      </c>
      <c r="D130" s="13">
        <v>46294</v>
      </c>
      <c r="E130" s="65">
        <v>46186.000138888892</v>
      </c>
      <c r="F130" s="40">
        <f t="shared" si="1"/>
        <v>46188.000138888892</v>
      </c>
      <c r="G130" s="27"/>
      <c r="L130" s="66"/>
    </row>
    <row r="131" spans="1:12" ht="15.75" customHeight="1" x14ac:dyDescent="0.25">
      <c r="A131" t="s">
        <v>759</v>
      </c>
      <c r="B131" t="s">
        <v>898</v>
      </c>
      <c r="C131" s="68">
        <v>9263100</v>
      </c>
      <c r="D131" s="13">
        <v>46295</v>
      </c>
      <c r="E131" s="65">
        <v>46186.000138888892</v>
      </c>
      <c r="F131" s="40">
        <f t="shared" si="1"/>
        <v>46188.000138888892</v>
      </c>
      <c r="G131" s="27"/>
      <c r="L131" s="66"/>
    </row>
    <row r="132" spans="1:12" ht="15.75" customHeight="1" x14ac:dyDescent="0.25">
      <c r="A132" t="s">
        <v>766</v>
      </c>
      <c r="B132" t="s">
        <v>899</v>
      </c>
      <c r="C132" s="68">
        <v>12240330</v>
      </c>
      <c r="D132" s="13">
        <v>46296</v>
      </c>
      <c r="E132" s="65">
        <v>46185.000138888892</v>
      </c>
      <c r="F132" s="40">
        <f t="shared" si="1"/>
        <v>46187.000138888892</v>
      </c>
      <c r="G132" s="27"/>
      <c r="L132" s="66"/>
    </row>
    <row r="133" spans="1:12" ht="15.75" customHeight="1" x14ac:dyDescent="0.25">
      <c r="A133" t="s">
        <v>766</v>
      </c>
      <c r="B133" t="s">
        <v>900</v>
      </c>
      <c r="C133" s="68">
        <v>12295800</v>
      </c>
      <c r="D133" s="13">
        <v>46297</v>
      </c>
      <c r="E133" s="65">
        <v>46185.000138888892</v>
      </c>
      <c r="F133" s="40">
        <f t="shared" ref="F133:F196" si="2">+E133+2</f>
        <v>46187.000138888892</v>
      </c>
      <c r="G133" s="27"/>
      <c r="L133" s="66"/>
    </row>
    <row r="134" spans="1:12" ht="15.75" customHeight="1" x14ac:dyDescent="0.25">
      <c r="A134" t="s">
        <v>767</v>
      </c>
      <c r="B134" t="s">
        <v>901</v>
      </c>
      <c r="C134" s="68">
        <v>7286515</v>
      </c>
      <c r="D134" s="13">
        <v>46298</v>
      </c>
      <c r="E134" s="65">
        <v>46185.000138888892</v>
      </c>
      <c r="F134" s="40">
        <f t="shared" si="2"/>
        <v>46187.000138888892</v>
      </c>
      <c r="G134" s="27"/>
      <c r="L134" s="66"/>
    </row>
    <row r="135" spans="1:12" ht="15.75" customHeight="1" x14ac:dyDescent="0.25">
      <c r="A135" t="s">
        <v>760</v>
      </c>
      <c r="B135" t="s">
        <v>902</v>
      </c>
      <c r="C135" s="68">
        <v>21500000</v>
      </c>
      <c r="D135" s="13">
        <v>46299</v>
      </c>
      <c r="E135" s="65">
        <v>46185.000138888892</v>
      </c>
      <c r="F135" s="40">
        <f t="shared" si="2"/>
        <v>46187.000138888892</v>
      </c>
      <c r="G135" s="27"/>
      <c r="L135" s="66"/>
    </row>
    <row r="136" spans="1:12" ht="15.75" customHeight="1" x14ac:dyDescent="0.25">
      <c r="A136" t="s">
        <v>764</v>
      </c>
      <c r="B136" t="s">
        <v>903</v>
      </c>
      <c r="C136" s="68">
        <v>1339800</v>
      </c>
      <c r="D136" s="13">
        <v>46300</v>
      </c>
      <c r="E136" s="65">
        <v>46185.000138888892</v>
      </c>
      <c r="F136" s="40">
        <f t="shared" si="2"/>
        <v>46187.000138888892</v>
      </c>
      <c r="G136" s="27"/>
      <c r="L136" s="66"/>
    </row>
    <row r="137" spans="1:12" ht="15.75" customHeight="1" x14ac:dyDescent="0.25">
      <c r="A137" t="s">
        <v>756</v>
      </c>
      <c r="B137" t="s">
        <v>904</v>
      </c>
      <c r="C137" s="68">
        <v>1440000</v>
      </c>
      <c r="D137" s="13">
        <v>46301</v>
      </c>
      <c r="E137" s="65">
        <v>46185.000138888892</v>
      </c>
      <c r="F137" s="40">
        <f t="shared" si="2"/>
        <v>46187.000138888892</v>
      </c>
      <c r="G137" s="27"/>
      <c r="L137" s="66"/>
    </row>
    <row r="138" spans="1:12" ht="15.75" customHeight="1" x14ac:dyDescent="0.25">
      <c r="A138" t="s">
        <v>756</v>
      </c>
      <c r="B138" t="s">
        <v>905</v>
      </c>
      <c r="C138" s="68">
        <v>1480000</v>
      </c>
      <c r="D138" s="13">
        <v>46302</v>
      </c>
      <c r="E138" s="65">
        <v>46185.000138888892</v>
      </c>
      <c r="F138" s="40">
        <f t="shared" si="2"/>
        <v>46187.000138888892</v>
      </c>
      <c r="G138" s="27"/>
      <c r="L138" s="66"/>
    </row>
    <row r="139" spans="1:12" ht="15.75" customHeight="1" x14ac:dyDescent="0.25">
      <c r="A139" t="s">
        <v>756</v>
      </c>
      <c r="B139" t="s">
        <v>906</v>
      </c>
      <c r="C139" s="68">
        <v>1148175</v>
      </c>
      <c r="D139" s="13">
        <v>46303</v>
      </c>
      <c r="E139" s="65">
        <v>46185.000138888892</v>
      </c>
      <c r="F139" s="40">
        <f t="shared" si="2"/>
        <v>46187.000138888892</v>
      </c>
      <c r="G139" s="27"/>
      <c r="L139" s="66"/>
    </row>
    <row r="140" spans="1:12" ht="15.75" customHeight="1" x14ac:dyDescent="0.25">
      <c r="A140" t="s">
        <v>752</v>
      </c>
      <c r="B140" t="s">
        <v>907</v>
      </c>
      <c r="C140" s="68">
        <v>4000000</v>
      </c>
      <c r="D140" s="13">
        <v>46304</v>
      </c>
      <c r="E140" s="65">
        <v>46185.000138888892</v>
      </c>
      <c r="F140" s="40">
        <f t="shared" si="2"/>
        <v>46187.000138888892</v>
      </c>
      <c r="G140" s="27"/>
      <c r="L140" s="66"/>
    </row>
    <row r="141" spans="1:12" ht="15.75" customHeight="1" x14ac:dyDescent="0.25">
      <c r="A141" t="s">
        <v>755</v>
      </c>
      <c r="B141" t="s">
        <v>908</v>
      </c>
      <c r="C141" s="68">
        <v>43814020</v>
      </c>
      <c r="D141" s="13">
        <v>46305</v>
      </c>
      <c r="E141" s="65">
        <v>46185.000138888892</v>
      </c>
      <c r="F141" s="40">
        <f t="shared" si="2"/>
        <v>46187.000138888892</v>
      </c>
      <c r="G141" s="27"/>
      <c r="L141" s="66"/>
    </row>
    <row r="142" spans="1:12" ht="15.75" customHeight="1" x14ac:dyDescent="0.25">
      <c r="A142" t="s">
        <v>752</v>
      </c>
      <c r="B142" t="s">
        <v>909</v>
      </c>
      <c r="C142" s="68">
        <v>250230</v>
      </c>
      <c r="D142" s="13">
        <v>46306</v>
      </c>
      <c r="E142" s="65">
        <v>46185.000138888892</v>
      </c>
      <c r="F142" s="40">
        <f t="shared" si="2"/>
        <v>46187.000138888892</v>
      </c>
      <c r="G142" s="27"/>
      <c r="L142" s="66"/>
    </row>
    <row r="143" spans="1:12" ht="15.75" customHeight="1" x14ac:dyDescent="0.25">
      <c r="A143" t="s">
        <v>757</v>
      </c>
      <c r="B143" t="s">
        <v>910</v>
      </c>
      <c r="C143" s="68">
        <v>1269025</v>
      </c>
      <c r="D143" s="13">
        <v>46307</v>
      </c>
      <c r="E143" s="65">
        <v>46185.000138888892</v>
      </c>
      <c r="F143" s="40">
        <f t="shared" si="2"/>
        <v>46187.000138888892</v>
      </c>
      <c r="G143" s="27"/>
      <c r="L143" s="66"/>
    </row>
    <row r="144" spans="1:12" ht="15.75" customHeight="1" x14ac:dyDescent="0.25">
      <c r="A144" t="s">
        <v>768</v>
      </c>
      <c r="B144" t="s">
        <v>911</v>
      </c>
      <c r="C144" s="68">
        <v>40518212.380000003</v>
      </c>
      <c r="D144" s="13">
        <v>46308</v>
      </c>
      <c r="E144" s="65">
        <v>46184.000138888892</v>
      </c>
      <c r="F144" s="40">
        <f t="shared" si="2"/>
        <v>46186.000138888892</v>
      </c>
      <c r="G144" s="27"/>
      <c r="L144" s="66"/>
    </row>
    <row r="145" spans="1:12" ht="15.75" customHeight="1" x14ac:dyDescent="0.25">
      <c r="A145" t="s">
        <v>756</v>
      </c>
      <c r="B145" t="s">
        <v>912</v>
      </c>
      <c r="C145" s="68">
        <v>1440000</v>
      </c>
      <c r="D145" s="13">
        <v>46309</v>
      </c>
      <c r="E145" s="65">
        <v>46184.000138888892</v>
      </c>
      <c r="F145" s="40">
        <f t="shared" si="2"/>
        <v>46186.000138888892</v>
      </c>
      <c r="G145" s="27"/>
      <c r="L145" s="66"/>
    </row>
    <row r="146" spans="1:12" ht="15.75" customHeight="1" x14ac:dyDescent="0.25">
      <c r="A146" t="s">
        <v>756</v>
      </c>
      <c r="B146" t="s">
        <v>913</v>
      </c>
      <c r="C146" s="68">
        <v>1130000</v>
      </c>
      <c r="D146" s="13">
        <v>46310</v>
      </c>
      <c r="E146" s="65">
        <v>46184.000138888892</v>
      </c>
      <c r="F146" s="40">
        <f t="shared" si="2"/>
        <v>46186.000138888892</v>
      </c>
      <c r="G146" s="27"/>
      <c r="L146" s="66"/>
    </row>
    <row r="147" spans="1:12" ht="15.75" customHeight="1" x14ac:dyDescent="0.25">
      <c r="A147" t="s">
        <v>756</v>
      </c>
      <c r="B147" t="s">
        <v>914</v>
      </c>
      <c r="C147" s="68">
        <v>1480000</v>
      </c>
      <c r="D147" s="13">
        <v>46311</v>
      </c>
      <c r="E147" s="65">
        <v>46184.000138888892</v>
      </c>
      <c r="F147" s="40">
        <f t="shared" si="2"/>
        <v>46186.000138888892</v>
      </c>
      <c r="G147" s="27"/>
      <c r="L147" s="66"/>
    </row>
    <row r="148" spans="1:12" ht="15.75" customHeight="1" x14ac:dyDescent="0.25">
      <c r="A148" t="s">
        <v>768</v>
      </c>
      <c r="B148" t="s">
        <v>915</v>
      </c>
      <c r="C148" s="68">
        <v>7500000</v>
      </c>
      <c r="D148" s="13">
        <v>46312</v>
      </c>
      <c r="E148" s="65">
        <v>46183.000138888892</v>
      </c>
      <c r="F148" s="40">
        <f t="shared" si="2"/>
        <v>46185.000138888892</v>
      </c>
      <c r="G148" s="27"/>
      <c r="L148" s="66"/>
    </row>
    <row r="149" spans="1:12" ht="15.75" customHeight="1" x14ac:dyDescent="0.25">
      <c r="A149" t="s">
        <v>760</v>
      </c>
      <c r="B149" t="s">
        <v>916</v>
      </c>
      <c r="C149" s="68">
        <v>22500000</v>
      </c>
      <c r="D149" s="13">
        <v>46313</v>
      </c>
      <c r="E149" s="65">
        <v>46183.000138888892</v>
      </c>
      <c r="F149" s="40">
        <f t="shared" si="2"/>
        <v>46185.000138888892</v>
      </c>
      <c r="G149" s="27"/>
      <c r="L149" s="66"/>
    </row>
    <row r="150" spans="1:12" ht="15.75" customHeight="1" x14ac:dyDescent="0.25">
      <c r="A150" t="s">
        <v>758</v>
      </c>
      <c r="B150" t="s">
        <v>917</v>
      </c>
      <c r="C150" s="68">
        <v>26628525</v>
      </c>
      <c r="D150" s="13">
        <v>46314</v>
      </c>
      <c r="E150" s="65">
        <v>46183.000138888892</v>
      </c>
      <c r="F150" s="40">
        <f t="shared" si="2"/>
        <v>46185.000138888892</v>
      </c>
      <c r="G150" s="27"/>
      <c r="L150" s="66"/>
    </row>
    <row r="151" spans="1:12" ht="15.75" customHeight="1" x14ac:dyDescent="0.25">
      <c r="A151" t="s">
        <v>758</v>
      </c>
      <c r="B151" t="s">
        <v>918</v>
      </c>
      <c r="C151" s="68">
        <v>26628525</v>
      </c>
      <c r="D151" s="13">
        <v>46315</v>
      </c>
      <c r="E151" s="65">
        <v>46183.000138888892</v>
      </c>
      <c r="F151" s="40">
        <f t="shared" si="2"/>
        <v>46185.000138888892</v>
      </c>
      <c r="G151" s="27"/>
      <c r="L151" s="66"/>
    </row>
    <row r="152" spans="1:12" ht="15.75" customHeight="1" x14ac:dyDescent="0.25">
      <c r="A152" t="s">
        <v>757</v>
      </c>
      <c r="B152" t="s">
        <v>919</v>
      </c>
      <c r="C152" s="68">
        <v>1162600</v>
      </c>
      <c r="D152" s="13">
        <v>46316</v>
      </c>
      <c r="E152" s="65">
        <v>46183.000138888892</v>
      </c>
      <c r="F152" s="40">
        <f t="shared" si="2"/>
        <v>46185.000138888892</v>
      </c>
      <c r="G152" s="27"/>
      <c r="L152" s="66"/>
    </row>
    <row r="153" spans="1:12" ht="15.75" customHeight="1" x14ac:dyDescent="0.25">
      <c r="A153" t="s">
        <v>752</v>
      </c>
      <c r="B153" t="s">
        <v>920</v>
      </c>
      <c r="C153" s="68">
        <v>4000000</v>
      </c>
      <c r="D153" s="13">
        <v>46317</v>
      </c>
      <c r="E153" s="65">
        <v>46183.000138888892</v>
      </c>
      <c r="F153" s="40">
        <f t="shared" si="2"/>
        <v>46185.000138888892</v>
      </c>
      <c r="G153" s="27"/>
      <c r="L153" s="66"/>
    </row>
    <row r="154" spans="1:12" ht="15.75" customHeight="1" x14ac:dyDescent="0.25">
      <c r="A154" t="s">
        <v>757</v>
      </c>
      <c r="B154" t="s">
        <v>921</v>
      </c>
      <c r="C154" s="68">
        <v>1300000</v>
      </c>
      <c r="D154" s="13">
        <v>46318</v>
      </c>
      <c r="E154" s="65">
        <v>46183.000138888892</v>
      </c>
      <c r="F154" s="40">
        <f t="shared" si="2"/>
        <v>46185.000138888892</v>
      </c>
      <c r="G154" s="27"/>
      <c r="L154" s="66"/>
    </row>
    <row r="155" spans="1:12" ht="15.75" customHeight="1" x14ac:dyDescent="0.25">
      <c r="A155" t="s">
        <v>756</v>
      </c>
      <c r="B155" t="s">
        <v>922</v>
      </c>
      <c r="C155" s="68">
        <v>1440000</v>
      </c>
      <c r="D155" s="13">
        <v>46319</v>
      </c>
      <c r="E155" s="65">
        <v>46182.000138888892</v>
      </c>
      <c r="F155" s="40">
        <f t="shared" si="2"/>
        <v>46184.000138888892</v>
      </c>
      <c r="G155" s="27"/>
      <c r="L155" s="66"/>
    </row>
    <row r="156" spans="1:12" ht="15.75" customHeight="1" x14ac:dyDescent="0.25">
      <c r="A156" t="s">
        <v>756</v>
      </c>
      <c r="B156" t="s">
        <v>923</v>
      </c>
      <c r="C156" s="68">
        <v>1480000</v>
      </c>
      <c r="D156" s="13">
        <v>46320</v>
      </c>
      <c r="E156" s="65">
        <v>46182.000138888892</v>
      </c>
      <c r="F156" s="40">
        <f t="shared" si="2"/>
        <v>46184.000138888892</v>
      </c>
      <c r="G156" s="27"/>
      <c r="L156" s="66"/>
    </row>
    <row r="157" spans="1:12" ht="15.75" customHeight="1" x14ac:dyDescent="0.25">
      <c r="A157" t="s">
        <v>756</v>
      </c>
      <c r="B157" t="s">
        <v>924</v>
      </c>
      <c r="C157" s="68">
        <v>1130000</v>
      </c>
      <c r="D157" s="13">
        <v>46321</v>
      </c>
      <c r="E157" s="65">
        <v>46182.000138888892</v>
      </c>
      <c r="F157" s="40">
        <f t="shared" si="2"/>
        <v>46184.000138888892</v>
      </c>
      <c r="G157" s="27"/>
      <c r="L157" s="66"/>
    </row>
    <row r="158" spans="1:12" ht="15.75" customHeight="1" x14ac:dyDescent="0.25">
      <c r="A158" t="s">
        <v>757</v>
      </c>
      <c r="B158" t="s">
        <v>925</v>
      </c>
      <c r="C158" s="68">
        <v>1300000</v>
      </c>
      <c r="D158" s="13">
        <v>46322</v>
      </c>
      <c r="E158" s="65">
        <v>46182.000138888892</v>
      </c>
      <c r="F158" s="40">
        <f t="shared" si="2"/>
        <v>46184.000138888892</v>
      </c>
      <c r="G158" s="27"/>
      <c r="L158" s="66"/>
    </row>
    <row r="159" spans="1:12" ht="15.75" customHeight="1" x14ac:dyDescent="0.25">
      <c r="A159" t="s">
        <v>756</v>
      </c>
      <c r="B159" t="s">
        <v>926</v>
      </c>
      <c r="C159" s="68">
        <v>1143500</v>
      </c>
      <c r="D159" s="13">
        <v>46323</v>
      </c>
      <c r="E159" s="65">
        <v>46182.000138888892</v>
      </c>
      <c r="F159" s="40">
        <f t="shared" si="2"/>
        <v>46184.000138888892</v>
      </c>
      <c r="G159" s="27"/>
      <c r="L159" s="66"/>
    </row>
    <row r="160" spans="1:12" ht="15.75" customHeight="1" x14ac:dyDescent="0.25">
      <c r="A160" t="s">
        <v>757</v>
      </c>
      <c r="B160" t="s">
        <v>927</v>
      </c>
      <c r="C160" s="68">
        <v>1300000</v>
      </c>
      <c r="D160" s="13">
        <v>46324</v>
      </c>
      <c r="E160" s="65">
        <v>46182.000138888892</v>
      </c>
      <c r="F160" s="40">
        <f t="shared" si="2"/>
        <v>46184.000138888892</v>
      </c>
      <c r="G160" s="27"/>
      <c r="L160" s="66"/>
    </row>
    <row r="161" spans="1:12" ht="15.75" customHeight="1" x14ac:dyDescent="0.25">
      <c r="A161" t="s">
        <v>762</v>
      </c>
      <c r="B161" t="s">
        <v>928</v>
      </c>
      <c r="C161" s="68">
        <v>31000000</v>
      </c>
      <c r="D161" s="13">
        <v>46325</v>
      </c>
      <c r="E161" s="65">
        <v>46181.000138888892</v>
      </c>
      <c r="F161" s="40">
        <f t="shared" si="2"/>
        <v>46183.000138888892</v>
      </c>
      <c r="G161" s="27"/>
      <c r="L161" s="66"/>
    </row>
    <row r="162" spans="1:12" ht="15.75" customHeight="1" x14ac:dyDescent="0.25">
      <c r="A162" t="s">
        <v>756</v>
      </c>
      <c r="B162" t="s">
        <v>929</v>
      </c>
      <c r="C162" s="68">
        <v>1440000</v>
      </c>
      <c r="D162" s="13">
        <v>46326</v>
      </c>
      <c r="E162" s="65">
        <v>46181.000138888892</v>
      </c>
      <c r="F162" s="40">
        <f t="shared" si="2"/>
        <v>46183.000138888892</v>
      </c>
      <c r="G162" s="27"/>
      <c r="L162" s="66"/>
    </row>
    <row r="163" spans="1:12" ht="15.75" customHeight="1" x14ac:dyDescent="0.25">
      <c r="A163" t="s">
        <v>756</v>
      </c>
      <c r="B163" t="s">
        <v>930</v>
      </c>
      <c r="C163" s="68">
        <v>1130000</v>
      </c>
      <c r="D163" s="13">
        <v>46327</v>
      </c>
      <c r="E163" s="65">
        <v>46181.000138888892</v>
      </c>
      <c r="F163" s="40">
        <f t="shared" si="2"/>
        <v>46183.000138888892</v>
      </c>
      <c r="G163" s="27"/>
      <c r="L163" s="66"/>
    </row>
    <row r="164" spans="1:12" ht="15.75" customHeight="1" x14ac:dyDescent="0.25">
      <c r="A164" t="s">
        <v>756</v>
      </c>
      <c r="B164" t="s">
        <v>931</v>
      </c>
      <c r="C164" s="68">
        <v>1480000</v>
      </c>
      <c r="D164" s="13">
        <v>46328</v>
      </c>
      <c r="E164" s="65">
        <v>46181.000138888892</v>
      </c>
      <c r="F164" s="40">
        <f t="shared" si="2"/>
        <v>46183.000138888892</v>
      </c>
      <c r="G164" s="27"/>
      <c r="L164" s="66"/>
    </row>
    <row r="165" spans="1:12" ht="15.75" customHeight="1" x14ac:dyDescent="0.25">
      <c r="A165" t="s">
        <v>757</v>
      </c>
      <c r="B165" t="s">
        <v>932</v>
      </c>
      <c r="C165" s="68">
        <v>1300000</v>
      </c>
      <c r="D165" s="13">
        <v>46329</v>
      </c>
      <c r="E165" s="65">
        <v>46181.000138888892</v>
      </c>
      <c r="F165" s="40">
        <f t="shared" si="2"/>
        <v>46183.000138888892</v>
      </c>
      <c r="G165" s="27"/>
      <c r="L165" s="66"/>
    </row>
    <row r="166" spans="1:12" ht="15.75" customHeight="1" x14ac:dyDescent="0.25">
      <c r="A166" t="s">
        <v>756</v>
      </c>
      <c r="B166" t="s">
        <v>933</v>
      </c>
      <c r="C166" s="68">
        <v>1130000</v>
      </c>
      <c r="D166" s="13">
        <v>46330</v>
      </c>
      <c r="E166" s="65">
        <v>46181.000138888892</v>
      </c>
      <c r="F166" s="40">
        <f t="shared" si="2"/>
        <v>46183.000138888892</v>
      </c>
      <c r="G166" s="27"/>
      <c r="L166" s="66"/>
    </row>
    <row r="167" spans="1:12" ht="15.75" customHeight="1" x14ac:dyDescent="0.25">
      <c r="A167" t="s">
        <v>757</v>
      </c>
      <c r="B167" t="s">
        <v>934</v>
      </c>
      <c r="C167" s="68">
        <v>1300000</v>
      </c>
      <c r="D167" s="13">
        <v>46331</v>
      </c>
      <c r="E167" s="65">
        <v>46181.000138888892</v>
      </c>
      <c r="F167" s="40">
        <f t="shared" si="2"/>
        <v>46183.000138888892</v>
      </c>
      <c r="G167" s="27"/>
      <c r="L167" s="66"/>
    </row>
    <row r="168" spans="1:12" ht="15.75" customHeight="1" x14ac:dyDescent="0.25">
      <c r="A168" t="s">
        <v>757</v>
      </c>
      <c r="B168" t="s">
        <v>935</v>
      </c>
      <c r="C168" s="68">
        <v>949750</v>
      </c>
      <c r="D168" s="13">
        <v>46332</v>
      </c>
      <c r="E168" s="65">
        <v>46181.000138888892</v>
      </c>
      <c r="F168" s="40">
        <f t="shared" si="2"/>
        <v>46183.000138888892</v>
      </c>
      <c r="G168" s="27"/>
      <c r="L168" s="66"/>
    </row>
    <row r="169" spans="1:12" ht="15.75" customHeight="1" x14ac:dyDescent="0.25">
      <c r="A169" t="s">
        <v>753</v>
      </c>
      <c r="B169" t="s">
        <v>936</v>
      </c>
      <c r="C169" s="68">
        <v>3000070</v>
      </c>
      <c r="D169" s="13">
        <v>46333</v>
      </c>
      <c r="E169" s="65">
        <v>46181.000138888892</v>
      </c>
      <c r="F169" s="40">
        <f t="shared" si="2"/>
        <v>46183.000138888892</v>
      </c>
      <c r="G169" s="27"/>
      <c r="L169" s="66"/>
    </row>
    <row r="170" spans="1:12" ht="15.75" customHeight="1" x14ac:dyDescent="0.25">
      <c r="A170" t="s">
        <v>753</v>
      </c>
      <c r="B170" t="s">
        <v>937</v>
      </c>
      <c r="C170" s="68">
        <v>3000007.69</v>
      </c>
      <c r="D170" s="13">
        <v>46334</v>
      </c>
      <c r="E170" s="65">
        <v>46181.000138888892</v>
      </c>
      <c r="F170" s="40">
        <f t="shared" si="2"/>
        <v>46183.000138888892</v>
      </c>
      <c r="G170" s="27"/>
      <c r="L170" s="66"/>
    </row>
    <row r="171" spans="1:12" ht="15.75" customHeight="1" x14ac:dyDescent="0.25">
      <c r="A171" t="s">
        <v>753</v>
      </c>
      <c r="B171" t="s">
        <v>938</v>
      </c>
      <c r="C171" s="68">
        <v>2000100</v>
      </c>
      <c r="D171" s="13">
        <v>46335</v>
      </c>
      <c r="E171" s="65">
        <v>46181.000138888892</v>
      </c>
      <c r="F171" s="40">
        <f t="shared" si="2"/>
        <v>46183.000138888892</v>
      </c>
      <c r="G171" s="27"/>
      <c r="L171" s="66"/>
    </row>
    <row r="172" spans="1:12" ht="15.75" customHeight="1" x14ac:dyDescent="0.25">
      <c r="A172" t="s">
        <v>753</v>
      </c>
      <c r="B172" t="s">
        <v>939</v>
      </c>
      <c r="C172" s="68">
        <v>2015000</v>
      </c>
      <c r="D172" s="13">
        <v>46336</v>
      </c>
      <c r="E172" s="65">
        <v>46181.000138888892</v>
      </c>
      <c r="F172" s="40">
        <f t="shared" si="2"/>
        <v>46183.000138888892</v>
      </c>
      <c r="G172" s="27"/>
      <c r="L172" s="66"/>
    </row>
    <row r="173" spans="1:12" ht="15.75" customHeight="1" x14ac:dyDescent="0.25">
      <c r="A173" t="s">
        <v>768</v>
      </c>
      <c r="B173" t="s">
        <v>940</v>
      </c>
      <c r="C173" s="68">
        <v>5540000</v>
      </c>
      <c r="D173" s="13">
        <v>46337</v>
      </c>
      <c r="E173" s="65">
        <v>46180.000138888892</v>
      </c>
      <c r="F173" s="40">
        <f t="shared" si="2"/>
        <v>46182.000138888892</v>
      </c>
      <c r="G173" s="27"/>
      <c r="L173" s="66"/>
    </row>
    <row r="174" spans="1:12" ht="15.75" customHeight="1" x14ac:dyDescent="0.25">
      <c r="A174" t="s">
        <v>751</v>
      </c>
      <c r="B174" t="s">
        <v>941</v>
      </c>
      <c r="C174" s="68">
        <v>2250000</v>
      </c>
      <c r="D174" s="13">
        <v>46338</v>
      </c>
      <c r="E174" s="65">
        <v>46180.000138888892</v>
      </c>
      <c r="F174" s="40">
        <f t="shared" si="2"/>
        <v>46182.000138888892</v>
      </c>
      <c r="G174" s="27"/>
      <c r="L174" s="66"/>
    </row>
    <row r="175" spans="1:12" ht="15.75" customHeight="1" x14ac:dyDescent="0.25">
      <c r="A175" t="s">
        <v>761</v>
      </c>
      <c r="B175" t="s">
        <v>942</v>
      </c>
      <c r="C175" s="68">
        <v>14826240</v>
      </c>
      <c r="D175" s="13">
        <v>46339</v>
      </c>
      <c r="E175" s="65">
        <v>46180.000138888892</v>
      </c>
      <c r="F175" s="40">
        <f t="shared" si="2"/>
        <v>46182.000138888892</v>
      </c>
      <c r="G175" s="27"/>
      <c r="L175" s="66"/>
    </row>
    <row r="176" spans="1:12" ht="15.75" customHeight="1" x14ac:dyDescent="0.25">
      <c r="A176" t="s">
        <v>752</v>
      </c>
      <c r="B176" t="s">
        <v>943</v>
      </c>
      <c r="C176" s="68">
        <v>4000000</v>
      </c>
      <c r="D176" s="13">
        <v>46340</v>
      </c>
      <c r="E176" s="65">
        <v>46180.000138888892</v>
      </c>
      <c r="F176" s="40">
        <f t="shared" si="2"/>
        <v>46182.000138888892</v>
      </c>
      <c r="G176" s="27"/>
      <c r="L176" s="66"/>
    </row>
    <row r="177" spans="1:12" ht="15.75" customHeight="1" x14ac:dyDescent="0.25">
      <c r="A177" t="s">
        <v>762</v>
      </c>
      <c r="B177" t="s">
        <v>944</v>
      </c>
      <c r="C177" s="68">
        <v>24000000</v>
      </c>
      <c r="D177" s="13">
        <v>46341</v>
      </c>
      <c r="E177" s="65">
        <v>46179.000138888892</v>
      </c>
      <c r="F177" s="40">
        <f t="shared" si="2"/>
        <v>46181.000138888892</v>
      </c>
      <c r="G177" s="27"/>
      <c r="L177" s="66"/>
    </row>
    <row r="178" spans="1:12" ht="15.75" customHeight="1" x14ac:dyDescent="0.25">
      <c r="A178" t="s">
        <v>763</v>
      </c>
      <c r="B178" t="s">
        <v>945</v>
      </c>
      <c r="C178" s="68">
        <v>10503121.210000001</v>
      </c>
      <c r="D178" s="13">
        <v>46342</v>
      </c>
      <c r="E178" s="65">
        <v>46179.000138888892</v>
      </c>
      <c r="F178" s="40">
        <f t="shared" si="2"/>
        <v>46181.000138888892</v>
      </c>
      <c r="G178" s="27"/>
      <c r="L178" s="66"/>
    </row>
    <row r="179" spans="1:12" ht="15.75" customHeight="1" x14ac:dyDescent="0.25">
      <c r="A179" t="s">
        <v>751</v>
      </c>
      <c r="B179" t="s">
        <v>946</v>
      </c>
      <c r="C179" s="68">
        <v>2250000</v>
      </c>
      <c r="D179" s="13">
        <v>46343</v>
      </c>
      <c r="E179" s="65">
        <v>46179.000138888892</v>
      </c>
      <c r="F179" s="40">
        <f t="shared" si="2"/>
        <v>46181.000138888892</v>
      </c>
      <c r="G179" s="27"/>
      <c r="L179" s="66"/>
    </row>
    <row r="180" spans="1:12" ht="15.75" customHeight="1" x14ac:dyDescent="0.25">
      <c r="A180" t="s">
        <v>754</v>
      </c>
      <c r="B180" t="s">
        <v>947</v>
      </c>
      <c r="C180" s="68">
        <v>6348840</v>
      </c>
      <c r="D180" s="13">
        <v>46344</v>
      </c>
      <c r="E180" s="65">
        <v>46179.000138888892</v>
      </c>
      <c r="F180" s="40">
        <f t="shared" si="2"/>
        <v>46181.000138888892</v>
      </c>
      <c r="G180" s="27"/>
      <c r="L180" s="66"/>
    </row>
    <row r="181" spans="1:12" ht="15.75" customHeight="1" x14ac:dyDescent="0.25">
      <c r="A181" t="s">
        <v>754</v>
      </c>
      <c r="B181" t="s">
        <v>948</v>
      </c>
      <c r="C181" s="68">
        <v>6000000</v>
      </c>
      <c r="D181" s="13">
        <v>46345</v>
      </c>
      <c r="E181" s="65">
        <v>46179.000138888892</v>
      </c>
      <c r="F181" s="40">
        <f t="shared" si="2"/>
        <v>46181.000138888892</v>
      </c>
      <c r="G181" s="27"/>
      <c r="L181" s="66"/>
    </row>
    <row r="182" spans="1:12" ht="15.75" customHeight="1" x14ac:dyDescent="0.25">
      <c r="A182" t="s">
        <v>754</v>
      </c>
      <c r="B182" t="s">
        <v>949</v>
      </c>
      <c r="C182" s="68">
        <v>6000000</v>
      </c>
      <c r="D182" s="13">
        <v>46346</v>
      </c>
      <c r="E182" s="65">
        <v>46179.000138888892</v>
      </c>
      <c r="F182" s="40">
        <f t="shared" si="2"/>
        <v>46181.000138888892</v>
      </c>
      <c r="G182" s="27"/>
      <c r="L182" s="66"/>
    </row>
    <row r="183" spans="1:12" ht="15.75" customHeight="1" x14ac:dyDescent="0.25">
      <c r="A183" t="s">
        <v>754</v>
      </c>
      <c r="B183" t="s">
        <v>950</v>
      </c>
      <c r="C183" s="68">
        <v>6000000</v>
      </c>
      <c r="D183" s="13">
        <v>46347</v>
      </c>
      <c r="E183" s="65">
        <v>46179.000138888892</v>
      </c>
      <c r="F183" s="40">
        <f t="shared" si="2"/>
        <v>46181.000138888892</v>
      </c>
      <c r="G183" s="27"/>
      <c r="L183" s="66"/>
    </row>
    <row r="184" spans="1:12" ht="15.75" customHeight="1" x14ac:dyDescent="0.25">
      <c r="A184" t="s">
        <v>754</v>
      </c>
      <c r="B184" t="s">
        <v>951</v>
      </c>
      <c r="C184" s="68">
        <v>6000000</v>
      </c>
      <c r="D184" s="13">
        <v>46348</v>
      </c>
      <c r="E184" s="65">
        <v>46179.000138888892</v>
      </c>
      <c r="F184" s="40">
        <f t="shared" si="2"/>
        <v>46181.000138888892</v>
      </c>
      <c r="G184" s="27"/>
      <c r="L184" s="66"/>
    </row>
    <row r="185" spans="1:12" ht="15.75" customHeight="1" x14ac:dyDescent="0.25">
      <c r="A185" t="s">
        <v>754</v>
      </c>
      <c r="B185" t="s">
        <v>952</v>
      </c>
      <c r="C185" s="68">
        <v>6000000</v>
      </c>
      <c r="D185" s="13">
        <v>46349</v>
      </c>
      <c r="E185" s="65">
        <v>46179.000138888892</v>
      </c>
      <c r="F185" s="40">
        <f t="shared" si="2"/>
        <v>46181.000138888892</v>
      </c>
      <c r="G185" s="27"/>
      <c r="L185" s="66"/>
    </row>
    <row r="186" spans="1:12" ht="15.75" customHeight="1" x14ac:dyDescent="0.25">
      <c r="A186" t="s">
        <v>758</v>
      </c>
      <c r="B186" t="s">
        <v>953</v>
      </c>
      <c r="C186" s="68">
        <v>18288270</v>
      </c>
      <c r="D186" s="13">
        <v>46350</v>
      </c>
      <c r="E186" s="65">
        <v>46179.000138888892</v>
      </c>
      <c r="F186" s="40">
        <f t="shared" si="2"/>
        <v>46181.000138888892</v>
      </c>
      <c r="G186" s="27"/>
      <c r="L186" s="66"/>
    </row>
    <row r="187" spans="1:12" ht="15.75" customHeight="1" x14ac:dyDescent="0.25">
      <c r="A187" t="s">
        <v>769</v>
      </c>
      <c r="B187" t="s">
        <v>954</v>
      </c>
      <c r="C187" s="68">
        <v>13467723.99</v>
      </c>
      <c r="D187" s="13">
        <v>46351</v>
      </c>
      <c r="E187" s="65">
        <v>46179.000138888892</v>
      </c>
      <c r="F187" s="40">
        <f t="shared" si="2"/>
        <v>46181.000138888892</v>
      </c>
      <c r="G187" s="27"/>
      <c r="L187" s="66"/>
    </row>
    <row r="188" spans="1:12" ht="15.75" customHeight="1" x14ac:dyDescent="0.25">
      <c r="A188" t="s">
        <v>754</v>
      </c>
      <c r="B188" t="s">
        <v>955</v>
      </c>
      <c r="C188" s="68">
        <v>4700000</v>
      </c>
      <c r="D188" s="13">
        <v>46352</v>
      </c>
      <c r="E188" s="65">
        <v>46179.000138888892</v>
      </c>
      <c r="F188" s="40">
        <f t="shared" si="2"/>
        <v>46181.000138888892</v>
      </c>
      <c r="G188" s="27"/>
      <c r="L188" s="66"/>
    </row>
    <row r="189" spans="1:12" ht="15.75" customHeight="1" x14ac:dyDescent="0.25">
      <c r="A189" t="s">
        <v>754</v>
      </c>
      <c r="B189" t="s">
        <v>956</v>
      </c>
      <c r="C189" s="68">
        <v>4851540</v>
      </c>
      <c r="D189" s="13">
        <v>46353</v>
      </c>
      <c r="E189" s="65">
        <v>46179.000138888892</v>
      </c>
      <c r="F189" s="40">
        <f t="shared" si="2"/>
        <v>46181.000138888892</v>
      </c>
      <c r="G189" s="27"/>
      <c r="L189" s="66"/>
    </row>
    <row r="190" spans="1:12" ht="15.75" customHeight="1" x14ac:dyDescent="0.25">
      <c r="A190" t="s">
        <v>754</v>
      </c>
      <c r="B190" t="s">
        <v>957</v>
      </c>
      <c r="C190" s="68">
        <v>4700000</v>
      </c>
      <c r="D190" s="13">
        <v>46354</v>
      </c>
      <c r="E190" s="65">
        <v>46179.000138888892</v>
      </c>
      <c r="F190" s="40">
        <f t="shared" si="2"/>
        <v>46181.000138888892</v>
      </c>
      <c r="G190" s="27"/>
      <c r="L190" s="66"/>
    </row>
    <row r="191" spans="1:12" ht="15.75" customHeight="1" x14ac:dyDescent="0.25">
      <c r="A191" t="s">
        <v>754</v>
      </c>
      <c r="B191" t="s">
        <v>958</v>
      </c>
      <c r="C191" s="68">
        <v>4700000</v>
      </c>
      <c r="D191" s="13">
        <v>46355</v>
      </c>
      <c r="E191" s="65">
        <v>46179.000138888892</v>
      </c>
      <c r="F191" s="40">
        <f t="shared" si="2"/>
        <v>46181.000138888892</v>
      </c>
      <c r="G191" s="27"/>
      <c r="L191" s="66"/>
    </row>
    <row r="192" spans="1:12" ht="15.75" customHeight="1" x14ac:dyDescent="0.25">
      <c r="A192" t="s">
        <v>753</v>
      </c>
      <c r="B192" t="s">
        <v>959</v>
      </c>
      <c r="C192" s="68">
        <v>3004000</v>
      </c>
      <c r="D192" s="13">
        <v>46356</v>
      </c>
      <c r="E192" s="65">
        <v>46179.000138888892</v>
      </c>
      <c r="F192" s="40">
        <f t="shared" si="2"/>
        <v>46181.000138888892</v>
      </c>
      <c r="G192" s="27"/>
      <c r="L192" s="66"/>
    </row>
    <row r="193" spans="1:12" ht="15.75" customHeight="1" x14ac:dyDescent="0.25">
      <c r="A193" t="s">
        <v>753</v>
      </c>
      <c r="B193" t="s">
        <v>960</v>
      </c>
      <c r="C193" s="68">
        <v>3000818.18</v>
      </c>
      <c r="D193" s="13">
        <v>46357</v>
      </c>
      <c r="E193" s="65">
        <v>46179.000138888892</v>
      </c>
      <c r="F193" s="40">
        <f t="shared" si="2"/>
        <v>46181.000138888892</v>
      </c>
      <c r="G193" s="27"/>
      <c r="L193" s="66"/>
    </row>
    <row r="194" spans="1:12" ht="15.75" customHeight="1" x14ac:dyDescent="0.25">
      <c r="A194" t="s">
        <v>753</v>
      </c>
      <c r="B194" t="s">
        <v>961</v>
      </c>
      <c r="C194" s="68">
        <v>3050000</v>
      </c>
      <c r="D194" s="13">
        <v>46358</v>
      </c>
      <c r="E194" s="65">
        <v>46179.000138888892</v>
      </c>
      <c r="F194" s="40">
        <f t="shared" si="2"/>
        <v>46181.000138888892</v>
      </c>
      <c r="G194" s="27"/>
      <c r="L194" s="66"/>
    </row>
    <row r="195" spans="1:12" ht="15.75" customHeight="1" x14ac:dyDescent="0.25">
      <c r="A195" t="s">
        <v>767</v>
      </c>
      <c r="B195" t="s">
        <v>962</v>
      </c>
      <c r="C195" s="68">
        <v>7200000</v>
      </c>
      <c r="D195" s="13">
        <v>46359</v>
      </c>
      <c r="E195" s="65">
        <v>46178.000138888892</v>
      </c>
      <c r="F195" s="40">
        <f t="shared" si="2"/>
        <v>46180.000138888892</v>
      </c>
      <c r="G195" s="27"/>
      <c r="L195" s="66"/>
    </row>
    <row r="196" spans="1:12" ht="15.75" customHeight="1" x14ac:dyDescent="0.25">
      <c r="A196" t="s">
        <v>751</v>
      </c>
      <c r="B196" t="s">
        <v>963</v>
      </c>
      <c r="C196" s="68">
        <v>2250000</v>
      </c>
      <c r="D196" s="13">
        <v>46360</v>
      </c>
      <c r="E196" s="65">
        <v>46178.000138888892</v>
      </c>
      <c r="F196" s="40">
        <f t="shared" si="2"/>
        <v>46180.000138888892</v>
      </c>
      <c r="G196" s="27"/>
      <c r="L196" s="66"/>
    </row>
    <row r="197" spans="1:12" ht="15.75" customHeight="1" x14ac:dyDescent="0.25">
      <c r="A197" t="s">
        <v>756</v>
      </c>
      <c r="B197" t="s">
        <v>964</v>
      </c>
      <c r="C197" s="68">
        <v>1440000</v>
      </c>
      <c r="D197" s="13">
        <v>46361</v>
      </c>
      <c r="E197" s="65">
        <v>46178.000138888892</v>
      </c>
      <c r="F197" s="40">
        <f t="shared" ref="F197:F224" si="3">+E197+2</f>
        <v>46180.000138888892</v>
      </c>
      <c r="G197" s="27"/>
      <c r="L197" s="66"/>
    </row>
    <row r="198" spans="1:12" ht="15.75" customHeight="1" x14ac:dyDescent="0.25">
      <c r="A198" t="s">
        <v>770</v>
      </c>
      <c r="B198" t="s">
        <v>965</v>
      </c>
      <c r="C198" s="68">
        <v>465356.51</v>
      </c>
      <c r="D198" s="13">
        <v>46362</v>
      </c>
      <c r="E198" s="65">
        <v>46178.000138888892</v>
      </c>
      <c r="F198" s="40">
        <f t="shared" si="3"/>
        <v>46180.000138888892</v>
      </c>
      <c r="G198" s="27"/>
      <c r="L198" s="66"/>
    </row>
    <row r="199" spans="1:12" ht="15.75" customHeight="1" x14ac:dyDescent="0.25">
      <c r="A199" t="s">
        <v>756</v>
      </c>
      <c r="B199" t="s">
        <v>966</v>
      </c>
      <c r="C199" s="68">
        <v>1130000</v>
      </c>
      <c r="D199" s="13">
        <v>46363</v>
      </c>
      <c r="E199" s="65">
        <v>46178.000138888892</v>
      </c>
      <c r="F199" s="40">
        <f t="shared" si="3"/>
        <v>46180.000138888892</v>
      </c>
      <c r="G199" s="27"/>
      <c r="L199" s="66"/>
    </row>
    <row r="200" spans="1:12" ht="15.75" customHeight="1" x14ac:dyDescent="0.25">
      <c r="A200" t="s">
        <v>756</v>
      </c>
      <c r="B200" t="s">
        <v>967</v>
      </c>
      <c r="C200" s="68">
        <v>1480000</v>
      </c>
      <c r="D200" s="13">
        <v>46364</v>
      </c>
      <c r="E200" s="65">
        <v>46178.000138888892</v>
      </c>
      <c r="F200" s="40">
        <f t="shared" si="3"/>
        <v>46180.000138888892</v>
      </c>
      <c r="G200" s="27"/>
      <c r="L200" s="66"/>
    </row>
    <row r="201" spans="1:12" ht="15.75" customHeight="1" x14ac:dyDescent="0.25">
      <c r="A201" t="s">
        <v>761</v>
      </c>
      <c r="B201" t="s">
        <v>968</v>
      </c>
      <c r="C201" s="68">
        <v>10296000</v>
      </c>
      <c r="D201" s="13">
        <v>46365</v>
      </c>
      <c r="E201" s="65">
        <v>46178.000138888892</v>
      </c>
      <c r="F201" s="40">
        <f t="shared" si="3"/>
        <v>46180.000138888892</v>
      </c>
      <c r="G201" s="27"/>
      <c r="L201" s="66"/>
    </row>
    <row r="202" spans="1:12" ht="15.75" customHeight="1" x14ac:dyDescent="0.25">
      <c r="A202" t="s">
        <v>757</v>
      </c>
      <c r="B202" t="s">
        <v>969</v>
      </c>
      <c r="C202" s="68">
        <v>953100</v>
      </c>
      <c r="D202" s="13">
        <v>46366</v>
      </c>
      <c r="E202" s="65">
        <v>46178.000138888892</v>
      </c>
      <c r="F202" s="40">
        <f t="shared" si="3"/>
        <v>46180.000138888892</v>
      </c>
      <c r="G202" s="27"/>
      <c r="L202" s="66"/>
    </row>
    <row r="203" spans="1:12" ht="15.75" customHeight="1" x14ac:dyDescent="0.25">
      <c r="A203" t="s">
        <v>756</v>
      </c>
      <c r="B203" t="s">
        <v>970</v>
      </c>
      <c r="C203" s="68">
        <v>1130000</v>
      </c>
      <c r="D203" s="13">
        <v>46367</v>
      </c>
      <c r="E203" s="65">
        <v>46178.000138888892</v>
      </c>
      <c r="F203" s="40">
        <f t="shared" si="3"/>
        <v>46180.000138888892</v>
      </c>
      <c r="G203" s="27"/>
      <c r="L203" s="66"/>
    </row>
    <row r="204" spans="1:12" ht="15.75" customHeight="1" x14ac:dyDescent="0.25">
      <c r="A204" t="s">
        <v>770</v>
      </c>
      <c r="B204" t="s">
        <v>971</v>
      </c>
      <c r="C204" s="68">
        <v>8077630</v>
      </c>
      <c r="D204" s="13">
        <v>46368</v>
      </c>
      <c r="E204" s="65">
        <v>46178.000138888892</v>
      </c>
      <c r="F204" s="40">
        <f t="shared" si="3"/>
        <v>46180.000138888892</v>
      </c>
      <c r="G204" s="27"/>
      <c r="L204" s="66"/>
    </row>
    <row r="205" spans="1:12" ht="15.75" customHeight="1" x14ac:dyDescent="0.25">
      <c r="A205" t="s">
        <v>755</v>
      </c>
      <c r="B205" t="s">
        <v>972</v>
      </c>
      <c r="C205" s="68">
        <v>17842880</v>
      </c>
      <c r="D205" s="13">
        <v>46369</v>
      </c>
      <c r="E205" s="65">
        <v>46178.000138888892</v>
      </c>
      <c r="F205" s="40">
        <f t="shared" si="3"/>
        <v>46180.000138888892</v>
      </c>
      <c r="G205" s="27"/>
      <c r="L205" s="66"/>
    </row>
    <row r="206" spans="1:12" ht="15.75" customHeight="1" x14ac:dyDescent="0.25">
      <c r="A206" t="s">
        <v>757</v>
      </c>
      <c r="B206" t="s">
        <v>973</v>
      </c>
      <c r="C206" s="68">
        <v>1300000</v>
      </c>
      <c r="D206" s="13">
        <v>46370</v>
      </c>
      <c r="E206" s="65">
        <v>46178.000138888892</v>
      </c>
      <c r="F206" s="40">
        <f t="shared" si="3"/>
        <v>46180.000138888892</v>
      </c>
      <c r="G206" s="27"/>
      <c r="L206" s="66"/>
    </row>
    <row r="207" spans="1:12" ht="15.75" customHeight="1" x14ac:dyDescent="0.25">
      <c r="A207" t="s">
        <v>751</v>
      </c>
      <c r="B207" t="s">
        <v>974</v>
      </c>
      <c r="C207" s="68">
        <v>2342680</v>
      </c>
      <c r="D207" s="13">
        <v>46371</v>
      </c>
      <c r="E207" s="65">
        <v>46177.000138888892</v>
      </c>
      <c r="F207" s="40">
        <f t="shared" si="3"/>
        <v>46179.000138888892</v>
      </c>
      <c r="G207" s="27"/>
      <c r="L207" s="66"/>
    </row>
    <row r="208" spans="1:12" ht="15.75" customHeight="1" x14ac:dyDescent="0.25">
      <c r="A208" t="s">
        <v>756</v>
      </c>
      <c r="B208" t="s">
        <v>975</v>
      </c>
      <c r="C208" s="68">
        <v>1440000</v>
      </c>
      <c r="D208" s="13">
        <v>46372</v>
      </c>
      <c r="E208" s="65">
        <v>46177.000138888892</v>
      </c>
      <c r="F208" s="40">
        <f t="shared" si="3"/>
        <v>46179.000138888892</v>
      </c>
      <c r="G208" s="27"/>
      <c r="L208" s="66"/>
    </row>
    <row r="209" spans="1:12" ht="15.75" customHeight="1" x14ac:dyDescent="0.25">
      <c r="A209" t="s">
        <v>756</v>
      </c>
      <c r="B209" t="s">
        <v>976</v>
      </c>
      <c r="C209" s="68">
        <v>1130000</v>
      </c>
      <c r="D209" s="13">
        <v>46373</v>
      </c>
      <c r="E209" s="65">
        <v>46177.000138888892</v>
      </c>
      <c r="F209" s="40">
        <f t="shared" si="3"/>
        <v>46179.000138888892</v>
      </c>
      <c r="G209" s="27"/>
      <c r="L209" s="66"/>
    </row>
    <row r="210" spans="1:12" ht="15.75" customHeight="1" x14ac:dyDescent="0.25">
      <c r="A210" t="s">
        <v>756</v>
      </c>
      <c r="B210" t="s">
        <v>977</v>
      </c>
      <c r="C210" s="68">
        <v>1480000</v>
      </c>
      <c r="D210" s="13">
        <v>46374</v>
      </c>
      <c r="E210" s="65">
        <v>46177.000138888892</v>
      </c>
      <c r="F210" s="40">
        <f t="shared" si="3"/>
        <v>46179.000138888892</v>
      </c>
      <c r="G210" s="27"/>
      <c r="L210" s="66"/>
    </row>
    <row r="211" spans="1:12" ht="15.75" customHeight="1" x14ac:dyDescent="0.25">
      <c r="A211" t="s">
        <v>756</v>
      </c>
      <c r="B211" t="s">
        <v>978</v>
      </c>
      <c r="C211" s="68">
        <v>1130000</v>
      </c>
      <c r="D211" s="13">
        <v>46375</v>
      </c>
      <c r="E211" s="65">
        <v>46177.000138888892</v>
      </c>
      <c r="F211" s="40">
        <f t="shared" si="3"/>
        <v>46179.000138888892</v>
      </c>
      <c r="G211" s="27"/>
      <c r="L211" s="66"/>
    </row>
    <row r="212" spans="1:12" ht="15.75" customHeight="1" x14ac:dyDescent="0.25">
      <c r="A212" t="s">
        <v>757</v>
      </c>
      <c r="B212" t="s">
        <v>979</v>
      </c>
      <c r="C212" s="68">
        <v>1200000</v>
      </c>
      <c r="D212" s="13">
        <v>46376</v>
      </c>
      <c r="E212" s="65">
        <v>46177.000138888892</v>
      </c>
      <c r="F212" s="40">
        <f t="shared" si="3"/>
        <v>46179.000138888892</v>
      </c>
      <c r="G212" s="27"/>
      <c r="L212" s="66"/>
    </row>
    <row r="213" spans="1:12" ht="15.75" customHeight="1" x14ac:dyDescent="0.25">
      <c r="A213" t="s">
        <v>770</v>
      </c>
      <c r="B213" t="s">
        <v>980</v>
      </c>
      <c r="C213" s="68">
        <v>10000000</v>
      </c>
      <c r="D213" s="13">
        <v>46377</v>
      </c>
      <c r="E213" s="65">
        <v>46177.000138888892</v>
      </c>
      <c r="F213" s="40">
        <f t="shared" si="3"/>
        <v>46179.000138888892</v>
      </c>
      <c r="G213" s="27"/>
      <c r="L213" s="66"/>
    </row>
    <row r="214" spans="1:12" ht="15.75" customHeight="1" x14ac:dyDescent="0.25">
      <c r="A214" t="s">
        <v>757</v>
      </c>
      <c r="B214" t="s">
        <v>981</v>
      </c>
      <c r="C214" s="68">
        <v>1300000</v>
      </c>
      <c r="D214" s="13">
        <v>46378</v>
      </c>
      <c r="E214" s="65">
        <v>46176.000138888892</v>
      </c>
      <c r="F214" s="40">
        <f t="shared" si="3"/>
        <v>46178.000138888892</v>
      </c>
      <c r="G214" s="27"/>
      <c r="L214" s="66"/>
    </row>
    <row r="215" spans="1:12" ht="15.75" customHeight="1" x14ac:dyDescent="0.25">
      <c r="A215" t="s">
        <v>761</v>
      </c>
      <c r="B215" t="s">
        <v>982</v>
      </c>
      <c r="C215" s="68">
        <v>11202048</v>
      </c>
      <c r="D215" s="13">
        <v>46379</v>
      </c>
      <c r="E215" s="65">
        <v>46176.000138888892</v>
      </c>
      <c r="F215" s="40">
        <f t="shared" si="3"/>
        <v>46178.000138888892</v>
      </c>
      <c r="G215" s="27"/>
      <c r="L215" s="66"/>
    </row>
    <row r="216" spans="1:12" ht="15.75" customHeight="1" x14ac:dyDescent="0.25">
      <c r="A216" t="s">
        <v>757</v>
      </c>
      <c r="B216" t="s">
        <v>983</v>
      </c>
      <c r="C216" s="68">
        <v>1200000</v>
      </c>
      <c r="D216" s="13">
        <v>46380</v>
      </c>
      <c r="E216" s="65">
        <v>46176.000138888892</v>
      </c>
      <c r="F216" s="40">
        <f t="shared" si="3"/>
        <v>46178.000138888892</v>
      </c>
      <c r="G216" s="27"/>
      <c r="L216" s="66"/>
    </row>
    <row r="217" spans="1:12" ht="15.75" customHeight="1" x14ac:dyDescent="0.25">
      <c r="A217" t="s">
        <v>752</v>
      </c>
      <c r="B217" t="s">
        <v>984</v>
      </c>
      <c r="C217" s="68">
        <v>4400000</v>
      </c>
      <c r="D217" s="13">
        <v>46381</v>
      </c>
      <c r="E217" s="65">
        <v>46176.000138888892</v>
      </c>
      <c r="F217" s="40">
        <f t="shared" si="3"/>
        <v>46178.000138888892</v>
      </c>
      <c r="G217" s="27"/>
      <c r="L217" s="66"/>
    </row>
    <row r="218" spans="1:12" ht="15.75" customHeight="1" x14ac:dyDescent="0.25">
      <c r="A218" t="s">
        <v>756</v>
      </c>
      <c r="B218" t="s">
        <v>985</v>
      </c>
      <c r="C218" s="68">
        <v>1440000</v>
      </c>
      <c r="D218" s="13">
        <v>46382</v>
      </c>
      <c r="E218" s="65">
        <v>46175.000138888892</v>
      </c>
      <c r="F218" s="40">
        <f t="shared" si="3"/>
        <v>46177.000138888892</v>
      </c>
      <c r="G218" s="27"/>
      <c r="L218" s="66"/>
    </row>
    <row r="219" spans="1:12" ht="15.75" customHeight="1" x14ac:dyDescent="0.25">
      <c r="A219" t="s">
        <v>756</v>
      </c>
      <c r="B219" t="s">
        <v>986</v>
      </c>
      <c r="C219" s="68">
        <v>1480000</v>
      </c>
      <c r="D219" s="13">
        <v>46383</v>
      </c>
      <c r="E219" s="65">
        <v>46175.000138888892</v>
      </c>
      <c r="F219" s="40">
        <f t="shared" si="3"/>
        <v>46177.000138888892</v>
      </c>
      <c r="G219" s="27"/>
      <c r="L219" s="66"/>
    </row>
    <row r="220" spans="1:12" ht="15.75" customHeight="1" x14ac:dyDescent="0.25">
      <c r="A220" t="s">
        <v>756</v>
      </c>
      <c r="B220" t="s">
        <v>987</v>
      </c>
      <c r="C220" s="68">
        <v>1130000</v>
      </c>
      <c r="D220" s="13">
        <v>46384</v>
      </c>
      <c r="E220" s="65">
        <v>46175.000138888892</v>
      </c>
      <c r="F220" s="40">
        <f t="shared" si="3"/>
        <v>46177.000138888892</v>
      </c>
      <c r="G220" s="27"/>
      <c r="L220" s="66"/>
    </row>
    <row r="221" spans="1:12" ht="15.75" customHeight="1" x14ac:dyDescent="0.25">
      <c r="A221" t="s">
        <v>757</v>
      </c>
      <c r="B221" t="s">
        <v>988</v>
      </c>
      <c r="C221" s="68">
        <v>1300000</v>
      </c>
      <c r="D221" s="13">
        <v>46385</v>
      </c>
      <c r="E221" s="65">
        <v>46175.000138888892</v>
      </c>
      <c r="F221" s="40">
        <f t="shared" si="3"/>
        <v>46177.000138888892</v>
      </c>
      <c r="G221" s="27"/>
      <c r="L221" s="66"/>
    </row>
    <row r="222" spans="1:12" ht="15.75" customHeight="1" x14ac:dyDescent="0.25">
      <c r="A222" t="s">
        <v>756</v>
      </c>
      <c r="B222" t="s">
        <v>989</v>
      </c>
      <c r="C222" s="68">
        <v>1130000</v>
      </c>
      <c r="D222" s="13">
        <v>46386</v>
      </c>
      <c r="E222" s="65">
        <v>46175.000138888892</v>
      </c>
      <c r="F222" s="40">
        <f t="shared" si="3"/>
        <v>46177.000138888892</v>
      </c>
      <c r="G222" s="27"/>
      <c r="L222" s="66"/>
    </row>
    <row r="223" spans="1:12" ht="15.75" customHeight="1" x14ac:dyDescent="0.25">
      <c r="A223" t="s">
        <v>752</v>
      </c>
      <c r="B223" t="s">
        <v>990</v>
      </c>
      <c r="C223" s="68">
        <v>4457800</v>
      </c>
      <c r="D223" s="13">
        <v>46387</v>
      </c>
      <c r="E223" s="65">
        <v>46175.000138888892</v>
      </c>
      <c r="F223" s="40">
        <f t="shared" si="3"/>
        <v>46177.000138888892</v>
      </c>
      <c r="G223" s="27"/>
      <c r="L223" s="66"/>
    </row>
    <row r="224" spans="1:12" ht="15.75" customHeight="1" x14ac:dyDescent="0.25">
      <c r="A224" t="s">
        <v>756</v>
      </c>
      <c r="B224" t="s">
        <v>991</v>
      </c>
      <c r="C224" s="68">
        <v>943200</v>
      </c>
      <c r="D224" s="13">
        <v>46388</v>
      </c>
      <c r="E224" s="65">
        <v>46175.000138888892</v>
      </c>
      <c r="F224" s="40">
        <f t="shared" si="3"/>
        <v>46177.000138888892</v>
      </c>
      <c r="G224" s="27"/>
      <c r="L224" s="66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1"/>
  <sheetViews>
    <sheetView showGridLines="0" tabSelected="1" zoomScaleNormal="100" workbookViewId="0">
      <pane ySplit="4" topLeftCell="A252" activePane="bottomLeft" state="frozen"/>
      <selection pane="bottomLeft" activeCell="K274" sqref="K274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BCMDP S.A.S</v>
      </c>
      <c r="B5" t="str">
        <f>+Hoja1!A2</f>
        <v>07768</v>
      </c>
      <c r="C5" s="67">
        <f>+Hoja1!K2</f>
        <v>1367700.18</v>
      </c>
      <c r="D5" s="24">
        <f>+C5/$D$3</f>
        <v>943.24150344827581</v>
      </c>
      <c r="E5" s="50">
        <f>+D5/$D$279</f>
        <v>2.471756334268737E-4</v>
      </c>
      <c r="F5" s="51"/>
    </row>
    <row r="6" spans="1:6" ht="15.75" customHeight="1" x14ac:dyDescent="0.25">
      <c r="A6" t="str">
        <f>+Hoja1!B3</f>
        <v> CLEANING IN PACE S.R.L.</v>
      </c>
      <c r="B6" t="str">
        <f>+Hoja1!A3</f>
        <v>09021</v>
      </c>
      <c r="C6" s="67">
        <f>+Hoja1!K3</f>
        <v>9750000.0099999998</v>
      </c>
      <c r="D6" s="24">
        <f t="shared" ref="D6:D69" si="0">+C6/$D$3</f>
        <v>6724.1379379310347</v>
      </c>
      <c r="E6" s="50">
        <f t="shared" ref="E6:E69" si="1">+D6/$D$279</f>
        <v>1.7620546254397474E-3</v>
      </c>
      <c r="F6" s="51"/>
    </row>
    <row r="7" spans="1:6" ht="15.75" customHeight="1" x14ac:dyDescent="0.25">
      <c r="A7" t="str">
        <f>+Hoja1!B4</f>
        <v> L K GLOBAL SA</v>
      </c>
      <c r="B7" t="str">
        <f>+Hoja1!A4</f>
        <v>09065</v>
      </c>
      <c r="C7" s="67">
        <f>+Hoja1!K4</f>
        <v>2460634.5699999998</v>
      </c>
      <c r="D7" s="24">
        <f t="shared" si="0"/>
        <v>1696.9893586206895</v>
      </c>
      <c r="E7" s="50">
        <f t="shared" si="1"/>
        <v>4.4469461755266637E-4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7">
        <f>+Hoja1!K5</f>
        <v>1.08</v>
      </c>
      <c r="D8" s="24">
        <f t="shared" si="0"/>
        <v>7.448275862068966E-4</v>
      </c>
      <c r="E8" s="50">
        <f t="shared" si="1"/>
        <v>1.9518143523313977E-10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7">
        <f>+Hoja1!K6</f>
        <v>2310000</v>
      </c>
      <c r="D9" s="24">
        <f t="shared" si="0"/>
        <v>1593.1034482758621</v>
      </c>
      <c r="E9" s="50">
        <f t="shared" si="1"/>
        <v>4.1747140313754894E-4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7">
        <f>+Hoja1!K7</f>
        <v>257680.39</v>
      </c>
      <c r="D10" s="24">
        <f t="shared" si="0"/>
        <v>177.71061379310345</v>
      </c>
      <c r="E10" s="50">
        <f t="shared" si="1"/>
        <v>4.6568915140402957E-5</v>
      </c>
      <c r="F10" s="51"/>
    </row>
    <row r="11" spans="1:6" ht="15.75" customHeight="1" x14ac:dyDescent="0.25">
      <c r="A11" t="str">
        <f>+Hoja1!B8</f>
        <v> SALEM ALDO ALBERTO Y AICARDI DERNANDO SEBASTIAN S H</v>
      </c>
      <c r="B11" t="str">
        <f>+Hoja1!A8</f>
        <v>05594</v>
      </c>
      <c r="C11" s="67">
        <f>+Hoja1!K8</f>
        <v>8383134.0999999996</v>
      </c>
      <c r="D11" s="24">
        <f t="shared" si="0"/>
        <v>5781.4717931034484</v>
      </c>
      <c r="E11" s="50">
        <f t="shared" si="1"/>
        <v>1.5150297642498847E-3</v>
      </c>
      <c r="F11" s="51"/>
    </row>
    <row r="12" spans="1:6" ht="15.75" customHeight="1" x14ac:dyDescent="0.25">
      <c r="A12" t="str">
        <f>+Hoja1!B9</f>
        <v>A LONEIRA S.A.</v>
      </c>
      <c r="B12" t="str">
        <f>+Hoja1!A9</f>
        <v>07467</v>
      </c>
      <c r="C12" s="67">
        <f>+Hoja1!K9</f>
        <v>560000</v>
      </c>
      <c r="D12" s="24">
        <f t="shared" si="0"/>
        <v>386.20689655172413</v>
      </c>
      <c r="E12" s="50">
        <f t="shared" si="1"/>
        <v>1.012051886394058E-4</v>
      </c>
      <c r="F12" s="51"/>
    </row>
    <row r="13" spans="1:6" ht="15.75" customHeight="1" x14ac:dyDescent="0.25">
      <c r="A13" t="str">
        <f>+Hoja1!B10</f>
        <v>ABBOUD MARCELO BANAIOT</v>
      </c>
      <c r="B13" t="str">
        <f>+Hoja1!A10</f>
        <v>07137</v>
      </c>
      <c r="C13" s="67">
        <f>+Hoja1!K10</f>
        <v>8763369.8200000003</v>
      </c>
      <c r="D13" s="24">
        <f t="shared" si="0"/>
        <v>6043.7033241379313</v>
      </c>
      <c r="E13" s="50">
        <f t="shared" si="1"/>
        <v>1.5837473138392423E-3</v>
      </c>
      <c r="F13" s="51"/>
    </row>
    <row r="14" spans="1:6" ht="15.75" customHeight="1" x14ac:dyDescent="0.25">
      <c r="A14" t="str">
        <f>+Hoja1!B11</f>
        <v>ABETE Y CIA. S.A.</v>
      </c>
      <c r="B14" t="str">
        <f>+Hoja1!A11</f>
        <v>00128</v>
      </c>
      <c r="C14" s="67">
        <f>+Hoja1!K11</f>
        <v>4842877.5599999996</v>
      </c>
      <c r="D14" s="24">
        <f t="shared" si="0"/>
        <v>3339.9155586206894</v>
      </c>
      <c r="E14" s="50">
        <f t="shared" si="1"/>
        <v>8.7522203038811655E-4</v>
      </c>
      <c r="F14" s="51"/>
    </row>
    <row r="15" spans="1:6" ht="15.75" customHeight="1" x14ac:dyDescent="0.25">
      <c r="A15" t="str">
        <f>+Hoja1!B12</f>
        <v>ABREU JOSE LUIS</v>
      </c>
      <c r="B15" t="str">
        <f>+Hoja1!A12</f>
        <v>07598</v>
      </c>
      <c r="C15" s="67">
        <f>+Hoja1!K12</f>
        <v>508267.1</v>
      </c>
      <c r="D15" s="24">
        <f t="shared" si="0"/>
        <v>350.52903448275862</v>
      </c>
      <c r="E15" s="50">
        <f t="shared" si="1"/>
        <v>9.1855835240542386E-5</v>
      </c>
      <c r="F15" s="51"/>
    </row>
    <row r="16" spans="1:6" ht="15.75" customHeight="1" x14ac:dyDescent="0.25">
      <c r="A16" t="str">
        <f>+Hoja1!B13</f>
        <v>ACCELLERON ARGENTINA S. A.</v>
      </c>
      <c r="B16" t="str">
        <f>+Hoja1!A13</f>
        <v>08457</v>
      </c>
      <c r="C16" s="67">
        <f>+Hoja1!K13</f>
        <v>182706167.53999999</v>
      </c>
      <c r="D16" s="24">
        <f t="shared" si="0"/>
        <v>126004.25347586206</v>
      </c>
      <c r="E16" s="50">
        <f t="shared" si="1"/>
        <v>3.3019307413336751E-2</v>
      </c>
      <c r="F16" s="51"/>
    </row>
    <row r="17" spans="1:6" ht="15.75" customHeight="1" x14ac:dyDescent="0.25">
      <c r="A17" t="str">
        <f>+Hoja1!B14</f>
        <v>ACUPRI S. R. L</v>
      </c>
      <c r="B17" t="str">
        <f>+Hoja1!A14</f>
        <v>06732</v>
      </c>
      <c r="C17" s="67">
        <f>+Hoja1!K14</f>
        <v>2613600</v>
      </c>
      <c r="D17" s="24">
        <f t="shared" si="0"/>
        <v>1802.4827586206898</v>
      </c>
      <c r="E17" s="50">
        <f t="shared" si="1"/>
        <v>4.7233907326419826E-4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7">
        <f>+Hoja1!K15</f>
        <v>30468.98</v>
      </c>
      <c r="D18" s="24">
        <f t="shared" si="0"/>
        <v>21.013089655172415</v>
      </c>
      <c r="E18" s="50">
        <f t="shared" si="1"/>
        <v>5.5064622652683624E-6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7">
        <f>+Hoja1!K16</f>
        <v>1381638.9</v>
      </c>
      <c r="D19" s="24">
        <f t="shared" si="0"/>
        <v>952.85441379310339</v>
      </c>
      <c r="E19" s="50">
        <f t="shared" si="1"/>
        <v>2.4969468840364486E-4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7">
        <f>+Hoja1!K17</f>
        <v>1861644.29</v>
      </c>
      <c r="D20" s="24">
        <f t="shared" si="0"/>
        <v>1283.8926137931035</v>
      </c>
      <c r="E20" s="50">
        <f t="shared" si="1"/>
        <v>3.3644296705164764E-4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7">
        <f>+Hoja1!K18</f>
        <v>951000</v>
      </c>
      <c r="D21" s="24">
        <f t="shared" si="0"/>
        <v>655.86206896551721</v>
      </c>
      <c r="E21" s="50">
        <f t="shared" si="1"/>
        <v>1.7186809713584807E-4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7">
        <f>+Hoja1!K19</f>
        <v>1430621.27</v>
      </c>
      <c r="D22" s="24">
        <f t="shared" si="0"/>
        <v>986.63535862068966</v>
      </c>
      <c r="E22" s="50">
        <f t="shared" si="1"/>
        <v>2.5854695625338628E-4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7">
        <f>+Hoja1!K20</f>
        <v>266057.08</v>
      </c>
      <c r="D23" s="24">
        <f t="shared" si="0"/>
        <v>183.48764137931036</v>
      </c>
      <c r="E23" s="50">
        <f t="shared" si="1"/>
        <v>4.8082780304016935E-5</v>
      </c>
      <c r="F23" s="51"/>
    </row>
    <row r="24" spans="1:6" ht="15.75" customHeight="1" x14ac:dyDescent="0.25">
      <c r="A24" t="str">
        <f>+Hoja1!B21</f>
        <v>AMX ARGENTINA S.A. (CAE)</v>
      </c>
      <c r="B24" t="str">
        <f>+Hoja1!A21</f>
        <v>00240</v>
      </c>
      <c r="C24" s="67">
        <f>+Hoja1!K21</f>
        <v>1441714.35</v>
      </c>
      <c r="D24" s="24">
        <f t="shared" si="0"/>
        <v>994.28575862068976</v>
      </c>
      <c r="E24" s="50">
        <f t="shared" si="1"/>
        <v>2.6055173706408634E-4</v>
      </c>
      <c r="F24" s="51"/>
    </row>
    <row r="25" spans="1:6" ht="15.75" customHeight="1" x14ac:dyDescent="0.25">
      <c r="A25" t="str">
        <f>+Hoja1!B22</f>
        <v>ARCAMONE ANA</v>
      </c>
      <c r="B25" t="str">
        <f>+Hoja1!A22</f>
        <v>07039</v>
      </c>
      <c r="C25" s="67">
        <f>+Hoja1!K22</f>
        <v>6499000</v>
      </c>
      <c r="D25" s="24">
        <f t="shared" si="0"/>
        <v>4482.0689655172409</v>
      </c>
      <c r="E25" s="50">
        <f t="shared" si="1"/>
        <v>1.1745223588705326E-3</v>
      </c>
      <c r="F25" s="51"/>
    </row>
    <row r="26" spans="1:6" ht="15.75" customHeight="1" x14ac:dyDescent="0.25">
      <c r="A26" t="str">
        <f>+Hoja1!B23</f>
        <v>ASCENSORES ULTRA S R L</v>
      </c>
      <c r="B26" t="str">
        <f>+Hoja1!A23</f>
        <v>07521</v>
      </c>
      <c r="C26" s="67">
        <f>+Hoja1!K23</f>
        <v>169552.2</v>
      </c>
      <c r="D26" s="24">
        <f t="shared" si="0"/>
        <v>116.93255172413794</v>
      </c>
      <c r="E26" s="50">
        <f t="shared" si="1"/>
        <v>3.064207568790404E-5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7">
        <f>+Hoja1!K24</f>
        <v>2392500</v>
      </c>
      <c r="D27" s="24">
        <f t="shared" si="0"/>
        <v>1650</v>
      </c>
      <c r="E27" s="50">
        <f t="shared" si="1"/>
        <v>4.3238109610674709E-4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7">
        <f>+Hoja1!K25</f>
        <v>343156</v>
      </c>
      <c r="D28" s="24">
        <f t="shared" si="0"/>
        <v>236.65931034482759</v>
      </c>
      <c r="E28" s="50">
        <f t="shared" si="1"/>
        <v>6.2016370915614179E-5</v>
      </c>
      <c r="F28" s="51"/>
    </row>
    <row r="29" spans="1:6" ht="15.75" customHeight="1" x14ac:dyDescent="0.25">
      <c r="A29" t="str">
        <f>+Hoja1!B26</f>
        <v>ATLANTIS ELECTRONICS CORP</v>
      </c>
      <c r="B29" t="str">
        <f>+Hoja1!A26</f>
        <v>08001</v>
      </c>
      <c r="C29" s="67">
        <f>+Hoja1!K26</f>
        <v>22275036.960000001</v>
      </c>
      <c r="D29" s="24">
        <f t="shared" si="0"/>
        <v>15362.094455172415</v>
      </c>
      <c r="E29" s="50">
        <f t="shared" si="1"/>
        <v>4.0256237812259579E-3</v>
      </c>
      <c r="F29" s="51"/>
    </row>
    <row r="30" spans="1:6" ht="15.75" customHeight="1" x14ac:dyDescent="0.25">
      <c r="A30" t="str">
        <f>+Hoja1!B27</f>
        <v>AUTOVIA 3 S.A.</v>
      </c>
      <c r="B30" t="str">
        <f>+Hoja1!A27</f>
        <v>07846</v>
      </c>
      <c r="C30" s="67">
        <f>+Hoja1!K27</f>
        <v>2408015.9700000002</v>
      </c>
      <c r="D30" s="24">
        <f t="shared" si="0"/>
        <v>1660.7006689655175</v>
      </c>
      <c r="E30" s="50">
        <f t="shared" si="1"/>
        <v>4.3518519730455674E-4</v>
      </c>
      <c r="F30" s="51"/>
    </row>
    <row r="31" spans="1:6" ht="15.75" customHeight="1" x14ac:dyDescent="0.25">
      <c r="A31" t="str">
        <f>+Hoja1!B28</f>
        <v>BAHIA NUEVA S R L</v>
      </c>
      <c r="B31" t="str">
        <f>+Hoja1!A28</f>
        <v>07603</v>
      </c>
      <c r="C31" s="67">
        <f>+Hoja1!K28</f>
        <v>196000</v>
      </c>
      <c r="D31" s="24">
        <f t="shared" si="0"/>
        <v>135.17241379310346</v>
      </c>
      <c r="E31" s="50">
        <f t="shared" si="1"/>
        <v>3.5421816023792035E-5</v>
      </c>
      <c r="F31" s="51"/>
    </row>
    <row r="32" spans="1:6" ht="15.75" customHeight="1" x14ac:dyDescent="0.25">
      <c r="A32" t="str">
        <f>+Hoja1!B29</f>
        <v>BARTOLOMEO ALBERTO ANGEL</v>
      </c>
      <c r="B32" t="str">
        <f>+Hoja1!A29</f>
        <v>00943</v>
      </c>
      <c r="C32" s="67">
        <f>+Hoja1!K29</f>
        <v>280989.83</v>
      </c>
      <c r="D32" s="24">
        <f t="shared" si="0"/>
        <v>193.78608965517242</v>
      </c>
      <c r="E32" s="50">
        <f t="shared" si="1"/>
        <v>5.078147991232959E-5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7">
        <f>+Hoja1!K30</f>
        <v>75000</v>
      </c>
      <c r="D33" s="24">
        <f t="shared" si="0"/>
        <v>51.724137931034484</v>
      </c>
      <c r="E33" s="50">
        <f t="shared" si="1"/>
        <v>1.3554266335634707E-5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7">
        <f>+Hoja1!K31</f>
        <v>4477000</v>
      </c>
      <c r="D34" s="24">
        <f t="shared" si="0"/>
        <v>3087.5862068965516</v>
      </c>
      <c r="E34" s="50">
        <f t="shared" si="1"/>
        <v>8.0909933846182104E-4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7">
        <f>+Hoja1!K32</f>
        <v>999831.39</v>
      </c>
      <c r="D35" s="24">
        <f t="shared" si="0"/>
        <v>689.5388896551724</v>
      </c>
      <c r="E35" s="50">
        <f t="shared" si="1"/>
        <v>1.8069307934383806E-4</v>
      </c>
      <c r="F35" s="51"/>
    </row>
    <row r="36" spans="1:6" ht="15.75" customHeight="1" x14ac:dyDescent="0.25">
      <c r="A36" t="str">
        <f>+Hoja1!B33</f>
        <v>BENGOCHEA JORGE GABRIEL</v>
      </c>
      <c r="B36" t="str">
        <f>+Hoja1!A33</f>
        <v>03774</v>
      </c>
      <c r="C36" s="67">
        <f>+Hoja1!K33</f>
        <v>1827342</v>
      </c>
      <c r="D36" s="24">
        <f t="shared" si="0"/>
        <v>1260.2358620689656</v>
      </c>
      <c r="E36" s="50">
        <f t="shared" si="1"/>
        <v>3.3024373539055198E-4</v>
      </c>
      <c r="F36" s="51"/>
    </row>
    <row r="37" spans="1:6" ht="15.75" customHeight="1" x14ac:dyDescent="0.25">
      <c r="A37" t="str">
        <f>+Hoja1!B34</f>
        <v>BERNABEU SONIA</v>
      </c>
      <c r="B37" t="str">
        <f>+Hoja1!A34</f>
        <v>05738</v>
      </c>
      <c r="C37" s="67">
        <f>+Hoja1!K34</f>
        <v>1929224</v>
      </c>
      <c r="D37" s="24">
        <f t="shared" si="0"/>
        <v>1330.4993103448276</v>
      </c>
      <c r="E37" s="50">
        <f t="shared" si="1"/>
        <v>3.4865621222798039E-4</v>
      </c>
      <c r="F37" s="51"/>
    </row>
    <row r="38" spans="1:6" ht="15.75" customHeight="1" x14ac:dyDescent="0.25">
      <c r="A38" t="str">
        <f>+Hoja1!B35</f>
        <v>BIANCHI LUCIA DEL CARMEN</v>
      </c>
      <c r="B38" t="str">
        <f>+Hoja1!A35</f>
        <v>07931</v>
      </c>
      <c r="C38" s="67">
        <f>+Hoja1!K35</f>
        <v>1259999.8600000001</v>
      </c>
      <c r="D38" s="24">
        <f t="shared" si="0"/>
        <v>868.96542068965528</v>
      </c>
      <c r="E38" s="50">
        <f t="shared" si="1"/>
        <v>2.2771164913736592E-4</v>
      </c>
      <c r="F38" s="51"/>
    </row>
    <row r="39" spans="1:6" ht="15.75" customHeight="1" x14ac:dyDescent="0.25">
      <c r="A39" t="str">
        <f>+Hoja1!B36</f>
        <v>BIOMADRYN</v>
      </c>
      <c r="B39" t="str">
        <f>+Hoja1!A36</f>
        <v>08032</v>
      </c>
      <c r="C39" s="67">
        <f>+Hoja1!K36</f>
        <v>97768</v>
      </c>
      <c r="D39" s="24">
        <f t="shared" si="0"/>
        <v>67.426206896551719</v>
      </c>
      <c r="E39" s="50">
        <f t="shared" si="1"/>
        <v>1.7668980148031118E-5</v>
      </c>
      <c r="F39" s="51"/>
    </row>
    <row r="40" spans="1:6" ht="15.75" customHeight="1" x14ac:dyDescent="0.25">
      <c r="A40" t="str">
        <f>+Hoja1!B37</f>
        <v>BIOSEGUR SRL</v>
      </c>
      <c r="B40" t="str">
        <f>+Hoja1!A37</f>
        <v>08179</v>
      </c>
      <c r="C40" s="67">
        <f>+Hoja1!K37</f>
        <v>2885719.2</v>
      </c>
      <c r="D40" s="24">
        <f t="shared" si="0"/>
        <v>1990.1511724137931</v>
      </c>
      <c r="E40" s="50">
        <f t="shared" si="1"/>
        <v>5.2151742142206292E-4</v>
      </c>
      <c r="F40" s="51"/>
    </row>
    <row r="41" spans="1:6" ht="15.75" customHeight="1" x14ac:dyDescent="0.25">
      <c r="A41" t="str">
        <f>+Hoja1!B38</f>
        <v>BIRAS JONATAN EDGARDO</v>
      </c>
      <c r="B41" t="str">
        <f>+Hoja1!A38</f>
        <v> 8968</v>
      </c>
      <c r="C41" s="67">
        <f>+Hoja1!K38</f>
        <v>304277.56</v>
      </c>
      <c r="D41" s="24">
        <f t="shared" si="0"/>
        <v>209.84659310344827</v>
      </c>
      <c r="E41" s="50">
        <f t="shared" si="1"/>
        <v>5.4990121175960922E-5</v>
      </c>
      <c r="F41" s="51"/>
    </row>
    <row r="42" spans="1:6" ht="15.75" customHeight="1" x14ac:dyDescent="0.25">
      <c r="A42" t="str">
        <f>+Hoja1!B39</f>
        <v>BRASAS JUAN IGNACIO</v>
      </c>
      <c r="B42" t="str">
        <f>+Hoja1!A39</f>
        <v>08399</v>
      </c>
      <c r="C42" s="67">
        <f>+Hoja1!K39</f>
        <v>397800</v>
      </c>
      <c r="D42" s="24">
        <f t="shared" si="0"/>
        <v>274.34482758620692</v>
      </c>
      <c r="E42" s="50">
        <f t="shared" si="1"/>
        <v>7.1891828644206481E-5</v>
      </c>
      <c r="F42" s="51"/>
    </row>
    <row r="43" spans="1:6" ht="15.75" customHeight="1" x14ac:dyDescent="0.25">
      <c r="A43" t="str">
        <f>+Hoja1!B40</f>
        <v>BRAVO MINNUCCI MDQ SOCIEDAD DE RESPONSABILIDAD LIMITADA</v>
      </c>
      <c r="B43" t="str">
        <f>+Hoja1!A40</f>
        <v>09060</v>
      </c>
      <c r="C43" s="67">
        <f>+Hoja1!K40</f>
        <v>3000000</v>
      </c>
      <c r="D43" s="24">
        <f t="shared" si="0"/>
        <v>2068.9655172413795</v>
      </c>
      <c r="E43" s="50">
        <f t="shared" si="1"/>
        <v>5.4217065342538825E-4</v>
      </c>
      <c r="F43" s="51"/>
    </row>
    <row r="44" spans="1:6" ht="15.75" customHeight="1" x14ac:dyDescent="0.25">
      <c r="A44" t="str">
        <f>+Hoja1!B41</f>
        <v>BUENOS AIRES EXPRESS S.R.L.</v>
      </c>
      <c r="B44" t="str">
        <f>+Hoja1!A41</f>
        <v>08035</v>
      </c>
      <c r="C44" s="67">
        <f>+Hoja1!K41</f>
        <v>200362.95</v>
      </c>
      <c r="D44" s="24">
        <f t="shared" si="0"/>
        <v>138.1813448275862</v>
      </c>
      <c r="E44" s="50">
        <f t="shared" si="1"/>
        <v>3.6210303841246129E-5</v>
      </c>
      <c r="F44" s="51"/>
    </row>
    <row r="45" spans="1:6" ht="15.75" customHeight="1" x14ac:dyDescent="0.25">
      <c r="A45" t="str">
        <f>+Hoja1!B42</f>
        <v>BULLBLACK SA</v>
      </c>
      <c r="B45" t="str">
        <f>+Hoja1!A42</f>
        <v>07597</v>
      </c>
      <c r="C45" s="67">
        <f>+Hoja1!K42</f>
        <v>21598160.66</v>
      </c>
      <c r="D45" s="24">
        <f t="shared" si="0"/>
        <v>14895.283213793104</v>
      </c>
      <c r="E45" s="50">
        <f t="shared" si="1"/>
        <v>3.9032962926062384E-3</v>
      </c>
      <c r="F45" s="51"/>
    </row>
    <row r="46" spans="1:6" ht="15.75" customHeight="1" x14ac:dyDescent="0.25">
      <c r="A46" t="str">
        <f>+Hoja1!B43</f>
        <v>CAJIDE JAVIER</v>
      </c>
      <c r="B46" t="str">
        <f>+Hoja1!A43</f>
        <v>08594</v>
      </c>
      <c r="C46" s="67">
        <f>+Hoja1!K43</f>
        <v>1805859.66</v>
      </c>
      <c r="D46" s="24">
        <f t="shared" si="0"/>
        <v>1245.4204551724138</v>
      </c>
      <c r="E46" s="50">
        <f t="shared" si="1"/>
        <v>3.2636137061891647E-4</v>
      </c>
      <c r="F46" s="51"/>
    </row>
    <row r="47" spans="1:6" ht="15.75" customHeight="1" x14ac:dyDescent="0.25">
      <c r="A47" t="str">
        <f>+Hoja1!B44</f>
        <v>CAMARA DE ARMADORES DE POTEROS ARGENTINOS (C.A.P.A.)</v>
      </c>
      <c r="B47" t="str">
        <f>+Hoja1!A44</f>
        <v>09114</v>
      </c>
      <c r="C47" s="67">
        <f>+Hoja1!K44</f>
        <v>1740000</v>
      </c>
      <c r="D47" s="24">
        <f t="shared" si="0"/>
        <v>1200</v>
      </c>
      <c r="E47" s="50">
        <f t="shared" si="1"/>
        <v>3.1445897898672517E-4</v>
      </c>
      <c r="F47" s="51"/>
    </row>
    <row r="48" spans="1:6" ht="15.75" customHeight="1" x14ac:dyDescent="0.25">
      <c r="A48" t="str">
        <f>+Hoja1!B45</f>
        <v>CANALES ARIEL CESAR LUIS</v>
      </c>
      <c r="B48" t="str">
        <f>+Hoja1!A45</f>
        <v>06728</v>
      </c>
      <c r="C48" s="67">
        <f>+Hoja1!K45</f>
        <v>4962218.68</v>
      </c>
      <c r="D48" s="24">
        <f t="shared" si="0"/>
        <v>3422.2197793103446</v>
      </c>
      <c r="E48" s="50">
        <f t="shared" si="1"/>
        <v>8.9678978139175582E-4</v>
      </c>
      <c r="F48" s="51"/>
    </row>
    <row r="49" spans="1:6" ht="15.75" customHeight="1" x14ac:dyDescent="0.25">
      <c r="A49" t="str">
        <f>+Hoja1!B46</f>
        <v>CARGO NET LOGISTIC S A</v>
      </c>
      <c r="B49" t="str">
        <f>+Hoja1!A46</f>
        <v>09170</v>
      </c>
      <c r="C49" s="67">
        <f>+Hoja1!K46</f>
        <v>3150497.55</v>
      </c>
      <c r="D49" s="24">
        <f t="shared" si="0"/>
        <v>2172.7569310344825</v>
      </c>
      <c r="E49" s="50">
        <f t="shared" si="1"/>
        <v>5.6936910509952816E-4</v>
      </c>
      <c r="F49" s="51"/>
    </row>
    <row r="50" spans="1:6" ht="15.75" customHeight="1" x14ac:dyDescent="0.25">
      <c r="A50" t="str">
        <f>+Hoja1!B47</f>
        <v>CARTONERIA ACEVEDO SACI</v>
      </c>
      <c r="B50" t="str">
        <f>+Hoja1!A47</f>
        <v>01006</v>
      </c>
      <c r="C50" s="67">
        <f>+Hoja1!K47</f>
        <v>22095215.899999999</v>
      </c>
      <c r="D50" s="24">
        <f t="shared" si="0"/>
        <v>15238.079931034481</v>
      </c>
      <c r="E50" s="50">
        <f t="shared" si="1"/>
        <v>3.9931258806926752E-3</v>
      </c>
      <c r="F50" s="51"/>
    </row>
    <row r="51" spans="1:6" ht="15.75" customHeight="1" x14ac:dyDescent="0.25">
      <c r="A51" t="str">
        <f>+Hoja1!B48</f>
        <v>CASA BLANCO S.A.</v>
      </c>
      <c r="B51" t="str">
        <f>+Hoja1!A48</f>
        <v>00073</v>
      </c>
      <c r="C51" s="67">
        <f>+Hoja1!K48</f>
        <v>10778284.130000001</v>
      </c>
      <c r="D51" s="24">
        <f t="shared" si="0"/>
        <v>7433.2994000000008</v>
      </c>
      <c r="E51" s="50">
        <f t="shared" si="1"/>
        <v>1.9478897831888642E-3</v>
      </c>
      <c r="F51" s="51"/>
    </row>
    <row r="52" spans="1:6" ht="15.75" customHeight="1" x14ac:dyDescent="0.25">
      <c r="A52" t="str">
        <f>+Hoja1!B49</f>
        <v>CASA MINGO S.R.L.</v>
      </c>
      <c r="B52" t="str">
        <f>+Hoja1!A49</f>
        <v>01849</v>
      </c>
      <c r="C52" s="67">
        <f>+Hoja1!K49</f>
        <v>1268511.24</v>
      </c>
      <c r="D52" s="24">
        <f t="shared" si="0"/>
        <v>874.83533793103447</v>
      </c>
      <c r="E52" s="50">
        <f t="shared" si="1"/>
        <v>2.2924985595608317E-4</v>
      </c>
      <c r="F52" s="51"/>
    </row>
    <row r="53" spans="1:6" ht="15.75" customHeight="1" x14ac:dyDescent="0.25">
      <c r="A53" t="str">
        <f>+Hoja1!B50</f>
        <v>CMA CGM ARGENTINA S.A.</v>
      </c>
      <c r="B53" t="str">
        <f>+Hoja1!A50</f>
        <v>05707</v>
      </c>
      <c r="C53" s="67">
        <f>+Hoja1!K50</f>
        <v>217</v>
      </c>
      <c r="D53" s="24">
        <f t="shared" si="0"/>
        <v>0.14965517241379311</v>
      </c>
      <c r="E53" s="50">
        <f t="shared" si="1"/>
        <v>3.9217010597769749E-8</v>
      </c>
      <c r="F53" s="51"/>
    </row>
    <row r="54" spans="1:6" ht="15.75" customHeight="1" x14ac:dyDescent="0.25">
      <c r="A54" t="str">
        <f>+Hoja1!B51</f>
        <v>COCCO HERNAN PABLO</v>
      </c>
      <c r="B54" t="str">
        <f>+Hoja1!A51</f>
        <v>08210</v>
      </c>
      <c r="C54" s="67">
        <f>+Hoja1!K51</f>
        <v>268800</v>
      </c>
      <c r="D54" s="24">
        <f t="shared" si="0"/>
        <v>185.37931034482759</v>
      </c>
      <c r="E54" s="50">
        <f t="shared" si="1"/>
        <v>4.8578490546914783E-5</v>
      </c>
      <c r="F54" s="51"/>
    </row>
    <row r="55" spans="1:6" ht="15.75" customHeight="1" x14ac:dyDescent="0.25">
      <c r="A55" t="str">
        <f>+Hoja1!B52</f>
        <v>COMERCIAL DEL MAR S.A.</v>
      </c>
      <c r="B55" t="str">
        <f>+Hoja1!A52</f>
        <v>05510</v>
      </c>
      <c r="C55" s="67">
        <f>+Hoja1!K52</f>
        <v>667207.14</v>
      </c>
      <c r="D55" s="24">
        <f t="shared" si="0"/>
        <v>460.14285517241382</v>
      </c>
      <c r="E55" s="50">
        <f t="shared" si="1"/>
        <v>1.2058004368796151E-4</v>
      </c>
      <c r="F55" s="51"/>
    </row>
    <row r="56" spans="1:6" ht="15.75" customHeight="1" x14ac:dyDescent="0.25">
      <c r="A56" t="str">
        <f>+Hoja1!B53</f>
        <v>CONCA HUGO CESAR</v>
      </c>
      <c r="B56" t="str">
        <f>+Hoja1!A53</f>
        <v>00448</v>
      </c>
      <c r="C56" s="67">
        <f>+Hoja1!K53</f>
        <v>971329.92</v>
      </c>
      <c r="D56" s="24">
        <f t="shared" si="0"/>
        <v>669.88270344827595</v>
      </c>
      <c r="E56" s="50">
        <f t="shared" si="1"/>
        <v>1.7554219247267671E-4</v>
      </c>
      <c r="F56" s="51"/>
    </row>
    <row r="57" spans="1:6" ht="15.75" customHeight="1" x14ac:dyDescent="0.25">
      <c r="A57" t="str">
        <f>+Hoja1!B54</f>
        <v>CONSORCIO PORTUARIO REGIONAL DE MAR DEL PLATA</v>
      </c>
      <c r="B57" t="str">
        <f>+Hoja1!A54</f>
        <v>03848</v>
      </c>
      <c r="C57" s="67">
        <f>+Hoja1!K54</f>
        <v>23751414.949999999</v>
      </c>
      <c r="D57" s="24">
        <f t="shared" si="0"/>
        <v>16380.286172413793</v>
      </c>
      <c r="E57" s="50">
        <f t="shared" si="1"/>
        <v>4.2924400544063447E-3</v>
      </c>
      <c r="F57" s="51"/>
    </row>
    <row r="58" spans="1:6" ht="15.75" customHeight="1" x14ac:dyDescent="0.25">
      <c r="A58" t="str">
        <f>+Hoja1!B55</f>
        <v>CONSULTORA GESTAM MDP SA</v>
      </c>
      <c r="B58" t="str">
        <f>+Hoja1!A55</f>
        <v>08526</v>
      </c>
      <c r="C58" s="67">
        <f>+Hoja1!K55</f>
        <v>1817783</v>
      </c>
      <c r="D58" s="24">
        <f t="shared" si="0"/>
        <v>1253.6434482758621</v>
      </c>
      <c r="E58" s="50">
        <f t="shared" si="1"/>
        <v>3.2851619896518748E-4</v>
      </c>
      <c r="F58" s="51"/>
    </row>
    <row r="59" spans="1:6" ht="15.75" customHeight="1" x14ac:dyDescent="0.25">
      <c r="A59" t="str">
        <f>+Hoja1!B56</f>
        <v>COOP. DE TRABAJO PUCARA LIMITADA</v>
      </c>
      <c r="B59" t="str">
        <f>+Hoja1!A56</f>
        <v>05924</v>
      </c>
      <c r="C59" s="67">
        <f>+Hoja1!K56</f>
        <v>225702800</v>
      </c>
      <c r="D59" s="24">
        <f t="shared" si="0"/>
        <v>155657.10344827586</v>
      </c>
      <c r="E59" s="50">
        <f t="shared" si="1"/>
        <v>4.0789811518646572E-2</v>
      </c>
      <c r="F59" s="51"/>
    </row>
    <row r="60" spans="1:6" ht="15.75" customHeight="1" x14ac:dyDescent="0.25">
      <c r="A60" t="str">
        <f>+Hoja1!B57</f>
        <v>COOPERATIVA DE TRABAJO DE ESTIBAJE HIPOCOOP LTDA</v>
      </c>
      <c r="B60" t="str">
        <f>+Hoja1!A57</f>
        <v>03950</v>
      </c>
      <c r="C60" s="67">
        <f>+Hoja1!K57</f>
        <v>527671126</v>
      </c>
      <c r="D60" s="24">
        <f t="shared" si="0"/>
        <v>363911.12137931032</v>
      </c>
      <c r="E60" s="50">
        <f t="shared" si="1"/>
        <v>9.5362599725710123E-2</v>
      </c>
      <c r="F60" s="51"/>
    </row>
    <row r="61" spans="1:6" ht="15.75" customHeight="1" x14ac:dyDescent="0.25">
      <c r="A61" t="str">
        <f>+Hoja1!B58</f>
        <v>COOPERATIVA DE TRABAJO DE ESTIBAJE HIPOCOOP LTDA</v>
      </c>
      <c r="B61" t="str">
        <f>+Hoja1!A58</f>
        <v>00350</v>
      </c>
      <c r="C61" s="67">
        <f>+Hoja1!K58</f>
        <v>151322438.68000001</v>
      </c>
      <c r="D61" s="24">
        <f t="shared" si="0"/>
        <v>104360.30253793104</v>
      </c>
      <c r="E61" s="50">
        <f t="shared" si="1"/>
        <v>2.7347528485686282E-2</v>
      </c>
      <c r="F61" s="51"/>
    </row>
    <row r="62" spans="1:6" ht="15.75" customHeight="1" x14ac:dyDescent="0.25">
      <c r="A62" t="str">
        <f>+Hoja1!B59</f>
        <v>COOPERATIVA DE TRABAJO DE ESTIBAJE HIPOCOOP LTDA</v>
      </c>
      <c r="B62" t="str">
        <f>+Hoja1!A59</f>
        <v>03951</v>
      </c>
      <c r="C62" s="67">
        <f>+Hoja1!K59</f>
        <v>125798980.42</v>
      </c>
      <c r="D62" s="24">
        <f t="shared" si="0"/>
        <v>86757.917531034487</v>
      </c>
      <c r="E62" s="50">
        <f t="shared" si="1"/>
        <v>2.2734838471519674E-2</v>
      </c>
      <c r="F62" s="51"/>
    </row>
    <row r="63" spans="1:6" ht="15.75" customHeight="1" x14ac:dyDescent="0.25">
      <c r="A63" t="str">
        <f>+Hoja1!B60</f>
        <v>COOPERATIVA DE TRABAJO LOS TRES AMIGOS LIMITADA</v>
      </c>
      <c r="B63" t="str">
        <f>+Hoja1!A60</f>
        <v>04331</v>
      </c>
      <c r="C63" s="67">
        <f>+Hoja1!K60</f>
        <v>4157535.95</v>
      </c>
      <c r="D63" s="24">
        <f t="shared" si="0"/>
        <v>2867.2661724137934</v>
      </c>
      <c r="E63" s="50">
        <f t="shared" si="1"/>
        <v>7.5136466088368081E-4</v>
      </c>
      <c r="F63" s="51"/>
    </row>
    <row r="64" spans="1:6" ht="15.75" customHeight="1" x14ac:dyDescent="0.25">
      <c r="A64" t="str">
        <f>+Hoja1!B61</f>
        <v>COOPERATIVA DE TRABAJO PARA ACTIVIDADES DEL ESTIBAJE LIMITADA</v>
      </c>
      <c r="B64" t="str">
        <f>+Hoja1!A61</f>
        <v>06380</v>
      </c>
      <c r="C64" s="67">
        <f>+Hoja1!K61</f>
        <v>157300</v>
      </c>
      <c r="D64" s="24">
        <f t="shared" si="0"/>
        <v>108.48275862068965</v>
      </c>
      <c r="E64" s="50">
        <f t="shared" si="1"/>
        <v>2.8427814594604523E-5</v>
      </c>
      <c r="F64" s="51"/>
    </row>
    <row r="65" spans="1:6" ht="15.75" customHeight="1" x14ac:dyDescent="0.25">
      <c r="A65" t="str">
        <f>+Hoja1!B62</f>
        <v>CROCE HNOS. AGENTES MARITIMOS S.R.L.</v>
      </c>
      <c r="B65" t="str">
        <f>+Hoja1!A62</f>
        <v>01118</v>
      </c>
      <c r="C65" s="67">
        <f>+Hoja1!K62</f>
        <v>2304507.6800000002</v>
      </c>
      <c r="D65" s="24">
        <f t="shared" si="0"/>
        <v>1589.3156413793104</v>
      </c>
      <c r="E65" s="50">
        <f t="shared" si="1"/>
        <v>4.1647881156314185E-4</v>
      </c>
      <c r="F65" s="51"/>
    </row>
    <row r="66" spans="1:6" ht="15.75" customHeight="1" x14ac:dyDescent="0.25">
      <c r="A66" t="str">
        <f>+Hoja1!B63</f>
        <v>CURITIBA SRL</v>
      </c>
      <c r="B66" t="str">
        <f>+Hoja1!A63</f>
        <v>08135</v>
      </c>
      <c r="C66" s="67">
        <f>+Hoja1!K63</f>
        <v>-204.43</v>
      </c>
      <c r="D66" s="24">
        <f t="shared" si="0"/>
        <v>-0.14098620689655172</v>
      </c>
      <c r="E66" s="50">
        <f t="shared" si="1"/>
        <v>-3.6945315559917374E-8</v>
      </c>
      <c r="F66" s="51"/>
    </row>
    <row r="67" spans="1:6" ht="15.75" customHeight="1" x14ac:dyDescent="0.25">
      <c r="A67" t="str">
        <f>+Hoja1!B64</f>
        <v>DANODIS S.A.</v>
      </c>
      <c r="B67" t="str">
        <f>+Hoja1!A64</f>
        <v>07289</v>
      </c>
      <c r="C67" s="67">
        <f>+Hoja1!K64</f>
        <v>27006416.66</v>
      </c>
      <c r="D67" s="24">
        <f t="shared" si="0"/>
        <v>18625.114937931034</v>
      </c>
      <c r="E67" s="50">
        <f t="shared" si="1"/>
        <v>4.8806955224101637E-3</v>
      </c>
      <c r="F67" s="51"/>
    </row>
    <row r="68" spans="1:6" ht="15.75" customHeight="1" x14ac:dyDescent="0.25">
      <c r="A68" t="str">
        <f>+Hoja1!B65</f>
        <v>DAUVERNE LUIS MARIA JULIAN</v>
      </c>
      <c r="B68" t="str">
        <f>+Hoja1!A65</f>
        <v>09027</v>
      </c>
      <c r="C68" s="67">
        <f>+Hoja1!K65</f>
        <v>4246174.37</v>
      </c>
      <c r="D68" s="24">
        <f t="shared" si="0"/>
        <v>2928.3961172413792</v>
      </c>
      <c r="E68" s="50">
        <f t="shared" si="1"/>
        <v>7.6738371091367868E-4</v>
      </c>
      <c r="F68" s="51"/>
    </row>
    <row r="69" spans="1:6" ht="15.75" customHeight="1" x14ac:dyDescent="0.25">
      <c r="A69" t="str">
        <f>+Hoja1!B66</f>
        <v>DEVOMP SRL</v>
      </c>
      <c r="B69" t="str">
        <f>+Hoja1!A66</f>
        <v>04109</v>
      </c>
      <c r="C69" s="67">
        <f>+Hoja1!K66</f>
        <v>12634405.619999999</v>
      </c>
      <c r="D69" s="24">
        <f t="shared" si="0"/>
        <v>8713.3831862068964</v>
      </c>
      <c r="E69" s="50">
        <f t="shared" si="1"/>
        <v>2.2833346502122657E-3</v>
      </c>
      <c r="F69" s="51"/>
    </row>
    <row r="70" spans="1:6" ht="15.75" customHeight="1" x14ac:dyDescent="0.25">
      <c r="A70" t="str">
        <f>+Hoja1!B67</f>
        <v>DHL EXPRESS (ARGENTINA) S.A.</v>
      </c>
      <c r="B70" t="str">
        <f>+Hoja1!A67</f>
        <v>00271</v>
      </c>
      <c r="C70" s="67">
        <f>+Hoja1!K67</f>
        <v>1303521.94</v>
      </c>
      <c r="D70" s="24">
        <f t="shared" ref="D70:D133" si="2">+C70/$D$3</f>
        <v>898.98064827586199</v>
      </c>
      <c r="E70" s="50">
        <f t="shared" ref="E70:E133" si="3">+D70/$D$279</f>
        <v>2.3557711398804323E-4</v>
      </c>
      <c r="F70" s="51"/>
    </row>
    <row r="71" spans="1:6" ht="15.75" customHeight="1" x14ac:dyDescent="0.25">
      <c r="A71" t="str">
        <f>+Hoja1!B68</f>
        <v>DI MEGLIO JUAN JOSE</v>
      </c>
      <c r="B71" t="str">
        <f>+Hoja1!A68</f>
        <v>05657</v>
      </c>
      <c r="C71" s="67">
        <f>+Hoja1!K68</f>
        <v>8483654.8499999996</v>
      </c>
      <c r="D71" s="24">
        <f t="shared" si="2"/>
        <v>5850.7964482758616</v>
      </c>
      <c r="E71" s="50">
        <f t="shared" si="3"/>
        <v>1.5331962311533212E-3</v>
      </c>
      <c r="F71" s="51"/>
    </row>
    <row r="72" spans="1:6" ht="15.75" customHeight="1" x14ac:dyDescent="0.25">
      <c r="A72" t="str">
        <f>+Hoja1!B69</f>
        <v>DISTRIBUCION Y PROFESIONALISMO S.A.</v>
      </c>
      <c r="B72" t="str">
        <f>+Hoja1!A69</f>
        <v>07644</v>
      </c>
      <c r="C72" s="67">
        <f>+Hoja1!K69</f>
        <v>4309979.54</v>
      </c>
      <c r="D72" s="24">
        <f t="shared" si="2"/>
        <v>2972.3996827586207</v>
      </c>
      <c r="E72" s="50">
        <f t="shared" si="3"/>
        <v>7.7891480781728476E-4</v>
      </c>
      <c r="F72" s="51"/>
    </row>
    <row r="73" spans="1:6" ht="15.75" customHeight="1" x14ac:dyDescent="0.25">
      <c r="A73" t="str">
        <f>+Hoja1!B70</f>
        <v>DISTRIBUIDORA ARIES SRL</v>
      </c>
      <c r="B73" t="str">
        <f>+Hoja1!A70</f>
        <v>04590</v>
      </c>
      <c r="C73" s="67">
        <f>+Hoja1!K70</f>
        <v>149979.5</v>
      </c>
      <c r="D73" s="24">
        <f t="shared" si="2"/>
        <v>103.43413793103448</v>
      </c>
      <c r="E73" s="50">
        <f t="shared" si="3"/>
        <v>2.7104827838471005E-5</v>
      </c>
      <c r="F73" s="51"/>
    </row>
    <row r="74" spans="1:6" ht="15.75" customHeight="1" x14ac:dyDescent="0.25">
      <c r="A74" t="str">
        <f>+Hoja1!B71</f>
        <v>DISTRIBUIDORA COSIMI SRL</v>
      </c>
      <c r="B74" t="str">
        <f>+Hoja1!A71</f>
        <v>05593</v>
      </c>
      <c r="C74" s="67">
        <f>+Hoja1!K71</f>
        <v>1050349.8999999999</v>
      </c>
      <c r="D74" s="24">
        <f t="shared" si="2"/>
        <v>724.37924137931032</v>
      </c>
      <c r="E74" s="50">
        <f t="shared" si="3"/>
        <v>1.898229638694304E-4</v>
      </c>
      <c r="F74" s="51"/>
    </row>
    <row r="75" spans="1:6" ht="15.75" customHeight="1" x14ac:dyDescent="0.25">
      <c r="A75" t="str">
        <f>+Hoja1!B72</f>
        <v>DISTRIBUIDORA DIKAR SRL</v>
      </c>
      <c r="B75" t="str">
        <f>+Hoja1!A72</f>
        <v>03739</v>
      </c>
      <c r="C75" s="67">
        <f>+Hoja1!K72</f>
        <v>3486831.57</v>
      </c>
      <c r="D75" s="24">
        <f t="shared" si="2"/>
        <v>2404.7114275862068</v>
      </c>
      <c r="E75" s="50">
        <f t="shared" si="3"/>
        <v>6.3015258356372407E-4</v>
      </c>
      <c r="F75" s="51"/>
    </row>
    <row r="76" spans="1:6" ht="15.75" customHeight="1" x14ac:dyDescent="0.25">
      <c r="A76" t="str">
        <f>+Hoja1!B73</f>
        <v>DISTRIBUIDORA EL FARO SA</v>
      </c>
      <c r="B76" t="str">
        <f>+Hoja1!A73</f>
        <v>01355</v>
      </c>
      <c r="C76" s="67">
        <f>+Hoja1!K73</f>
        <v>190038508.71000001</v>
      </c>
      <c r="D76" s="24">
        <f t="shared" si="2"/>
        <v>131061.04048965518</v>
      </c>
      <c r="E76" s="50">
        <f t="shared" si="3"/>
        <v>3.4344434147762344E-2</v>
      </c>
      <c r="F76" s="51"/>
    </row>
    <row r="77" spans="1:6" ht="15.75" customHeight="1" x14ac:dyDescent="0.25">
      <c r="A77" t="str">
        <f>+Hoja1!B74</f>
        <v>DISTRIBUIDORA WALLY S. R. L.</v>
      </c>
      <c r="B77" t="str">
        <f>+Hoja1!A74</f>
        <v>07319</v>
      </c>
      <c r="C77" s="67">
        <f>+Hoja1!K74</f>
        <v>12387200</v>
      </c>
      <c r="D77" s="24">
        <f t="shared" si="2"/>
        <v>8542.8965517241377</v>
      </c>
      <c r="E77" s="50">
        <f t="shared" si="3"/>
        <v>2.2386587727036564E-3</v>
      </c>
      <c r="F77" s="51"/>
    </row>
    <row r="78" spans="1:6" ht="15.75" customHeight="1" x14ac:dyDescent="0.25">
      <c r="A78" t="str">
        <f>+Hoja1!B75</f>
        <v>DOBLEA REPRESENTACIONES S.R.L.</v>
      </c>
      <c r="B78" t="str">
        <f>+Hoja1!A75</f>
        <v>09355</v>
      </c>
      <c r="C78" s="67">
        <f>+Hoja1!K75</f>
        <v>8800000</v>
      </c>
      <c r="D78" s="24">
        <f t="shared" si="2"/>
        <v>6068.9655172413795</v>
      </c>
      <c r="E78" s="50">
        <f t="shared" si="3"/>
        <v>1.5903672500478055E-3</v>
      </c>
      <c r="F78" s="51"/>
    </row>
    <row r="79" spans="1:6" ht="15.75" customHeight="1" x14ac:dyDescent="0.25">
      <c r="A79" t="str">
        <f>+Hoja1!B76</f>
        <v>DOMINGUEZ ROSENDE JOSE DOMINGUEZ ARZONDO ALEJANDRO MARCELO SH</v>
      </c>
      <c r="B79" t="str">
        <f>+Hoja1!A76</f>
        <v>03119</v>
      </c>
      <c r="C79" s="67">
        <f>+Hoja1!K76</f>
        <v>58024614.920000002</v>
      </c>
      <c r="D79" s="24">
        <f t="shared" si="2"/>
        <v>40016.975806896553</v>
      </c>
      <c r="E79" s="50">
        <f t="shared" si="3"/>
        <v>1.0486414461977645E-2</v>
      </c>
      <c r="F79" s="51"/>
    </row>
    <row r="80" spans="1:6" ht="15.75" customHeight="1" x14ac:dyDescent="0.25">
      <c r="A80" t="str">
        <f>+Hoja1!B77</f>
        <v>DUARTE MARCELO LUIS RUFINO</v>
      </c>
      <c r="B80" t="str">
        <f>+Hoja1!A77</f>
        <v>06713</v>
      </c>
      <c r="C80" s="67">
        <f>+Hoja1!K77</f>
        <v>1180000</v>
      </c>
      <c r="D80" s="24">
        <f t="shared" si="2"/>
        <v>813.79310344827582</v>
      </c>
      <c r="E80" s="50">
        <f t="shared" si="3"/>
        <v>2.1325379034731936E-4</v>
      </c>
      <c r="F80" s="51"/>
    </row>
    <row r="81" spans="1:6" ht="15.75" customHeight="1" x14ac:dyDescent="0.25">
      <c r="A81" t="str">
        <f>+Hoja1!B78</f>
        <v>DUCOURNAU GUSTAVO FABIAN</v>
      </c>
      <c r="B81" t="str">
        <f>+Hoja1!A78</f>
        <v>04475</v>
      </c>
      <c r="C81" s="67">
        <f>+Hoja1!K78</f>
        <v>5828916.0599999996</v>
      </c>
      <c r="D81" s="24">
        <f t="shared" si="2"/>
        <v>4019.9421103448271</v>
      </c>
      <c r="E81" s="50">
        <f t="shared" si="3"/>
        <v>1.0534224096706464E-3</v>
      </c>
      <c r="F81" s="51"/>
    </row>
    <row r="82" spans="1:6" ht="15.75" customHeight="1" x14ac:dyDescent="0.25">
      <c r="A82" t="str">
        <f>+Hoja1!B79</f>
        <v>DUGAS S.R.L.</v>
      </c>
      <c r="B82" t="str">
        <f>+Hoja1!A79</f>
        <v>03905</v>
      </c>
      <c r="C82" s="67">
        <f>+Hoja1!K79</f>
        <v>190017.19</v>
      </c>
      <c r="D82" s="24">
        <f t="shared" si="2"/>
        <v>131.04633793103449</v>
      </c>
      <c r="E82" s="50">
        <f t="shared" si="3"/>
        <v>3.4340581354785384E-5</v>
      </c>
      <c r="F82" s="51"/>
    </row>
    <row r="83" spans="1:6" ht="15.75" customHeight="1" x14ac:dyDescent="0.25">
      <c r="A83" t="str">
        <f>+Hoja1!B80</f>
        <v>DURAGOM S.R.L.</v>
      </c>
      <c r="B83" t="str">
        <f>+Hoja1!A80</f>
        <v>09448</v>
      </c>
      <c r="C83" s="67">
        <f>+Hoja1!K80</f>
        <v>11499840</v>
      </c>
      <c r="D83" s="24">
        <f t="shared" si="2"/>
        <v>7930.9241379310342</v>
      </c>
      <c r="E83" s="50">
        <f t="shared" si="3"/>
        <v>2.0782919223624723E-3</v>
      </c>
      <c r="F83" s="51"/>
    </row>
    <row r="84" spans="1:6" ht="15.75" customHeight="1" x14ac:dyDescent="0.25">
      <c r="A84" t="str">
        <f>+Hoja1!B81</f>
        <v>EGUREN JORGE ALBERTO</v>
      </c>
      <c r="B84" t="str">
        <f>+Hoja1!A81</f>
        <v>04911</v>
      </c>
      <c r="C84" s="67">
        <f>+Hoja1!K81</f>
        <v>2090000</v>
      </c>
      <c r="D84" s="24">
        <f t="shared" si="2"/>
        <v>1441.3793103448277</v>
      </c>
      <c r="E84" s="50">
        <f t="shared" si="3"/>
        <v>3.7771222188635385E-4</v>
      </c>
      <c r="F84" s="51"/>
    </row>
    <row r="85" spans="1:6" ht="15.75" customHeight="1" x14ac:dyDescent="0.25">
      <c r="A85" t="str">
        <f>+Hoja1!B82</f>
        <v>EL MEJOR CAFE DEL PUERTO S.R.L.</v>
      </c>
      <c r="B85" t="str">
        <f>+Hoja1!A82</f>
        <v>07602</v>
      </c>
      <c r="C85" s="67">
        <f>+Hoja1!K82</f>
        <v>20025203.550000001</v>
      </c>
      <c r="D85" s="24">
        <f t="shared" si="2"/>
        <v>13810.485206896552</v>
      </c>
      <c r="E85" s="50">
        <f t="shared" si="3"/>
        <v>3.6190258978933015E-3</v>
      </c>
      <c r="F85" s="51"/>
    </row>
    <row r="86" spans="1:6" ht="15.75" customHeight="1" x14ac:dyDescent="0.25">
      <c r="A86" t="str">
        <f>+Hoja1!B83</f>
        <v>ELDEN S.A</v>
      </c>
      <c r="B86" t="str">
        <f>+Hoja1!A83</f>
        <v>07508</v>
      </c>
      <c r="C86" s="67">
        <f>+Hoja1!K83</f>
        <v>3153258.58</v>
      </c>
      <c r="D86" s="24">
        <f t="shared" si="2"/>
        <v>2174.6610896551724</v>
      </c>
      <c r="E86" s="50">
        <f t="shared" si="3"/>
        <v>5.6986808824593732E-4</v>
      </c>
      <c r="F86" s="51"/>
    </row>
    <row r="87" spans="1:6" ht="15.75" customHeight="1" x14ac:dyDescent="0.25">
      <c r="A87" t="str">
        <f>+Hoja1!B84</f>
        <v>ELECTRONICA NAVAL S.A.</v>
      </c>
      <c r="B87" t="str">
        <f>+Hoja1!A84</f>
        <v>00103</v>
      </c>
      <c r="C87" s="67">
        <f>+Hoja1!K84</f>
        <v>7112617.1600000001</v>
      </c>
      <c r="D87" s="24">
        <f t="shared" si="2"/>
        <v>4905.2532137931039</v>
      </c>
      <c r="E87" s="50">
        <f t="shared" si="3"/>
        <v>1.2854174310672766E-3</v>
      </c>
      <c r="F87" s="51"/>
    </row>
    <row r="88" spans="1:6" ht="15.75" customHeight="1" x14ac:dyDescent="0.25">
      <c r="A88" t="str">
        <f>+Hoja1!B85</f>
        <v>ELECTROTERMA MAR DEL PLATA S.R.L.</v>
      </c>
      <c r="B88" t="str">
        <f>+Hoja1!A85</f>
        <v>06807</v>
      </c>
      <c r="C88" s="67">
        <f>+Hoja1!K85</f>
        <v>85739352.450000003</v>
      </c>
      <c r="D88" s="24">
        <f t="shared" si="2"/>
        <v>59130.587896551726</v>
      </c>
      <c r="E88" s="50">
        <f t="shared" si="3"/>
        <v>1.5495120247362054E-2</v>
      </c>
      <c r="F88" s="51"/>
    </row>
    <row r="89" spans="1:6" ht="15.75" customHeight="1" x14ac:dyDescent="0.25">
      <c r="A89" t="str">
        <f>+Hoja1!B86</f>
        <v>ERRIQUENZ HNOS S.R.L</v>
      </c>
      <c r="B89" t="str">
        <f>+Hoja1!A86</f>
        <v>01337</v>
      </c>
      <c r="C89" s="67">
        <f>+Hoja1!K86</f>
        <v>7696850.6200000001</v>
      </c>
      <c r="D89" s="24">
        <f t="shared" si="2"/>
        <v>5308.1728413793107</v>
      </c>
      <c r="E89" s="50">
        <f t="shared" si="3"/>
        <v>1.3910021766543349E-3</v>
      </c>
      <c r="F89" s="51"/>
    </row>
    <row r="90" spans="1:6" ht="15.75" customHeight="1" x14ac:dyDescent="0.25">
      <c r="A90" t="str">
        <f>+Hoja1!B87</f>
        <v>ESLABONES S.A.</v>
      </c>
      <c r="B90" t="str">
        <f>+Hoja1!A87</f>
        <v>00007</v>
      </c>
      <c r="C90" s="67">
        <f>+Hoja1!K87</f>
        <v>2077845.15</v>
      </c>
      <c r="D90" s="24">
        <f t="shared" si="2"/>
        <v>1432.9966551724137</v>
      </c>
      <c r="E90" s="50">
        <f t="shared" si="3"/>
        <v>3.7551555423075795E-4</v>
      </c>
      <c r="F90" s="51"/>
    </row>
    <row r="91" spans="1:6" ht="15.75" customHeight="1" x14ac:dyDescent="0.25">
      <c r="A91" t="str">
        <f>+Hoja1!B88</f>
        <v>ESQUIVEL MARCOS ALBERTO</v>
      </c>
      <c r="B91" t="str">
        <f>+Hoja1!A88</f>
        <v>06895</v>
      </c>
      <c r="C91" s="67">
        <f>+Hoja1!K88</f>
        <v>181500</v>
      </c>
      <c r="D91" s="24">
        <f t="shared" si="2"/>
        <v>125.17241379310344</v>
      </c>
      <c r="E91" s="50">
        <f t="shared" si="3"/>
        <v>3.2801324532235984E-5</v>
      </c>
      <c r="F91" s="51"/>
    </row>
    <row r="92" spans="1:6" ht="15.75" customHeight="1" x14ac:dyDescent="0.25">
      <c r="A92" t="str">
        <f>+Hoja1!B89</f>
        <v>EUROCAFE S.R.L.</v>
      </c>
      <c r="B92" t="str">
        <f>+Hoja1!A89</f>
        <v>05997</v>
      </c>
      <c r="C92" s="67">
        <f>+Hoja1!K89</f>
        <v>391999.98</v>
      </c>
      <c r="D92" s="24">
        <f t="shared" si="2"/>
        <v>270.34481379310341</v>
      </c>
      <c r="E92" s="50">
        <f t="shared" si="3"/>
        <v>7.0843628433113029E-5</v>
      </c>
      <c r="F92" s="51"/>
    </row>
    <row r="93" spans="1:6" ht="15.75" customHeight="1" x14ac:dyDescent="0.25">
      <c r="A93" t="str">
        <f>+Hoja1!B90</f>
        <v>EXACTIAN CONSULTING S.A.</v>
      </c>
      <c r="B93" t="str">
        <f>+Hoja1!A90</f>
        <v>08813</v>
      </c>
      <c r="C93" s="67">
        <f>+Hoja1!K90</f>
        <v>715981.2</v>
      </c>
      <c r="D93" s="24">
        <f t="shared" si="2"/>
        <v>493.78013793103446</v>
      </c>
      <c r="E93" s="50">
        <f t="shared" si="3"/>
        <v>1.2939466501476452E-4</v>
      </c>
      <c r="F93" s="51"/>
    </row>
    <row r="94" spans="1:6" ht="15.75" customHeight="1" x14ac:dyDescent="0.25">
      <c r="A94" t="str">
        <f>+Hoja1!B91</f>
        <v>EXOLGAN S.A.</v>
      </c>
      <c r="B94" t="str">
        <f>+Hoja1!A91</f>
        <v>01551</v>
      </c>
      <c r="C94" s="67">
        <f>+Hoja1!K91</f>
        <v>290181.01</v>
      </c>
      <c r="D94" s="24">
        <f t="shared" si="2"/>
        <v>200.12483448275862</v>
      </c>
      <c r="E94" s="50">
        <f t="shared" si="3"/>
        <v>5.2442542601113038E-5</v>
      </c>
      <c r="F94" s="51"/>
    </row>
    <row r="95" spans="1:6" ht="15.75" customHeight="1" x14ac:dyDescent="0.25">
      <c r="A95" t="str">
        <f>+Hoja1!B92</f>
        <v>EXTRACTORES TOMASINI SA</v>
      </c>
      <c r="B95" t="str">
        <f>+Hoja1!A92</f>
        <v>07921</v>
      </c>
      <c r="C95" s="67">
        <f>+Hoja1!K92</f>
        <v>380000</v>
      </c>
      <c r="D95" s="24">
        <f t="shared" si="2"/>
        <v>262.06896551724139</v>
      </c>
      <c r="E95" s="50">
        <f t="shared" si="3"/>
        <v>6.867494943388252E-5</v>
      </c>
      <c r="F95" s="51"/>
    </row>
    <row r="96" spans="1:6" ht="15.75" customHeight="1" x14ac:dyDescent="0.25">
      <c r="A96" t="str">
        <f>+Hoja1!B93</f>
        <v>EZEMAY REPRESENTACIONES S. R. L.</v>
      </c>
      <c r="B96" t="str">
        <f>+Hoja1!A93</f>
        <v>07452</v>
      </c>
      <c r="C96" s="67">
        <f>+Hoja1!K93</f>
        <v>6409121.7400000002</v>
      </c>
      <c r="D96" s="24">
        <f t="shared" si="2"/>
        <v>4420.0839586206894</v>
      </c>
      <c r="E96" s="50">
        <f t="shared" si="3"/>
        <v>1.158279240552887E-3</v>
      </c>
      <c r="F96" s="51"/>
    </row>
    <row r="97" spans="1:6" ht="15.75" customHeight="1" x14ac:dyDescent="0.25">
      <c r="A97" t="str">
        <f>+Hoja1!B94</f>
        <v>FABRICA DE CHACINADOS MAR DEL PLATA SRL</v>
      </c>
      <c r="B97" t="str">
        <f>+Hoja1!A94</f>
        <v>07599</v>
      </c>
      <c r="C97" s="67">
        <f>+Hoja1!K94</f>
        <v>2164434.0699999998</v>
      </c>
      <c r="D97" s="24">
        <f t="shared" si="2"/>
        <v>1492.7131517241378</v>
      </c>
      <c r="E97" s="50">
        <f t="shared" si="3"/>
        <v>3.911642113426908E-4</v>
      </c>
      <c r="F97" s="51"/>
    </row>
    <row r="98" spans="1:6" ht="15.75" customHeight="1" x14ac:dyDescent="0.25">
      <c r="A98" t="str">
        <f>+Hoja1!B95</f>
        <v>FADECCO S. A.</v>
      </c>
      <c r="B98" t="str">
        <f>+Hoja1!A95</f>
        <v>05124</v>
      </c>
      <c r="C98" s="67">
        <f>+Hoja1!K95</f>
        <v>160809175.53999999</v>
      </c>
      <c r="D98" s="24">
        <f t="shared" si="2"/>
        <v>110902.87968275862</v>
      </c>
      <c r="E98" s="50">
        <f t="shared" si="3"/>
        <v>2.9062005259773253E-2</v>
      </c>
      <c r="F98" s="51"/>
    </row>
    <row r="99" spans="1:6" ht="15.75" customHeight="1" x14ac:dyDescent="0.25">
      <c r="A99" t="str">
        <f>+Hoja1!B96</f>
        <v>FAMIQ SRL</v>
      </c>
      <c r="B99" t="str">
        <f>+Hoja1!A96</f>
        <v>01965</v>
      </c>
      <c r="C99" s="67">
        <f>+Hoja1!K96</f>
        <v>507795</v>
      </c>
      <c r="D99" s="24">
        <f t="shared" si="2"/>
        <v>350.20344827586206</v>
      </c>
      <c r="E99" s="50">
        <f t="shared" si="3"/>
        <v>9.1770515652048334E-5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7">
        <f>+Hoja1!K97</f>
        <v>3667080.01</v>
      </c>
      <c r="D100" s="24">
        <f t="shared" si="2"/>
        <v>2529.0206965517241</v>
      </c>
      <c r="E100" s="50">
        <f t="shared" si="3"/>
        <v>6.6272772172829301E-4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7">
        <f>+Hoja1!K98</f>
        <v>2168236.6</v>
      </c>
      <c r="D101" s="24">
        <f t="shared" si="2"/>
        <v>1495.3355862068966</v>
      </c>
      <c r="E101" s="50">
        <f t="shared" si="3"/>
        <v>3.9185141806761403E-4</v>
      </c>
      <c r="F101" s="51"/>
    </row>
    <row r="102" spans="1:6" ht="15.75" customHeight="1" x14ac:dyDescent="0.25">
      <c r="A102" t="str">
        <f>+Hoja1!B99</f>
        <v>FEIJO NICOLAS EDUARDO</v>
      </c>
      <c r="B102" t="str">
        <f>+Hoja1!A99</f>
        <v>08724</v>
      </c>
      <c r="C102" s="67">
        <f>+Hoja1!K99</f>
        <v>1560000</v>
      </c>
      <c r="D102" s="24">
        <f t="shared" si="2"/>
        <v>1075.8620689655172</v>
      </c>
      <c r="E102" s="50">
        <f t="shared" si="3"/>
        <v>2.8192873978120188E-4</v>
      </c>
      <c r="F102" s="51"/>
    </row>
    <row r="103" spans="1:6" ht="15.75" customHeight="1" x14ac:dyDescent="0.25">
      <c r="A103" t="str">
        <f>+Hoja1!B100</f>
        <v>FERNANDES GUSTAVO GABRIEL</v>
      </c>
      <c r="B103" t="str">
        <f>+Hoja1!A100</f>
        <v>06675</v>
      </c>
      <c r="C103" s="67">
        <f>+Hoja1!K100</f>
        <v>180000</v>
      </c>
      <c r="D103" s="24">
        <f t="shared" si="2"/>
        <v>124.13793103448276</v>
      </c>
      <c r="E103" s="50">
        <f t="shared" si="3"/>
        <v>3.2530239205523297E-5</v>
      </c>
      <c r="F103" s="51"/>
    </row>
    <row r="104" spans="1:6" ht="15.75" customHeight="1" x14ac:dyDescent="0.25">
      <c r="A104" t="str">
        <f>+Hoja1!B101</f>
        <v>FERRARI MARIO JOSE CARMELO</v>
      </c>
      <c r="B104" t="str">
        <f>+Hoja1!A101</f>
        <v>08709</v>
      </c>
      <c r="C104" s="67">
        <f>+Hoja1!K101</f>
        <v>0.02</v>
      </c>
      <c r="D104" s="24">
        <f t="shared" si="2"/>
        <v>1.3793103448275862E-5</v>
      </c>
      <c r="E104" s="50">
        <f t="shared" si="3"/>
        <v>3.6144710228359213E-12</v>
      </c>
      <c r="F104" s="51"/>
    </row>
    <row r="105" spans="1:6" ht="15.75" customHeight="1" x14ac:dyDescent="0.25">
      <c r="A105" t="str">
        <f>+Hoja1!B102</f>
        <v>FERRARO MARIANO ANDRES</v>
      </c>
      <c r="B105" t="str">
        <f>+Hoja1!A102</f>
        <v>03927</v>
      </c>
      <c r="C105" s="67">
        <f>+Hoja1!K102</f>
        <v>3652627</v>
      </c>
      <c r="D105" s="24">
        <f t="shared" si="2"/>
        <v>2519.053103448276</v>
      </c>
      <c r="E105" s="50">
        <f t="shared" si="3"/>
        <v>6.6011572243640526E-4</v>
      </c>
      <c r="F105" s="51"/>
    </row>
    <row r="106" spans="1:6" ht="15.75" customHeight="1" x14ac:dyDescent="0.25">
      <c r="A106" t="str">
        <f>+Hoja1!B103</f>
        <v>FERRECENTRO S.R.L.</v>
      </c>
      <c r="B106" t="str">
        <f>+Hoja1!A103</f>
        <v>09332</v>
      </c>
      <c r="C106" s="67">
        <f>+Hoja1!K103</f>
        <v>4147260.48</v>
      </c>
      <c r="D106" s="24">
        <f t="shared" si="2"/>
        <v>2860.1796413793104</v>
      </c>
      <c r="E106" s="50">
        <f t="shared" si="3"/>
        <v>7.4950764145562977E-4</v>
      </c>
      <c r="F106" s="51"/>
    </row>
    <row r="107" spans="1:6" ht="15.75" customHeight="1" x14ac:dyDescent="0.25">
      <c r="A107" t="str">
        <f>+Hoja1!B104</f>
        <v>FERREYRA ALVARO GERMAN</v>
      </c>
      <c r="B107" t="str">
        <f>+Hoja1!A104</f>
        <v>09495</v>
      </c>
      <c r="C107" s="67">
        <f>+Hoja1!K104</f>
        <v>4352249</v>
      </c>
      <c r="D107" s="24">
        <f t="shared" si="2"/>
        <v>3001.5510344827585</v>
      </c>
      <c r="E107" s="50">
        <f t="shared" si="3"/>
        <v>7.8655389473333078E-4</v>
      </c>
      <c r="F107" s="51"/>
    </row>
    <row r="108" spans="1:6" ht="15.75" customHeight="1" x14ac:dyDescent="0.25">
      <c r="A108" t="str">
        <f>+Hoja1!B105</f>
        <v>FESCAP S.A.</v>
      </c>
      <c r="B108" t="str">
        <f>+Hoja1!A105</f>
        <v>04542</v>
      </c>
      <c r="C108" s="67">
        <f>+Hoja1!K105</f>
        <v>517003.12</v>
      </c>
      <c r="D108" s="24">
        <f t="shared" si="2"/>
        <v>356.55387586206894</v>
      </c>
      <c r="E108" s="50">
        <f t="shared" si="3"/>
        <v>9.3434639797788127E-5</v>
      </c>
      <c r="F108" s="51"/>
    </row>
    <row r="109" spans="1:6" ht="15.75" customHeight="1" x14ac:dyDescent="0.25">
      <c r="A109" t="str">
        <f>+Hoja1!B106</f>
        <v>FIER LUCIANO DANIEL</v>
      </c>
      <c r="B109" t="str">
        <f>+Hoja1!A106</f>
        <v>08913</v>
      </c>
      <c r="C109" s="67">
        <f>+Hoja1!K106</f>
        <v>790000</v>
      </c>
      <c r="D109" s="24">
        <f t="shared" si="2"/>
        <v>544.82758620689651</v>
      </c>
      <c r="E109" s="50">
        <f t="shared" si="3"/>
        <v>1.4277160540201889E-4</v>
      </c>
      <c r="F109" s="51"/>
    </row>
    <row r="110" spans="1:6" ht="15.75" customHeight="1" x14ac:dyDescent="0.25">
      <c r="A110" t="str">
        <f>+Hoja1!B107</f>
        <v>FILIPPI FEDERICO ALEJANDRO</v>
      </c>
      <c r="B110" t="str">
        <f>+Hoja1!A107</f>
        <v>06040</v>
      </c>
      <c r="C110" s="67">
        <f>+Hoja1!K107</f>
        <v>1125805.95</v>
      </c>
      <c r="D110" s="24">
        <f t="shared" si="2"/>
        <v>776.41789655172408</v>
      </c>
      <c r="E110" s="50">
        <f t="shared" si="3"/>
        <v>2.034596491805633E-4</v>
      </c>
      <c r="F110" s="51"/>
    </row>
    <row r="111" spans="1:6" ht="15.75" customHeight="1" x14ac:dyDescent="0.25">
      <c r="A111" t="str">
        <f>+Hoja1!B108</f>
        <v>FILTROS FILMAR SRL</v>
      </c>
      <c r="B111" t="str">
        <f>+Hoja1!A108</f>
        <v>04036</v>
      </c>
      <c r="C111" s="67">
        <f>+Hoja1!K108</f>
        <v>6097311</v>
      </c>
      <c r="D111" s="24">
        <f t="shared" si="2"/>
        <v>4205.0420689655175</v>
      </c>
      <c r="E111" s="50">
        <f t="shared" si="3"/>
        <v>1.1019276963359359E-3</v>
      </c>
      <c r="F111" s="51"/>
    </row>
    <row r="112" spans="1:6" ht="15.75" customHeight="1" x14ac:dyDescent="0.25">
      <c r="A112" t="str">
        <f>+Hoja1!B109</f>
        <v>FINNING ARGENTINA SA</v>
      </c>
      <c r="B112" t="str">
        <f>+Hoja1!A109</f>
        <v>05885</v>
      </c>
      <c r="C112" s="67">
        <f>+Hoja1!K109</f>
        <v>-3904.38</v>
      </c>
      <c r="D112" s="24">
        <f t="shared" si="2"/>
        <v>-2.6926758620689655</v>
      </c>
      <c r="E112" s="50">
        <f t="shared" si="3"/>
        <v>-7.0561341860700577E-7</v>
      </c>
      <c r="F112" s="51"/>
    </row>
    <row r="113" spans="1:6" ht="15.75" customHeight="1" x14ac:dyDescent="0.25">
      <c r="A113" t="str">
        <f>+Hoja1!B110</f>
        <v>FOOTWEAR SRL</v>
      </c>
      <c r="B113" t="str">
        <f>+Hoja1!A110</f>
        <v>07281</v>
      </c>
      <c r="C113" s="67">
        <f>+Hoja1!K110</f>
        <v>765121.72</v>
      </c>
      <c r="D113" s="24">
        <f t="shared" si="2"/>
        <v>527.6701517241379</v>
      </c>
      <c r="E113" s="50">
        <f t="shared" si="3"/>
        <v>1.3827551429411897E-4</v>
      </c>
      <c r="F113" s="51"/>
    </row>
    <row r="114" spans="1:6" ht="15.75" customHeight="1" x14ac:dyDescent="0.25">
      <c r="A114" t="str">
        <f>+Hoja1!B111</f>
        <v>FRANCISCO SALZANO SOCIEDAD ANONIMA INMOBILIARIA COMERCIAL INDUSTRIAL Y AGROP</v>
      </c>
      <c r="B114" t="str">
        <f>+Hoja1!A111</f>
        <v>03756</v>
      </c>
      <c r="C114" s="67">
        <f>+Hoja1!K111</f>
        <v>1728535.96</v>
      </c>
      <c r="D114" s="24">
        <f t="shared" si="2"/>
        <v>1192.0937655172413</v>
      </c>
      <c r="E114" s="50">
        <f t="shared" si="3"/>
        <v>3.1238715696749354E-4</v>
      </c>
      <c r="F114" s="51"/>
    </row>
    <row r="115" spans="1:6" ht="15.75" customHeight="1" x14ac:dyDescent="0.25">
      <c r="A115" t="str">
        <f>+Hoja1!B112</f>
        <v>FRESCO PABLO JAVIER</v>
      </c>
      <c r="B115" t="str">
        <f>+Hoja1!A112</f>
        <v>08596</v>
      </c>
      <c r="C115" s="67">
        <f>+Hoja1!K112</f>
        <v>108137.34</v>
      </c>
      <c r="D115" s="24">
        <f t="shared" si="2"/>
        <v>74.577475862068965</v>
      </c>
      <c r="E115" s="50">
        <f t="shared" si="3"/>
        <v>1.9542964095827792E-5</v>
      </c>
      <c r="F115" s="51"/>
    </row>
    <row r="116" spans="1:6" ht="15.75" customHeight="1" x14ac:dyDescent="0.25">
      <c r="A116" t="str">
        <f>+Hoja1!B113</f>
        <v>FRESCOMAR ARGENTINA SA</v>
      </c>
      <c r="B116" t="str">
        <f>+Hoja1!A113</f>
        <v>04685</v>
      </c>
      <c r="C116" s="67">
        <f>+Hoja1!K113</f>
        <v>40367.35</v>
      </c>
      <c r="D116" s="24">
        <f t="shared" si="2"/>
        <v>27.83955172413793</v>
      </c>
      <c r="E116" s="50">
        <f t="shared" si="3"/>
        <v>7.2953308421837817E-6</v>
      </c>
      <c r="F116" s="51"/>
    </row>
    <row r="117" spans="1:6" ht="15.75" customHeight="1" x14ac:dyDescent="0.25">
      <c r="A117" t="str">
        <f>+Hoja1!B114</f>
        <v>GANACA7 S.R.L.</v>
      </c>
      <c r="B117" t="str">
        <f>+Hoja1!A114</f>
        <v>08161</v>
      </c>
      <c r="C117" s="67">
        <f>+Hoja1!K114</f>
        <v>418660</v>
      </c>
      <c r="D117" s="24">
        <f t="shared" si="2"/>
        <v>288.73103448275862</v>
      </c>
      <c r="E117" s="50">
        <f t="shared" si="3"/>
        <v>7.566172192102435E-5</v>
      </c>
      <c r="F117" s="51"/>
    </row>
    <row r="118" spans="1:6" ht="15.75" customHeight="1" x14ac:dyDescent="0.25">
      <c r="A118" t="str">
        <f>+Hoja1!B115</f>
        <v>GANADERA EL MUDO S.A.</v>
      </c>
      <c r="B118" t="str">
        <f>+Hoja1!A115</f>
        <v>09091</v>
      </c>
      <c r="C118" s="67">
        <f>+Hoja1!K115</f>
        <v>19665341.48</v>
      </c>
      <c r="D118" s="24">
        <f t="shared" si="2"/>
        <v>13562.304468965518</v>
      </c>
      <c r="E118" s="50">
        <f t="shared" si="3"/>
        <v>3.5539903466816642E-3</v>
      </c>
      <c r="F118" s="51"/>
    </row>
    <row r="119" spans="1:6" ht="15.75" customHeight="1" x14ac:dyDescent="0.25">
      <c r="A119" t="str">
        <f>+Hoja1!B116</f>
        <v>GARCIA WALTER CARLOS - CAE</v>
      </c>
      <c r="B119" t="str">
        <f>+Hoja1!A116</f>
        <v>03189</v>
      </c>
      <c r="C119" s="67">
        <f>+Hoja1!K116</f>
        <v>848788.46</v>
      </c>
      <c r="D119" s="24">
        <f t="shared" si="2"/>
        <v>585.37135172413787</v>
      </c>
      <c r="E119" s="50">
        <f t="shared" si="3"/>
        <v>1.5339606465937633E-4</v>
      </c>
      <c r="F119" s="51"/>
    </row>
    <row r="120" spans="1:6" ht="15.75" customHeight="1" x14ac:dyDescent="0.25">
      <c r="A120" t="str">
        <f>+Hoja1!B117</f>
        <v>GARMIN</v>
      </c>
      <c r="B120" t="str">
        <f>+Hoja1!A117</f>
        <v>09383</v>
      </c>
      <c r="C120" s="67">
        <f>+Hoja1!K117</f>
        <v>-387219.15</v>
      </c>
      <c r="D120" s="24">
        <f t="shared" si="2"/>
        <v>-267.04768965517241</v>
      </c>
      <c r="E120" s="50">
        <f t="shared" si="3"/>
        <v>-6.997961985810781E-5</v>
      </c>
      <c r="F120" s="51"/>
    </row>
    <row r="121" spans="1:6" ht="15.75" customHeight="1" x14ac:dyDescent="0.25">
      <c r="A121" t="str">
        <f>+Hoja1!B118</f>
        <v>GASPRODUCT SRL</v>
      </c>
      <c r="B121" t="str">
        <f>+Hoja1!A118</f>
        <v>08170</v>
      </c>
      <c r="C121" s="67">
        <f>+Hoja1!K118</f>
        <v>44102.080000000002</v>
      </c>
      <c r="D121" s="24">
        <f t="shared" si="2"/>
        <v>30.415227586206896</v>
      </c>
      <c r="E121" s="50">
        <f t="shared" si="3"/>
        <v>7.9702845103395819E-6</v>
      </c>
      <c r="F121" s="51"/>
    </row>
    <row r="122" spans="1:6" ht="15.75" customHeight="1" x14ac:dyDescent="0.25">
      <c r="A122" t="str">
        <f>+Hoja1!B119</f>
        <v>GEMIN LUIS ALBERTO</v>
      </c>
      <c r="B122" t="str">
        <f>+Hoja1!A119</f>
        <v>06584</v>
      </c>
      <c r="C122" s="67">
        <f>+Hoja1!K119</f>
        <v>871200</v>
      </c>
      <c r="D122" s="24">
        <f t="shared" si="2"/>
        <v>600.82758620689651</v>
      </c>
      <c r="E122" s="50">
        <f t="shared" si="3"/>
        <v>1.5744635775473274E-4</v>
      </c>
      <c r="F122" s="51"/>
    </row>
    <row r="123" spans="1:6" ht="15.75" customHeight="1" x14ac:dyDescent="0.25">
      <c r="A123" t="str">
        <f>+Hoja1!B120</f>
        <v>GIAMBARTOLOMEI ROSANA NATALIA</v>
      </c>
      <c r="B123" t="str">
        <f>+Hoja1!A120</f>
        <v>03748</v>
      </c>
      <c r="C123" s="67">
        <f>+Hoja1!K120</f>
        <v>21780</v>
      </c>
      <c r="D123" s="24">
        <f t="shared" si="2"/>
        <v>15.020689655172413</v>
      </c>
      <c r="E123" s="50">
        <f t="shared" si="3"/>
        <v>3.9361589438683184E-6</v>
      </c>
      <c r="F123" s="51"/>
    </row>
    <row r="124" spans="1:6" ht="15.75" customHeight="1" x14ac:dyDescent="0.25">
      <c r="A124" t="str">
        <f>+Hoja1!B121</f>
        <v>GINIAMO SA</v>
      </c>
      <c r="B124" t="str">
        <f>+Hoja1!A121</f>
        <v>07680</v>
      </c>
      <c r="C124" s="67">
        <f>+Hoja1!K121</f>
        <v>3125283.43</v>
      </c>
      <c r="D124" s="24">
        <f t="shared" si="2"/>
        <v>2155.3678827586209</v>
      </c>
      <c r="E124" s="50">
        <f t="shared" si="3"/>
        <v>5.6481231979421296E-4</v>
      </c>
      <c r="F124" s="51"/>
    </row>
    <row r="125" spans="1:6" ht="15.75" customHeight="1" x14ac:dyDescent="0.25">
      <c r="A125" t="str">
        <f>+Hoja1!B122</f>
        <v>GOGNIAT SOLDADURA SA</v>
      </c>
      <c r="B125" t="str">
        <f>+Hoja1!A122</f>
        <v>05571</v>
      </c>
      <c r="C125" s="67">
        <f>+Hoja1!K122</f>
        <v>535288.36</v>
      </c>
      <c r="D125" s="24">
        <f t="shared" si="2"/>
        <v>369.16438620689655</v>
      </c>
      <c r="E125" s="50">
        <f t="shared" si="3"/>
        <v>9.6739213304068144E-5</v>
      </c>
      <c r="F125" s="51"/>
    </row>
    <row r="126" spans="1:6" ht="15.75" customHeight="1" x14ac:dyDescent="0.25">
      <c r="A126" t="str">
        <f>+Hoja1!B123</f>
        <v>GOMATEX S.R.L.</v>
      </c>
      <c r="B126" t="str">
        <f>+Hoja1!A123</f>
        <v>07430</v>
      </c>
      <c r="C126" s="67">
        <f>+Hoja1!K123</f>
        <v>373534.14</v>
      </c>
      <c r="D126" s="24">
        <f t="shared" si="2"/>
        <v>257.60975172413794</v>
      </c>
      <c r="E126" s="50">
        <f t="shared" si="3"/>
        <v>6.7506416253496814E-5</v>
      </c>
      <c r="F126" s="51"/>
    </row>
    <row r="127" spans="1:6" ht="15.75" customHeight="1" x14ac:dyDescent="0.25">
      <c r="A127" t="str">
        <f>+Hoja1!B124</f>
        <v>GOROSITO ALEJO ALONCIO</v>
      </c>
      <c r="B127" t="str">
        <f>+Hoja1!A124</f>
        <v>08661</v>
      </c>
      <c r="C127" s="67">
        <f>+Hoja1!K124</f>
        <v>78000</v>
      </c>
      <c r="D127" s="24">
        <f t="shared" si="2"/>
        <v>53.793103448275865</v>
      </c>
      <c r="E127" s="50">
        <f t="shared" si="3"/>
        <v>1.4096436989060094E-5</v>
      </c>
      <c r="F127" s="51"/>
    </row>
    <row r="128" spans="1:6" ht="15.75" customHeight="1" x14ac:dyDescent="0.25">
      <c r="A128" t="str">
        <f>+Hoja1!B125</f>
        <v>GRECO GUILLERMINA EDITH</v>
      </c>
      <c r="B128" t="str">
        <f>+Hoja1!A125</f>
        <v>05137</v>
      </c>
      <c r="C128" s="67">
        <f>+Hoja1!K125</f>
        <v>33384000</v>
      </c>
      <c r="D128" s="24">
        <f t="shared" si="2"/>
        <v>23023.448275862069</v>
      </c>
      <c r="E128" s="50">
        <f t="shared" si="3"/>
        <v>6.0332750313177204E-3</v>
      </c>
      <c r="F128" s="51"/>
    </row>
    <row r="129" spans="1:6" ht="15.75" customHeight="1" x14ac:dyDescent="0.25">
      <c r="A129" t="str">
        <f>+Hoja1!B126</f>
        <v>GRUPO HIGIENE CBA S.A.</v>
      </c>
      <c r="B129" t="str">
        <f>+Hoja1!A126</f>
        <v>09184</v>
      </c>
      <c r="C129" s="67">
        <f>+Hoja1!K126</f>
        <v>713954.73</v>
      </c>
      <c r="D129" s="24">
        <f t="shared" si="2"/>
        <v>492.38257241379307</v>
      </c>
      <c r="E129" s="50">
        <f t="shared" si="3"/>
        <v>1.2902843416008221E-4</v>
      </c>
      <c r="F129" s="51"/>
    </row>
    <row r="130" spans="1:6" ht="15.75" customHeight="1" x14ac:dyDescent="0.25">
      <c r="A130" t="str">
        <f>+Hoja1!B127</f>
        <v>GUANTES FLANDRIA S.A.</v>
      </c>
      <c r="B130" t="str">
        <f>+Hoja1!A127</f>
        <v>01451</v>
      </c>
      <c r="C130" s="67">
        <f>+Hoja1!K127</f>
        <v>13392560.710000001</v>
      </c>
      <c r="D130" s="24">
        <f t="shared" si="2"/>
        <v>9236.2487655172426</v>
      </c>
      <c r="E130" s="50">
        <f t="shared" si="3"/>
        <v>2.4203511303932941E-3</v>
      </c>
      <c r="F130" s="51"/>
    </row>
    <row r="131" spans="1:6" ht="15.75" customHeight="1" x14ac:dyDescent="0.25">
      <c r="A131" t="str">
        <f>+Hoja1!B128</f>
        <v>GUEDIKIAN IMPRESORES SA</v>
      </c>
      <c r="B131" t="str">
        <f>+Hoja1!A128</f>
        <v>06070</v>
      </c>
      <c r="C131" s="67">
        <f>+Hoja1!K128</f>
        <v>254846473.34999999</v>
      </c>
      <c r="D131" s="24">
        <f t="shared" si="2"/>
        <v>175756.18851724139</v>
      </c>
      <c r="E131" s="50">
        <f t="shared" si="3"/>
        <v>4.6056759659775098E-2</v>
      </c>
      <c r="F131" s="51"/>
    </row>
    <row r="132" spans="1:6" ht="15.75" customHeight="1" x14ac:dyDescent="0.25">
      <c r="A132" t="str">
        <f>+Hoja1!B129</f>
        <v>HANDLER 04 MDP</v>
      </c>
      <c r="B132" t="str">
        <f>+Hoja1!A129</f>
        <v>08190</v>
      </c>
      <c r="C132" s="67">
        <f>+Hoja1!K129</f>
        <v>6706404.4500000002</v>
      </c>
      <c r="D132" s="24">
        <f t="shared" si="2"/>
        <v>4625.1065172413792</v>
      </c>
      <c r="E132" s="50">
        <f t="shared" si="3"/>
        <v>1.2120052275971438E-3</v>
      </c>
      <c r="F132" s="51"/>
    </row>
    <row r="133" spans="1:6" ht="15.75" customHeight="1" x14ac:dyDescent="0.25">
      <c r="A133" t="str">
        <f>+Hoja1!B130</f>
        <v>HAUNOLD VIVIANA</v>
      </c>
      <c r="B133" t="str">
        <f>+Hoja1!A130</f>
        <v>04686</v>
      </c>
      <c r="C133" s="67">
        <f>+Hoja1!K130</f>
        <v>870501.1</v>
      </c>
      <c r="D133" s="24">
        <f t="shared" si="2"/>
        <v>600.34558620689654</v>
      </c>
      <c r="E133" s="50">
        <f t="shared" si="3"/>
        <v>1.5732005006483974E-4</v>
      </c>
      <c r="F133" s="51"/>
    </row>
    <row r="134" spans="1:6" ht="15.75" customHeight="1" x14ac:dyDescent="0.25">
      <c r="A134" t="str">
        <f>+Hoja1!B131</f>
        <v>HENNING JUAN FEDERICO</v>
      </c>
      <c r="B134" t="str">
        <f>+Hoja1!A131</f>
        <v>02968</v>
      </c>
      <c r="C134" s="67">
        <f>+Hoja1!K131</f>
        <v>7145866.7199999997</v>
      </c>
      <c r="D134" s="24">
        <f t="shared" ref="D134:D197" si="4">+C134/$D$3</f>
        <v>4928.1839448275859</v>
      </c>
      <c r="E134" s="50">
        <f t="shared" ref="E134:E197" si="5">+D134/$D$279</f>
        <v>1.2914264096243785E-3</v>
      </c>
      <c r="F134" s="51"/>
    </row>
    <row r="135" spans="1:6" ht="15.75" customHeight="1" x14ac:dyDescent="0.25">
      <c r="A135" t="str">
        <f>+Hoja1!B132</f>
        <v>HERNANDEZ CORTES MIGUEL</v>
      </c>
      <c r="B135" t="str">
        <f>+Hoja1!A132</f>
        <v>07485</v>
      </c>
      <c r="C135" s="67">
        <f>+Hoja1!K132</f>
        <v>3504000</v>
      </c>
      <c r="D135" s="24">
        <f t="shared" si="4"/>
        <v>2416.5517241379312</v>
      </c>
      <c r="E135" s="50">
        <f t="shared" si="5"/>
        <v>6.3325532320085344E-4</v>
      </c>
      <c r="F135" s="51"/>
    </row>
    <row r="136" spans="1:6" ht="15.75" customHeight="1" x14ac:dyDescent="0.25">
      <c r="A136" t="str">
        <f>+Hoja1!B133</f>
        <v>HERRAJES VERONA SRL</v>
      </c>
      <c r="B136" t="str">
        <f>+Hoja1!A133</f>
        <v>06085</v>
      </c>
      <c r="C136" s="67">
        <f>+Hoja1!K133</f>
        <v>65717.62</v>
      </c>
      <c r="D136" s="24">
        <f t="shared" si="4"/>
        <v>45.322496551724136</v>
      </c>
      <c r="E136" s="50">
        <f t="shared" si="5"/>
        <v>1.187672165898712E-5</v>
      </c>
      <c r="F136" s="51"/>
    </row>
    <row r="137" spans="1:6" ht="15.75" customHeight="1" x14ac:dyDescent="0.25">
      <c r="A137" t="str">
        <f>+Hoja1!B134</f>
        <v>HIDRAMIC S.R.L.</v>
      </c>
      <c r="B137" t="str">
        <f>+Hoja1!A134</f>
        <v>01967</v>
      </c>
      <c r="C137" s="67">
        <f>+Hoja1!K134</f>
        <v>37094543.149999999</v>
      </c>
      <c r="D137" s="24">
        <f t="shared" si="4"/>
        <v>25582.443551724136</v>
      </c>
      <c r="E137" s="50">
        <f t="shared" si="5"/>
        <v>6.7038575660505863E-3</v>
      </c>
      <c r="F137" s="51"/>
    </row>
    <row r="138" spans="1:6" ht="15.75" customHeight="1" x14ac:dyDescent="0.25">
      <c r="A138" t="str">
        <f>+Hoja1!B135</f>
        <v>HIDRAULICA MAR DEL PLATA S.A.</v>
      </c>
      <c r="B138" t="str">
        <f>+Hoja1!A135</f>
        <v>06767</v>
      </c>
      <c r="C138" s="67">
        <f>+Hoja1!K135</f>
        <v>-258135.9</v>
      </c>
      <c r="D138" s="24">
        <f t="shared" si="4"/>
        <v>-178.02475862068965</v>
      </c>
      <c r="E138" s="50">
        <f t="shared" si="5"/>
        <v>-4.6651236525183558E-5</v>
      </c>
      <c r="F138" s="51"/>
    </row>
    <row r="139" spans="1:6" ht="15.75" customHeight="1" x14ac:dyDescent="0.25">
      <c r="A139" t="str">
        <f>+Hoja1!B136</f>
        <v>HIDRAULICA Y NEUMATICA SRL</v>
      </c>
      <c r="B139" t="str">
        <f>+Hoja1!A136</f>
        <v>01255</v>
      </c>
      <c r="C139" s="67">
        <f>+Hoja1!K136</f>
        <v>15297762.58</v>
      </c>
      <c r="D139" s="24">
        <f t="shared" si="4"/>
        <v>10550.181089655172</v>
      </c>
      <c r="E139" s="50">
        <f t="shared" si="5"/>
        <v>2.7646659779816843E-3</v>
      </c>
      <c r="F139" s="51"/>
    </row>
    <row r="140" spans="1:6" ht="15.75" customHeight="1" x14ac:dyDescent="0.25">
      <c r="A140" t="str">
        <f>+Hoja1!B137</f>
        <v>HIELO DEYACOBBI S.A.</v>
      </c>
      <c r="B140" t="str">
        <f>+Hoja1!A137</f>
        <v>06159</v>
      </c>
      <c r="C140" s="67">
        <f>+Hoja1!K137</f>
        <v>688490</v>
      </c>
      <c r="D140" s="24">
        <f t="shared" si="4"/>
        <v>474.82068965517243</v>
      </c>
      <c r="E140" s="50">
        <f t="shared" si="5"/>
        <v>1.2442635772561518E-4</v>
      </c>
      <c r="F140" s="51"/>
    </row>
    <row r="141" spans="1:6" ht="15.75" customHeight="1" x14ac:dyDescent="0.25">
      <c r="A141" t="str">
        <f>+Hoja1!B138</f>
        <v>INDUGARVE S.L.</v>
      </c>
      <c r="B141" t="str">
        <f>+Hoja1!A138</f>
        <v>08688</v>
      </c>
      <c r="C141" s="67">
        <f>+Hoja1!K138</f>
        <v>88538261.290000007</v>
      </c>
      <c r="D141" s="24">
        <f t="shared" si="4"/>
        <v>61060.869855172416</v>
      </c>
      <c r="E141" s="50">
        <f t="shared" si="5"/>
        <v>1.600094899224902E-2</v>
      </c>
      <c r="F141" s="51"/>
    </row>
    <row r="142" spans="1:6" ht="15.75" customHeight="1" x14ac:dyDescent="0.25">
      <c r="A142" t="str">
        <f>+Hoja1!B139</f>
        <v>INDUSTRIAS DARC S.A.</v>
      </c>
      <c r="B142" t="str">
        <f>+Hoja1!A139</f>
        <v>03311</v>
      </c>
      <c r="C142" s="67">
        <f>+Hoja1!K139</f>
        <v>880275</v>
      </c>
      <c r="D142" s="24">
        <f t="shared" si="4"/>
        <v>607.08620689655174</v>
      </c>
      <c r="E142" s="50">
        <f t="shared" si="5"/>
        <v>1.5908642398134454E-4</v>
      </c>
      <c r="F142" s="51"/>
    </row>
    <row r="143" spans="1:6" ht="15.75" customHeight="1" x14ac:dyDescent="0.25">
      <c r="A143" t="str">
        <f>+Hoja1!B140</f>
        <v>INDUSTRIAS DE PASCALE S.A.</v>
      </c>
      <c r="B143" t="str">
        <f>+Hoja1!A140</f>
        <v>09359</v>
      </c>
      <c r="C143" s="67">
        <f>+Hoja1!K140</f>
        <v>1173884.3700000001</v>
      </c>
      <c r="D143" s="24">
        <f t="shared" si="4"/>
        <v>809.57542758620696</v>
      </c>
      <c r="E143" s="50">
        <f t="shared" si="5"/>
        <v>2.1214855197625008E-4</v>
      </c>
      <c r="F143" s="51"/>
    </row>
    <row r="144" spans="1:6" ht="15.75" customHeight="1" x14ac:dyDescent="0.25">
      <c r="A144" t="str">
        <f>+Hoja1!B141</f>
        <v>INDUSTRIAS FERRI</v>
      </c>
      <c r="B144" t="str">
        <f>+Hoja1!A141</f>
        <v>08689</v>
      </c>
      <c r="C144" s="67">
        <f>+Hoja1!K141</f>
        <v>5896891</v>
      </c>
      <c r="D144" s="24">
        <f t="shared" si="4"/>
        <v>4066.821379310345</v>
      </c>
      <c r="E144" s="50">
        <f t="shared" si="5"/>
        <v>1.0657070822160972E-3</v>
      </c>
      <c r="F144" s="51"/>
    </row>
    <row r="145" spans="1:6" ht="15.75" customHeight="1" x14ac:dyDescent="0.25">
      <c r="A145" t="str">
        <f>+Hoja1!B142</f>
        <v>INGENIEROS ELECTRONICOS ASOCIADOS SRL</v>
      </c>
      <c r="B145" t="str">
        <f>+Hoja1!A142</f>
        <v>03154</v>
      </c>
      <c r="C145" s="67">
        <f>+Hoja1!K142</f>
        <v>4033491.61</v>
      </c>
      <c r="D145" s="24">
        <f t="shared" si="4"/>
        <v>2781.7183517241378</v>
      </c>
      <c r="E145" s="50">
        <f t="shared" si="5"/>
        <v>7.2894692725984037E-4</v>
      </c>
      <c r="F145" s="51"/>
    </row>
    <row r="146" spans="1:6" ht="15.75" customHeight="1" x14ac:dyDescent="0.25">
      <c r="A146" t="str">
        <f>+Hoja1!B143</f>
        <v>INPROPE SA</v>
      </c>
      <c r="B146" t="str">
        <f>+Hoja1!A143</f>
        <v>05350</v>
      </c>
      <c r="C146" s="67">
        <f>+Hoja1!K143</f>
        <v>71091009</v>
      </c>
      <c r="D146" s="24">
        <f t="shared" si="4"/>
        <v>49028.28206896552</v>
      </c>
      <c r="E146" s="50">
        <f t="shared" si="5"/>
        <v>1.2847819600733387E-2</v>
      </c>
      <c r="F146" s="51"/>
    </row>
    <row r="147" spans="1:6" ht="15.75" customHeight="1" x14ac:dyDescent="0.25">
      <c r="A147" t="str">
        <f>+Hoja1!B144</f>
        <v>INTEGRACION DE ALIMENTOS Y SERVICIOS S.A.</v>
      </c>
      <c r="B147" t="str">
        <f>+Hoja1!A144</f>
        <v>07396</v>
      </c>
      <c r="C147" s="67">
        <f>+Hoja1!K144</f>
        <v>576359.30000000005</v>
      </c>
      <c r="D147" s="24">
        <f t="shared" si="4"/>
        <v>397.48917241379314</v>
      </c>
      <c r="E147" s="50">
        <f t="shared" si="5"/>
        <v>1.041616994295998E-4</v>
      </c>
      <c r="F147" s="51"/>
    </row>
    <row r="148" spans="1:6" ht="15.75" customHeight="1" x14ac:dyDescent="0.25">
      <c r="A148" t="str">
        <f>+Hoja1!B145</f>
        <v>INTEGRAL PUERTO SANO S.R.L.</v>
      </c>
      <c r="B148" t="str">
        <f>+Hoja1!A145</f>
        <v>07021</v>
      </c>
      <c r="C148" s="67">
        <f>+Hoja1!K145</f>
        <v>-0.01</v>
      </c>
      <c r="D148" s="24">
        <f t="shared" si="4"/>
        <v>-6.8965517241379308E-6</v>
      </c>
      <c r="E148" s="50">
        <f t="shared" si="5"/>
        <v>-1.8072355114179606E-12</v>
      </c>
      <c r="F148" s="51"/>
    </row>
    <row r="149" spans="1:6" ht="15.75" customHeight="1" x14ac:dyDescent="0.25">
      <c r="A149" t="str">
        <f>+Hoja1!B146</f>
        <v>INTERLOG S.A.</v>
      </c>
      <c r="B149" t="str">
        <f>+Hoja1!A146</f>
        <v>01874</v>
      </c>
      <c r="C149" s="67">
        <f>+Hoja1!K146</f>
        <v>8276759.2199999997</v>
      </c>
      <c r="D149" s="24">
        <f t="shared" si="4"/>
        <v>5708.1098068965512</v>
      </c>
      <c r="E149" s="50">
        <f t="shared" si="5"/>
        <v>1.4958053181840022E-3</v>
      </c>
      <c r="F149" s="51"/>
    </row>
    <row r="150" spans="1:6" ht="15.75" customHeight="1" x14ac:dyDescent="0.25">
      <c r="A150" t="str">
        <f>+Hoja1!B147</f>
        <v>J KOSTZER LIBRERIA LURO S R L</v>
      </c>
      <c r="B150" t="str">
        <f>+Hoja1!A147</f>
        <v>08048</v>
      </c>
      <c r="C150" s="67">
        <f>+Hoja1!K147</f>
        <v>824011.81</v>
      </c>
      <c r="D150" s="24">
        <f t="shared" si="4"/>
        <v>568.28400689655177</v>
      </c>
      <c r="E150" s="50">
        <f t="shared" si="5"/>
        <v>1.4891834048597896E-4</v>
      </c>
      <c r="F150" s="51"/>
    </row>
    <row r="151" spans="1:6" ht="15.75" customHeight="1" x14ac:dyDescent="0.25">
      <c r="A151" t="str">
        <f>+Hoja1!B148</f>
        <v>JAN-MARK SRL</v>
      </c>
      <c r="B151" t="str">
        <f>+Hoja1!A148</f>
        <v>05961</v>
      </c>
      <c r="C151" s="67">
        <f>+Hoja1!K148</f>
        <v>12303013.050000001</v>
      </c>
      <c r="D151" s="24">
        <f t="shared" si="4"/>
        <v>8484.8365862068968</v>
      </c>
      <c r="E151" s="50">
        <f t="shared" si="5"/>
        <v>2.2234442081398597E-3</v>
      </c>
      <c r="F151" s="51"/>
    </row>
    <row r="152" spans="1:6" ht="15.75" customHeight="1" x14ac:dyDescent="0.25">
      <c r="A152" t="str">
        <f>+Hoja1!B149</f>
        <v>JOSE MOSCUZZA Y CIA SACI</v>
      </c>
      <c r="B152" t="str">
        <f>+Hoja1!A149</f>
        <v>00051</v>
      </c>
      <c r="C152" s="67">
        <f>+Hoja1!K149</f>
        <v>59473329.920000002</v>
      </c>
      <c r="D152" s="24">
        <f t="shared" si="4"/>
        <v>41016.089599999999</v>
      </c>
      <c r="E152" s="50">
        <f t="shared" si="5"/>
        <v>1.0748231381370031E-2</v>
      </c>
      <c r="F152" s="51"/>
    </row>
    <row r="153" spans="1:6" ht="15.75" customHeight="1" x14ac:dyDescent="0.25">
      <c r="A153" t="str">
        <f>+Hoja1!B150</f>
        <v>KIENE DIESEL</v>
      </c>
      <c r="B153" t="str">
        <f>+Hoja1!A150</f>
        <v>08704</v>
      </c>
      <c r="C153" s="67">
        <f>+Hoja1!K150</f>
        <v>335045.59999999998</v>
      </c>
      <c r="D153" s="24">
        <f t="shared" si="4"/>
        <v>231.06593103448273</v>
      </c>
      <c r="E153" s="50">
        <f t="shared" si="5"/>
        <v>6.0550630626433744E-5</v>
      </c>
      <c r="F153" s="51"/>
    </row>
    <row r="154" spans="1:6" ht="15.75" customHeight="1" x14ac:dyDescent="0.25">
      <c r="A154" t="str">
        <f>+Hoja1!B151</f>
        <v>KOREA MARINE INDUSTRIAL CO LTD</v>
      </c>
      <c r="B154" t="str">
        <f>+Hoja1!A151</f>
        <v>08706</v>
      </c>
      <c r="C154" s="67">
        <f>+Hoja1!K151</f>
        <v>1782642.4</v>
      </c>
      <c r="D154" s="24">
        <f t="shared" si="4"/>
        <v>1229.4085517241379</v>
      </c>
      <c r="E154" s="50">
        <f t="shared" si="5"/>
        <v>3.2216546494393406E-4</v>
      </c>
      <c r="F154" s="51"/>
    </row>
    <row r="155" spans="1:6" ht="15.75" customHeight="1" x14ac:dyDescent="0.25">
      <c r="A155" t="str">
        <f>+Hoja1!B152</f>
        <v>LA ACADEMIA 2001 SRL</v>
      </c>
      <c r="B155" t="str">
        <f>+Hoja1!A152</f>
        <v>07378</v>
      </c>
      <c r="C155" s="67">
        <f>+Hoja1!K152</f>
        <v>11200000</v>
      </c>
      <c r="D155" s="24">
        <f t="shared" si="4"/>
        <v>7724.1379310344828</v>
      </c>
      <c r="E155" s="50">
        <f t="shared" si="5"/>
        <v>2.0241037727881162E-3</v>
      </c>
      <c r="F155" s="51"/>
    </row>
    <row r="156" spans="1:6" ht="15.75" customHeight="1" x14ac:dyDescent="0.25">
      <c r="A156" t="str">
        <f>+Hoja1!B153</f>
        <v>LA CASA DEL FLEXIBLE SRL.</v>
      </c>
      <c r="B156" t="str">
        <f>+Hoja1!A153</f>
        <v>00030</v>
      </c>
      <c r="C156" s="67">
        <f>+Hoja1!K153</f>
        <v>5673602</v>
      </c>
      <c r="D156" s="24">
        <f t="shared" si="4"/>
        <v>3912.8289655172412</v>
      </c>
      <c r="E156" s="50">
        <f t="shared" si="5"/>
        <v>1.0253535012051964E-3</v>
      </c>
      <c r="F156" s="51"/>
    </row>
    <row r="157" spans="1:6" ht="15.75" customHeight="1" x14ac:dyDescent="0.25">
      <c r="A157" t="str">
        <f>+Hoja1!B154</f>
        <v>LABORATORIO BIOQUIMICO MAR DEL PLATA  S.A.</v>
      </c>
      <c r="B157" t="str">
        <f>+Hoja1!A154</f>
        <v>05145</v>
      </c>
      <c r="C157" s="67">
        <f>+Hoja1!K154</f>
        <v>702029.91</v>
      </c>
      <c r="D157" s="24">
        <f t="shared" si="4"/>
        <v>484.15855862068969</v>
      </c>
      <c r="E157" s="50">
        <f t="shared" si="5"/>
        <v>1.2687333834295552E-4</v>
      </c>
      <c r="F157" s="51"/>
    </row>
    <row r="158" spans="1:6" ht="15.75" customHeight="1" x14ac:dyDescent="0.25">
      <c r="A158" t="str">
        <f>+Hoja1!B155</f>
        <v>LAKAUT S.A.</v>
      </c>
      <c r="B158" t="str">
        <f>+Hoja1!A155</f>
        <v>07554</v>
      </c>
      <c r="C158" s="67">
        <f>+Hoja1!K155</f>
        <v>161583.69</v>
      </c>
      <c r="D158" s="24">
        <f t="shared" si="4"/>
        <v>111.4370275862069</v>
      </c>
      <c r="E158" s="50">
        <f t="shared" si="5"/>
        <v>2.9201978263395123E-5</v>
      </c>
      <c r="F158" s="51"/>
    </row>
    <row r="159" spans="1:6" ht="15.75" customHeight="1" x14ac:dyDescent="0.25">
      <c r="A159" t="str">
        <f>+Hoja1!B156</f>
        <v>LOAD SRL</v>
      </c>
      <c r="B159" t="str">
        <f>+Hoja1!A156</f>
        <v>07009</v>
      </c>
      <c r="C159" s="67">
        <f>+Hoja1!K156</f>
        <v>11148740.640000001</v>
      </c>
      <c r="D159" s="24">
        <f t="shared" si="4"/>
        <v>7688.7866482758627</v>
      </c>
      <c r="E159" s="50">
        <f t="shared" si="5"/>
        <v>2.0148399992196606E-3</v>
      </c>
      <c r="F159" s="51"/>
    </row>
    <row r="160" spans="1:6" ht="15.75" customHeight="1" x14ac:dyDescent="0.25">
      <c r="A160" t="str">
        <f>+Hoja1!B157</f>
        <v>LOY GUADALUPE ANAHI</v>
      </c>
      <c r="B160" t="str">
        <f>+Hoja1!A157</f>
        <v>09561</v>
      </c>
      <c r="C160" s="67">
        <f>+Hoja1!K157</f>
        <v>8949100</v>
      </c>
      <c r="D160" s="24">
        <f t="shared" si="4"/>
        <v>6171.7931034482763</v>
      </c>
      <c r="E160" s="50">
        <f t="shared" si="5"/>
        <v>1.6173131315230474E-3</v>
      </c>
      <c r="F160" s="51"/>
    </row>
    <row r="161" spans="1:6" ht="15.75" customHeight="1" x14ac:dyDescent="0.25">
      <c r="A161" t="str">
        <f>+Hoja1!B158</f>
        <v>LUANCAR S.A.</v>
      </c>
      <c r="B161" t="str">
        <f>+Hoja1!A158</f>
        <v>01900</v>
      </c>
      <c r="C161" s="67">
        <f>+Hoja1!K158</f>
        <v>28770</v>
      </c>
      <c r="D161" s="24">
        <f t="shared" si="4"/>
        <v>19.841379310344827</v>
      </c>
      <c r="E161" s="50">
        <f t="shared" si="5"/>
        <v>5.199416566349473E-6</v>
      </c>
      <c r="F161" s="51"/>
    </row>
    <row r="162" spans="1:6" ht="15.75" customHeight="1" x14ac:dyDescent="0.25">
      <c r="A162" t="str">
        <f>+Hoja1!B159</f>
        <v>M D Q QUIMICA GARVEY S A</v>
      </c>
      <c r="B162" t="str">
        <f>+Hoja1!A159</f>
        <v>03737</v>
      </c>
      <c r="C162" s="67">
        <f>+Hoja1!K159</f>
        <v>2751686.82</v>
      </c>
      <c r="D162" s="24">
        <f t="shared" si="4"/>
        <v>1897.715048275862</v>
      </c>
      <c r="E162" s="50">
        <f t="shared" si="5"/>
        <v>4.9729461374047621E-4</v>
      </c>
      <c r="F162" s="51"/>
    </row>
    <row r="163" spans="1:6" ht="15.75" customHeight="1" x14ac:dyDescent="0.25">
      <c r="A163" t="str">
        <f>+Hoja1!B160</f>
        <v>M.F. S.A.</v>
      </c>
      <c r="B163" t="str">
        <f>+Hoja1!A160</f>
        <v>01505</v>
      </c>
      <c r="C163" s="67">
        <f>+Hoja1!K160</f>
        <v>14734510.130000001</v>
      </c>
      <c r="D163" s="24">
        <f t="shared" si="4"/>
        <v>10161.731124137932</v>
      </c>
      <c r="E163" s="50">
        <f t="shared" si="5"/>
        <v>2.6628729950283676E-3</v>
      </c>
      <c r="F163" s="51"/>
    </row>
    <row r="164" spans="1:6" ht="15.75" customHeight="1" x14ac:dyDescent="0.25">
      <c r="A164" t="str">
        <f>+Hoja1!B161</f>
        <v>MADERAS MISIONES S. A.</v>
      </c>
      <c r="B164" t="str">
        <f>+Hoja1!A161</f>
        <v>03632</v>
      </c>
      <c r="C164" s="67">
        <f>+Hoja1!K161</f>
        <v>102609</v>
      </c>
      <c r="D164" s="24">
        <f t="shared" si="4"/>
        <v>70.764827586206891</v>
      </c>
      <c r="E164" s="50">
        <f t="shared" si="5"/>
        <v>1.8543862859108554E-5</v>
      </c>
      <c r="F164" s="51"/>
    </row>
    <row r="165" spans="1:6" ht="15.75" customHeight="1" x14ac:dyDescent="0.25">
      <c r="A165" t="str">
        <f>+Hoja1!B162</f>
        <v>MANTENIMIENTOS SUDESTE EMPRESA DE SERVICIOS SRL</v>
      </c>
      <c r="B165" t="str">
        <f>+Hoja1!A162</f>
        <v>01412</v>
      </c>
      <c r="C165" s="67">
        <f>+Hoja1!K162</f>
        <v>11727544.720000001</v>
      </c>
      <c r="D165" s="24">
        <f t="shared" si="4"/>
        <v>8087.9618758620691</v>
      </c>
      <c r="E165" s="50">
        <f t="shared" si="5"/>
        <v>2.1194435279726204E-3</v>
      </c>
      <c r="F165" s="51"/>
    </row>
    <row r="166" spans="1:6" ht="15.75" customHeight="1" x14ac:dyDescent="0.25">
      <c r="A166" t="str">
        <f>+Hoja1!B163</f>
        <v>MAR DEL PLATA PORT MANAGEMENT SRL</v>
      </c>
      <c r="B166" t="str">
        <f>+Hoja1!A163</f>
        <v>03772</v>
      </c>
      <c r="C166" s="67">
        <f>+Hoja1!K163</f>
        <v>309795455.14999998</v>
      </c>
      <c r="D166" s="24">
        <f t="shared" si="4"/>
        <v>213652.03803448274</v>
      </c>
      <c r="E166" s="50">
        <f t="shared" si="5"/>
        <v>5.5987334782297012E-2</v>
      </c>
      <c r="F166" s="51"/>
    </row>
    <row r="167" spans="1:6" ht="15.75" customHeight="1" x14ac:dyDescent="0.25">
      <c r="A167" t="str">
        <f>+Hoja1!B164</f>
        <v>MAR DEL PLATA SODA S A</v>
      </c>
      <c r="B167" t="str">
        <f>+Hoja1!A164</f>
        <v>08925</v>
      </c>
      <c r="C167" s="67">
        <f>+Hoja1!K164</f>
        <v>1359552.38</v>
      </c>
      <c r="D167" s="24">
        <f t="shared" si="4"/>
        <v>937.62233103448273</v>
      </c>
      <c r="E167" s="50">
        <f t="shared" si="5"/>
        <v>2.4570313407688057E-4</v>
      </c>
      <c r="F167" s="51"/>
    </row>
    <row r="168" spans="1:6" ht="15.75" customHeight="1" x14ac:dyDescent="0.25">
      <c r="A168" t="str">
        <f>+Hoja1!B165</f>
        <v>MARCELO D. RODRIGUEZ CONSULTORES TRIBUTARIOS Y AUDITORES ASOCIADOS S.A.</v>
      </c>
      <c r="B168" t="str">
        <f>+Hoja1!A165</f>
        <v>07561</v>
      </c>
      <c r="C168" s="67">
        <f>+Hoja1!K165</f>
        <v>3790688</v>
      </c>
      <c r="D168" s="24">
        <f t="shared" si="4"/>
        <v>2614.2675862068963</v>
      </c>
      <c r="E168" s="50">
        <f t="shared" si="5"/>
        <v>6.850665966305926E-4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7">
        <f>+Hoja1!K166</f>
        <v>35645265</v>
      </c>
      <c r="D169" s="24">
        <f t="shared" si="4"/>
        <v>24582.941379310345</v>
      </c>
      <c r="E169" s="50">
        <f t="shared" si="5"/>
        <v>6.4419388721903741E-3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7">
        <f>+Hoja1!K167</f>
        <v>26304027.75</v>
      </c>
      <c r="D170" s="24">
        <f t="shared" si="4"/>
        <v>18140.708793103448</v>
      </c>
      <c r="E170" s="50">
        <f t="shared" si="5"/>
        <v>4.7537573043123478E-3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7">
        <f>+Hoja1!K168</f>
        <v>3863750</v>
      </c>
      <c r="D171" s="24">
        <f t="shared" si="4"/>
        <v>2664.655172413793</v>
      </c>
      <c r="E171" s="50">
        <f t="shared" si="5"/>
        <v>6.9827062072411455E-4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7">
        <f>+Hoja1!K169</f>
        <v>82539.429999999993</v>
      </c>
      <c r="D172" s="24">
        <f t="shared" si="4"/>
        <v>56.923744827586205</v>
      </c>
      <c r="E172" s="50">
        <f t="shared" si="5"/>
        <v>1.4916818898819696E-5</v>
      </c>
      <c r="F172" s="51"/>
    </row>
    <row r="173" spans="1:6" ht="15.75" customHeight="1" x14ac:dyDescent="0.25">
      <c r="A173" t="str">
        <f>+Hoja1!B170</f>
        <v>MARTINEZ ROSANA PATRICIA</v>
      </c>
      <c r="B173" t="str">
        <f>+Hoja1!A170</f>
        <v>06005</v>
      </c>
      <c r="C173" s="67">
        <f>+Hoja1!K170</f>
        <v>679778</v>
      </c>
      <c r="D173" s="24">
        <f t="shared" si="4"/>
        <v>468.81241379310347</v>
      </c>
      <c r="E173" s="50">
        <f t="shared" si="5"/>
        <v>1.2285189414806786E-4</v>
      </c>
      <c r="F173" s="51"/>
    </row>
    <row r="174" spans="1:6" ht="15.75" customHeight="1" x14ac:dyDescent="0.25">
      <c r="A174" t="str">
        <f>+Hoja1!B171</f>
        <v>MASSA LUIS ALEJANDRO</v>
      </c>
      <c r="B174" t="str">
        <f>+Hoja1!A171</f>
        <v>01566</v>
      </c>
      <c r="C174" s="67">
        <f>+Hoja1!K171</f>
        <v>3329436</v>
      </c>
      <c r="D174" s="24">
        <f t="shared" si="4"/>
        <v>2296.1627586206896</v>
      </c>
      <c r="E174" s="50">
        <f t="shared" si="5"/>
        <v>6.0170749721933693E-4</v>
      </c>
      <c r="F174" s="51"/>
    </row>
    <row r="175" spans="1:6" ht="15.75" customHeight="1" x14ac:dyDescent="0.25">
      <c r="A175" t="str">
        <f>+Hoja1!B172</f>
        <v>MATAFUEGOS IMPULSO SACIYF</v>
      </c>
      <c r="B175" t="str">
        <f>+Hoja1!A172</f>
        <v>04312</v>
      </c>
      <c r="C175" s="67">
        <f>+Hoja1!K172</f>
        <v>1101100</v>
      </c>
      <c r="D175" s="24">
        <f t="shared" si="4"/>
        <v>759.37931034482756</v>
      </c>
      <c r="E175" s="50">
        <f t="shared" si="5"/>
        <v>1.9899470216223165E-4</v>
      </c>
      <c r="F175" s="51"/>
    </row>
    <row r="176" spans="1:6" ht="15.75" customHeight="1" x14ac:dyDescent="0.25">
      <c r="A176" t="str">
        <f>+Hoja1!B173</f>
        <v>MAYEKAWA ARGENTINA S.A.</v>
      </c>
      <c r="B176" t="str">
        <f>+Hoja1!A173</f>
        <v>00612</v>
      </c>
      <c r="C176" s="67">
        <f>+Hoja1!K173</f>
        <v>13623137.300000001</v>
      </c>
      <c r="D176" s="24">
        <f t="shared" si="4"/>
        <v>9395.2671034482755</v>
      </c>
      <c r="E176" s="50">
        <f t="shared" si="5"/>
        <v>2.4620217505482598E-3</v>
      </c>
      <c r="F176" s="51"/>
    </row>
    <row r="177" spans="1:6" ht="15.75" customHeight="1" x14ac:dyDescent="0.25">
      <c r="A177" t="str">
        <f>+Hoja1!B174</f>
        <v>MDP 2020 REY MAYORISTA CARNICO S. A.</v>
      </c>
      <c r="B177" t="str">
        <f>+Hoja1!A174</f>
        <v>09003</v>
      </c>
      <c r="C177" s="67">
        <f>+Hoja1!K174</f>
        <v>9867760.0199999996</v>
      </c>
      <c r="D177" s="24">
        <f t="shared" si="4"/>
        <v>6805.3517379310342</v>
      </c>
      <c r="E177" s="50">
        <f t="shared" si="5"/>
        <v>1.7833366326294405E-3</v>
      </c>
      <c r="F177" s="51"/>
    </row>
    <row r="178" spans="1:6" ht="15.75" customHeight="1" x14ac:dyDescent="0.25">
      <c r="A178" t="str">
        <f>+Hoja1!B175</f>
        <v>MEDINA LEONEL JESUS</v>
      </c>
      <c r="B178" t="str">
        <f>+Hoja1!A175</f>
        <v>06810</v>
      </c>
      <c r="C178" s="67">
        <f>+Hoja1!K175</f>
        <v>4032000</v>
      </c>
      <c r="D178" s="24">
        <f t="shared" si="4"/>
        <v>2780.6896551724139</v>
      </c>
      <c r="E178" s="50">
        <f t="shared" si="5"/>
        <v>7.2867735820372184E-4</v>
      </c>
      <c r="F178" s="51"/>
    </row>
    <row r="179" spans="1:6" ht="15.75" customHeight="1" x14ac:dyDescent="0.25">
      <c r="A179" t="str">
        <f>+Hoja1!B176</f>
        <v>MEDITERRANEAN SHIPPING COMPANY S A</v>
      </c>
      <c r="B179" t="str">
        <f>+Hoja1!A176</f>
        <v>02641</v>
      </c>
      <c r="C179" s="67">
        <f>+Hoja1!K176</f>
        <v>58760</v>
      </c>
      <c r="D179" s="24">
        <f t="shared" si="4"/>
        <v>40.524137931034481</v>
      </c>
      <c r="E179" s="50">
        <f t="shared" si="5"/>
        <v>1.0619315865091937E-5</v>
      </c>
      <c r="F179" s="51"/>
    </row>
    <row r="180" spans="1:6" ht="15.75" customHeight="1" x14ac:dyDescent="0.25">
      <c r="A180" t="str">
        <f>+Hoja1!B177</f>
        <v>METALGEN FORJA SRL</v>
      </c>
      <c r="B180" t="str">
        <f>+Hoja1!A177</f>
        <v>07616</v>
      </c>
      <c r="C180" s="67">
        <f>+Hoja1!K177</f>
        <v>0.01</v>
      </c>
      <c r="D180" s="24">
        <f t="shared" si="4"/>
        <v>6.8965517241379308E-6</v>
      </c>
      <c r="E180" s="50">
        <f t="shared" si="5"/>
        <v>1.8072355114179606E-12</v>
      </c>
      <c r="F180" s="51"/>
    </row>
    <row r="181" spans="1:6" ht="15.75" customHeight="1" x14ac:dyDescent="0.25">
      <c r="A181" t="str">
        <f>+Hoja1!B178</f>
        <v>MEYER SACIF</v>
      </c>
      <c r="B181" t="str">
        <f>+Hoja1!A178</f>
        <v>05368</v>
      </c>
      <c r="C181" s="67">
        <f>+Hoja1!K178</f>
        <v>2255142.36</v>
      </c>
      <c r="D181" s="24">
        <f t="shared" si="4"/>
        <v>1555.2705931034482</v>
      </c>
      <c r="E181" s="50">
        <f t="shared" si="5"/>
        <v>4.0755733562949069E-4</v>
      </c>
      <c r="F181" s="51"/>
    </row>
    <row r="182" spans="1:6" ht="15.75" customHeight="1" x14ac:dyDescent="0.25">
      <c r="A182" t="str">
        <f>+Hoja1!B179</f>
        <v>MICCIO´S SOCIEDAD ANONIMA</v>
      </c>
      <c r="B182" t="str">
        <f>+Hoja1!A179</f>
        <v>03757</v>
      </c>
      <c r="C182" s="67">
        <f>+Hoja1!K179</f>
        <v>23660850.670000002</v>
      </c>
      <c r="D182" s="24">
        <f t="shared" si="4"/>
        <v>16317.828048275864</v>
      </c>
      <c r="E182" s="50">
        <f t="shared" si="5"/>
        <v>4.2760729561181453E-3</v>
      </c>
      <c r="F182" s="51"/>
    </row>
    <row r="183" spans="1:6" ht="15.75" customHeight="1" x14ac:dyDescent="0.25">
      <c r="A183" t="str">
        <f>+Hoja1!B180</f>
        <v>MONITOREO Y VIGILANCIA MEDINILLA S.A</v>
      </c>
      <c r="B183" t="str">
        <f>+Hoja1!A180</f>
        <v>06832</v>
      </c>
      <c r="C183" s="67">
        <f>+Hoja1!K180</f>
        <v>107227941.13</v>
      </c>
      <c r="D183" s="24">
        <f t="shared" si="4"/>
        <v>73950.30422758621</v>
      </c>
      <c r="E183" s="50">
        <f t="shared" si="5"/>
        <v>1.9378614302637057E-2</v>
      </c>
      <c r="F183" s="51"/>
    </row>
    <row r="184" spans="1:6" ht="15.75" customHeight="1" x14ac:dyDescent="0.25">
      <c r="A184" t="str">
        <f>+Hoja1!B181</f>
        <v>MONTENEGRO MARIA VIVIANA</v>
      </c>
      <c r="B184" t="str">
        <f>+Hoja1!A181</f>
        <v>08887</v>
      </c>
      <c r="C184" s="67">
        <f>+Hoja1!K181</f>
        <v>617100</v>
      </c>
      <c r="D184" s="24">
        <f t="shared" si="4"/>
        <v>425.58620689655174</v>
      </c>
      <c r="E184" s="50">
        <f t="shared" si="5"/>
        <v>1.1152450340960236E-4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7">
        <f>+Hoja1!K182</f>
        <v>592454.72</v>
      </c>
      <c r="D185" s="24">
        <f t="shared" si="4"/>
        <v>408.58946206896547</v>
      </c>
      <c r="E185" s="50">
        <f t="shared" si="5"/>
        <v>1.0707052088911846E-4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7">
        <f>+Hoja1!K183</f>
        <v>89999.98</v>
      </c>
      <c r="D186" s="24">
        <f t="shared" si="4"/>
        <v>62.068951724137925</v>
      </c>
      <c r="E186" s="50">
        <f t="shared" si="5"/>
        <v>1.6265115988290622E-5</v>
      </c>
      <c r="F186" s="51"/>
    </row>
    <row r="187" spans="1:6" ht="15.75" customHeight="1" x14ac:dyDescent="0.25">
      <c r="A187" t="str">
        <f>+Hoja1!B184</f>
        <v>MORENI HNOS. S.R.L.</v>
      </c>
      <c r="B187" t="str">
        <f>+Hoja1!A184</f>
        <v>06899</v>
      </c>
      <c r="C187" s="67">
        <f>+Hoja1!K184</f>
        <v>34922.400000000001</v>
      </c>
      <c r="D187" s="24">
        <f t="shared" si="4"/>
        <v>24.084413793103451</v>
      </c>
      <c r="E187" s="50">
        <f t="shared" si="5"/>
        <v>6.3113001423942599E-6</v>
      </c>
      <c r="F187" s="51"/>
    </row>
    <row r="188" spans="1:6" ht="15.75" customHeight="1" x14ac:dyDescent="0.25">
      <c r="A188" t="str">
        <f>+Hoja1!B185</f>
        <v>MOTORES ELECTRICOS MAR DEL PLATA S.R.L.</v>
      </c>
      <c r="B188" t="str">
        <f>+Hoja1!A185</f>
        <v>07248</v>
      </c>
      <c r="C188" s="67">
        <f>+Hoja1!K185</f>
        <v>10752108.949999999</v>
      </c>
      <c r="D188" s="24">
        <f t="shared" si="4"/>
        <v>7415.2475517241373</v>
      </c>
      <c r="E188" s="50">
        <f t="shared" si="5"/>
        <v>1.9431593117074882E-3</v>
      </c>
      <c r="F188" s="51"/>
    </row>
    <row r="189" spans="1:6" ht="15.75" customHeight="1" x14ac:dyDescent="0.25">
      <c r="A189" t="str">
        <f>+Hoja1!B186</f>
        <v>N.M.A. NAUTIC TECH ENGINEERING SUPPORT SLU</v>
      </c>
      <c r="B189" t="str">
        <f>+Hoja1!A186</f>
        <v>08705</v>
      </c>
      <c r="C189" s="67">
        <f>+Hoja1!K186</f>
        <v>13351649.470000001</v>
      </c>
      <c r="D189" s="24">
        <f t="shared" si="4"/>
        <v>9208.0341172413791</v>
      </c>
      <c r="E189" s="50">
        <f t="shared" si="5"/>
        <v>2.4129575058188793E-3</v>
      </c>
      <c r="F189" s="51"/>
    </row>
    <row r="190" spans="1:6" ht="15.75" customHeight="1" x14ac:dyDescent="0.25">
      <c r="A190" t="str">
        <f>+Hoja1!B187</f>
        <v>NAGODE MARIA SOL</v>
      </c>
      <c r="B190" t="str">
        <f>+Hoja1!A187</f>
        <v>09408</v>
      </c>
      <c r="C190" s="67">
        <f>+Hoja1!K187</f>
        <v>1579156.25</v>
      </c>
      <c r="D190" s="24">
        <f t="shared" si="4"/>
        <v>1089.0732758620691</v>
      </c>
      <c r="E190" s="50">
        <f t="shared" si="5"/>
        <v>2.8539072530776193E-4</v>
      </c>
      <c r="F190" s="51"/>
    </row>
    <row r="191" spans="1:6" ht="15.75" customHeight="1" x14ac:dyDescent="0.25">
      <c r="A191" t="str">
        <f>+Hoja1!B188</f>
        <v>NICLAU DESPACHANTES DE ADUANA S.A.</v>
      </c>
      <c r="B191" t="str">
        <f>+Hoja1!A188</f>
        <v>06121</v>
      </c>
      <c r="C191" s="67">
        <f>+Hoja1!K188</f>
        <v>31136134</v>
      </c>
      <c r="D191" s="24">
        <f t="shared" si="4"/>
        <v>21473.195862068966</v>
      </c>
      <c r="E191" s="50">
        <f t="shared" si="5"/>
        <v>5.6270327053068161E-3</v>
      </c>
      <c r="F191" s="51"/>
    </row>
    <row r="192" spans="1:6" ht="15.75" customHeight="1" x14ac:dyDescent="0.25">
      <c r="A192" t="str">
        <f>+Hoja1!B189</f>
        <v>NSM FOODS &amp; LOG S.R.L</v>
      </c>
      <c r="B192" t="str">
        <f>+Hoja1!A189</f>
        <v>08485</v>
      </c>
      <c r="C192" s="67">
        <f>+Hoja1!K189</f>
        <v>5532388.2000000002</v>
      </c>
      <c r="D192" s="24">
        <f t="shared" si="4"/>
        <v>3815.4401379310348</v>
      </c>
      <c r="E192" s="50">
        <f t="shared" si="5"/>
        <v>9.9983284179896927E-4</v>
      </c>
      <c r="F192" s="51"/>
    </row>
    <row r="193" spans="1:6" ht="15.75" customHeight="1" x14ac:dyDescent="0.25">
      <c r="A193" t="str">
        <f>+Hoja1!B190</f>
        <v>NUEVA EDISON FARMACEUTICA SCS</v>
      </c>
      <c r="B193" t="str">
        <f>+Hoja1!A190</f>
        <v>05410</v>
      </c>
      <c r="C193" s="67">
        <f>+Hoja1!K190</f>
        <v>18139953.210000001</v>
      </c>
      <c r="D193" s="24">
        <f t="shared" si="4"/>
        <v>12510.31255862069</v>
      </c>
      <c r="E193" s="50">
        <f t="shared" si="5"/>
        <v>3.2783167616572228E-3</v>
      </c>
      <c r="F193" s="51"/>
    </row>
    <row r="194" spans="1:6" ht="15.75" customHeight="1" x14ac:dyDescent="0.25">
      <c r="A194" t="str">
        <f>+Hoja1!B191</f>
        <v>O.A.C.I. S.A.</v>
      </c>
      <c r="B194" t="str">
        <f>+Hoja1!A191</f>
        <v>01573</v>
      </c>
      <c r="C194" s="67">
        <f>+Hoja1!K191</f>
        <v>22317161.66</v>
      </c>
      <c r="D194" s="24">
        <f t="shared" si="4"/>
        <v>15391.145972413793</v>
      </c>
      <c r="E194" s="50">
        <f t="shared" si="5"/>
        <v>4.0332367066007405E-3</v>
      </c>
      <c r="F194" s="51"/>
    </row>
    <row r="195" spans="1:6" ht="15.75" customHeight="1" x14ac:dyDescent="0.25">
      <c r="A195" t="str">
        <f>+Hoja1!B192</f>
        <v>OCA LOG S.A</v>
      </c>
      <c r="B195" t="str">
        <f>+Hoja1!A192</f>
        <v>08373</v>
      </c>
      <c r="C195" s="67">
        <f>+Hoja1!K192</f>
        <v>572785.81999999995</v>
      </c>
      <c r="D195" s="24">
        <f t="shared" si="4"/>
        <v>395.02470344827583</v>
      </c>
      <c r="E195" s="50">
        <f t="shared" si="5"/>
        <v>1.0351588743406559E-4</v>
      </c>
      <c r="F195" s="51"/>
    </row>
    <row r="196" spans="1:6" ht="15.75" customHeight="1" x14ac:dyDescent="0.25">
      <c r="A196" t="str">
        <f>+Hoja1!B193</f>
        <v>OCCUPATIONAL MEDICINAE PUERTO MAR DEL PLATA S.R.L.</v>
      </c>
      <c r="B196" t="str">
        <f>+Hoja1!A193</f>
        <v>09197</v>
      </c>
      <c r="C196" s="67">
        <f>+Hoja1!K193</f>
        <v>3527150</v>
      </c>
      <c r="D196" s="24">
        <f t="shared" si="4"/>
        <v>2432.5172413793102</v>
      </c>
      <c r="E196" s="50">
        <f t="shared" si="5"/>
        <v>6.3743907340978602E-4</v>
      </c>
      <c r="F196" s="51"/>
    </row>
    <row r="197" spans="1:6" ht="15.75" customHeight="1" x14ac:dyDescent="0.25">
      <c r="A197" t="str">
        <f>+Hoja1!B194</f>
        <v>OMINT SOCIEDAD ANONIMA DE SERVICIOS</v>
      </c>
      <c r="B197" t="str">
        <f>+Hoja1!A194</f>
        <v>08977</v>
      </c>
      <c r="C197" s="67">
        <f>+Hoja1!K194</f>
        <v>-2698.26</v>
      </c>
      <c r="D197" s="24">
        <f t="shared" si="4"/>
        <v>-1.8608689655172415</v>
      </c>
      <c r="E197" s="50">
        <f t="shared" si="5"/>
        <v>-4.8763912910386271E-7</v>
      </c>
      <c r="F197" s="51"/>
    </row>
    <row r="198" spans="1:6" ht="15.75" customHeight="1" x14ac:dyDescent="0.25">
      <c r="A198" t="str">
        <f>+Hoja1!B195</f>
        <v>OTI INTERNACIONAL S.A.</v>
      </c>
      <c r="B198" t="str">
        <f>+Hoja1!A195</f>
        <v>04900</v>
      </c>
      <c r="C198" s="67">
        <f>+Hoja1!K195</f>
        <v>108585050</v>
      </c>
      <c r="D198" s="24">
        <f t="shared" ref="D198:D261" si="6">+C198/$D$3</f>
        <v>74886.241379310348</v>
      </c>
      <c r="E198" s="50">
        <f t="shared" ref="E198:E261" si="7">+D198/$D$279</f>
        <v>1.9623875836909485E-2</v>
      </c>
      <c r="F198" s="51"/>
    </row>
    <row r="199" spans="1:6" ht="15.75" customHeight="1" x14ac:dyDescent="0.25">
      <c r="A199" t="str">
        <f>+Hoja1!B196</f>
        <v>PARTES INFORMATICAS . COM   S.A.</v>
      </c>
      <c r="B199" t="str">
        <f>+Hoja1!A196</f>
        <v>05446</v>
      </c>
      <c r="C199" s="67">
        <f>+Hoja1!K196</f>
        <v>544476.4</v>
      </c>
      <c r="D199" s="24">
        <f t="shared" si="6"/>
        <v>375.50096551724141</v>
      </c>
      <c r="E199" s="50">
        <f t="shared" si="7"/>
        <v>9.8399708520901025E-5</v>
      </c>
      <c r="F199" s="51"/>
    </row>
    <row r="200" spans="1:6" ht="15.75" customHeight="1" x14ac:dyDescent="0.25">
      <c r="A200" t="str">
        <f>+Hoja1!B197</f>
        <v>PATAGONIA ESTIBAJES S. A.</v>
      </c>
      <c r="B200" t="str">
        <f>+Hoja1!A197</f>
        <v>06109</v>
      </c>
      <c r="C200" s="67">
        <f>+Hoja1!K197</f>
        <v>102674042.63</v>
      </c>
      <c r="D200" s="24">
        <f t="shared" si="6"/>
        <v>70809.684572413797</v>
      </c>
      <c r="E200" s="50">
        <f t="shared" si="7"/>
        <v>1.8555617594177756E-2</v>
      </c>
      <c r="F200" s="51"/>
    </row>
    <row r="201" spans="1:6" ht="15.75" customHeight="1" x14ac:dyDescent="0.25">
      <c r="A201" t="str">
        <f>+Hoja1!B198</f>
        <v>PATUTO ADRIAN ALEJANDRO</v>
      </c>
      <c r="B201" t="str">
        <f>+Hoja1!A198</f>
        <v>09594</v>
      </c>
      <c r="C201" s="67">
        <f>+Hoja1!K198</f>
        <v>1676977.72</v>
      </c>
      <c r="D201" s="24">
        <f t="shared" si="6"/>
        <v>1156.5363586206897</v>
      </c>
      <c r="E201" s="50">
        <f t="shared" si="7"/>
        <v>3.030693687440726E-4</v>
      </c>
      <c r="F201" s="51"/>
    </row>
    <row r="202" spans="1:6" ht="15.75" customHeight="1" x14ac:dyDescent="0.25">
      <c r="A202" t="str">
        <f>+Hoja1!B199</f>
        <v>PEREZ RIVERA E HIJOS SRL</v>
      </c>
      <c r="B202" t="str">
        <f>+Hoja1!A199</f>
        <v>05838</v>
      </c>
      <c r="C202" s="67">
        <f>+Hoja1!K199</f>
        <v>546816.86</v>
      </c>
      <c r="D202" s="24">
        <f t="shared" si="6"/>
        <v>377.11507586206898</v>
      </c>
      <c r="E202" s="50">
        <f t="shared" si="7"/>
        <v>9.8822684763406348E-5</v>
      </c>
      <c r="F202" s="51"/>
    </row>
    <row r="203" spans="1:6" ht="15.75" customHeight="1" x14ac:dyDescent="0.25">
      <c r="A203" t="str">
        <f>+Hoja1!B200</f>
        <v>PESCE GRACIELA MARGARITA</v>
      </c>
      <c r="B203" t="str">
        <f>+Hoja1!A200</f>
        <v>00317</v>
      </c>
      <c r="C203" s="67">
        <f>+Hoja1!K200</f>
        <v>1277500</v>
      </c>
      <c r="D203" s="24">
        <f t="shared" si="6"/>
        <v>881.0344827586207</v>
      </c>
      <c r="E203" s="50">
        <f t="shared" si="7"/>
        <v>2.308743365836445E-4</v>
      </c>
      <c r="F203" s="51"/>
    </row>
    <row r="204" spans="1:6" ht="15.75" customHeight="1" x14ac:dyDescent="0.25">
      <c r="A204" t="str">
        <f>+Hoja1!B201</f>
        <v>PINTURERIA PLATERO JFJ S.A</v>
      </c>
      <c r="B204" t="str">
        <f>+Hoja1!A201</f>
        <v>08999</v>
      </c>
      <c r="C204" s="67">
        <f>+Hoja1!K201</f>
        <v>27218605.149999999</v>
      </c>
      <c r="D204" s="24">
        <f t="shared" si="6"/>
        <v>18771.451827586206</v>
      </c>
      <c r="E204" s="50">
        <f t="shared" si="7"/>
        <v>4.9190429798343788E-3</v>
      </c>
      <c r="F204" s="51"/>
    </row>
    <row r="205" spans="1:6" ht="15.75" customHeight="1" x14ac:dyDescent="0.25">
      <c r="A205" t="str">
        <f>+Hoja1!B202</f>
        <v>PIROTECNIA MBZ SA</v>
      </c>
      <c r="B205" t="str">
        <f>+Hoja1!A202</f>
        <v>05899</v>
      </c>
      <c r="C205" s="67">
        <f>+Hoja1!K202</f>
        <v>1926618.02</v>
      </c>
      <c r="D205" s="24">
        <f t="shared" si="6"/>
        <v>1328.7020827586207</v>
      </c>
      <c r="E205" s="50">
        <f t="shared" si="7"/>
        <v>3.4818525026817591E-4</v>
      </c>
      <c r="F205" s="51"/>
    </row>
    <row r="206" spans="1:6" ht="15.75" customHeight="1" x14ac:dyDescent="0.25">
      <c r="A206" t="str">
        <f>+Hoja1!B203</f>
        <v>PLUMIER S.R.L.</v>
      </c>
      <c r="B206" t="str">
        <f>+Hoja1!A203</f>
        <v>06957</v>
      </c>
      <c r="C206" s="67">
        <f>+Hoja1!K203</f>
        <v>5288342.3899999997</v>
      </c>
      <c r="D206" s="24">
        <f t="shared" si="6"/>
        <v>3647.1326827586204</v>
      </c>
      <c r="E206" s="50">
        <f t="shared" si="7"/>
        <v>9.55728016374493E-4</v>
      </c>
      <c r="F206" s="51"/>
    </row>
    <row r="207" spans="1:6" ht="15.75" customHeight="1" x14ac:dyDescent="0.25">
      <c r="A207" t="str">
        <f>+Hoja1!B204</f>
        <v>PRESTIGIO SA</v>
      </c>
      <c r="B207" t="str">
        <f>+Hoja1!A204</f>
        <v>07301</v>
      </c>
      <c r="C207" s="67">
        <f>+Hoja1!K204</f>
        <v>4760213.09</v>
      </c>
      <c r="D207" s="24">
        <f t="shared" si="6"/>
        <v>3282.9055793103448</v>
      </c>
      <c r="E207" s="50">
        <f t="shared" si="7"/>
        <v>8.6028261381646215E-4</v>
      </c>
      <c r="F207" s="51"/>
    </row>
    <row r="208" spans="1:6" ht="15.75" customHeight="1" x14ac:dyDescent="0.25">
      <c r="A208" t="str">
        <f>+Hoja1!B205</f>
        <v>PRODUCTOS PORCINOS SA</v>
      </c>
      <c r="B208" t="str">
        <f>+Hoja1!A205</f>
        <v>09074</v>
      </c>
      <c r="C208" s="67">
        <f>+Hoja1!K205</f>
        <v>1496673.58</v>
      </c>
      <c r="D208" s="24">
        <f t="shared" si="6"/>
        <v>1032.188675862069</v>
      </c>
      <c r="E208" s="50">
        <f t="shared" si="7"/>
        <v>2.7048416427770503E-4</v>
      </c>
      <c r="F208" s="51"/>
    </row>
    <row r="209" spans="1:6" ht="15.75" customHeight="1" x14ac:dyDescent="0.25">
      <c r="A209" t="str">
        <f>+Hoja1!B206</f>
        <v>PROYECTO ORION SRL</v>
      </c>
      <c r="B209" t="str">
        <f>+Hoja1!A206</f>
        <v>06777</v>
      </c>
      <c r="C209" s="67">
        <f>+Hoja1!K206</f>
        <v>515000.01</v>
      </c>
      <c r="D209" s="24">
        <f t="shared" si="6"/>
        <v>355.17242068965516</v>
      </c>
      <c r="E209" s="50">
        <f t="shared" si="7"/>
        <v>9.3072630645260493E-5</v>
      </c>
      <c r="F209" s="51"/>
    </row>
    <row r="210" spans="1:6" ht="15.75" customHeight="1" x14ac:dyDescent="0.25">
      <c r="A210" t="str">
        <f>+Hoja1!B207</f>
        <v>PUNTO TECNICO S.R.L.</v>
      </c>
      <c r="B210" t="str">
        <f>+Hoja1!A207</f>
        <v>05096</v>
      </c>
      <c r="C210" s="67">
        <f>+Hoja1!K207</f>
        <v>6507600</v>
      </c>
      <c r="D210" s="24">
        <f t="shared" si="6"/>
        <v>4488</v>
      </c>
      <c r="E210" s="50">
        <f t="shared" si="7"/>
        <v>1.1760765814103522E-3</v>
      </c>
      <c r="F210" s="51"/>
    </row>
    <row r="211" spans="1:6" ht="15.75" customHeight="1" x14ac:dyDescent="0.25">
      <c r="A211" t="str">
        <f>+Hoja1!B208</f>
        <v>QUIMICA INDUSTRIAL KUBO SA</v>
      </c>
      <c r="B211" t="str">
        <f>+Hoja1!A208</f>
        <v>03143</v>
      </c>
      <c r="C211" s="67">
        <f>+Hoja1!K208</f>
        <v>790258.26</v>
      </c>
      <c r="D211" s="24">
        <f t="shared" si="6"/>
        <v>545.0056965517241</v>
      </c>
      <c r="E211" s="50">
        <f t="shared" si="7"/>
        <v>1.4281827906633678E-4</v>
      </c>
      <c r="F211" s="51"/>
    </row>
    <row r="212" spans="1:6" ht="15.75" customHeight="1" x14ac:dyDescent="0.25">
      <c r="A212" t="str">
        <f>+Hoja1!B209</f>
        <v>QUINCI JUAN FRANCISCO</v>
      </c>
      <c r="B212" t="str">
        <f>+Hoja1!A209</f>
        <v>05412</v>
      </c>
      <c r="C212" s="67">
        <f>+Hoja1!K209</f>
        <v>722370</v>
      </c>
      <c r="D212" s="24">
        <f t="shared" si="6"/>
        <v>498.18620689655171</v>
      </c>
      <c r="E212" s="50">
        <f t="shared" si="7"/>
        <v>1.3054927163829924E-4</v>
      </c>
      <c r="F212" s="51"/>
    </row>
    <row r="213" spans="1:6" ht="15.75" customHeight="1" x14ac:dyDescent="0.25">
      <c r="A213" t="str">
        <f>+Hoja1!B210</f>
        <v>REMOLCADORES MAR DEL PLATA S.A. UNION TRANSITORIA</v>
      </c>
      <c r="B213" t="str">
        <f>+Hoja1!A210</f>
        <v>07569</v>
      </c>
      <c r="C213" s="67">
        <f>+Hoja1!K210</f>
        <v>17887188</v>
      </c>
      <c r="D213" s="24">
        <f t="shared" si="6"/>
        <v>12335.991724137932</v>
      </c>
      <c r="E213" s="50">
        <f t="shared" si="7"/>
        <v>3.2326361353009212E-3</v>
      </c>
      <c r="F213" s="51"/>
    </row>
    <row r="214" spans="1:6" ht="15.75" customHeight="1" x14ac:dyDescent="0.25">
      <c r="A214" t="str">
        <f>+Hoja1!B211</f>
        <v>REPARACIONES DON MARCOS SRL</v>
      </c>
      <c r="B214" t="str">
        <f>+Hoja1!A211</f>
        <v>07529</v>
      </c>
      <c r="C214" s="67">
        <f>+Hoja1!K211</f>
        <v>3360000</v>
      </c>
      <c r="D214" s="24">
        <f t="shared" si="6"/>
        <v>2317.2413793103447</v>
      </c>
      <c r="E214" s="50">
        <f t="shared" si="7"/>
        <v>6.0723113183643474E-4</v>
      </c>
      <c r="F214" s="51"/>
    </row>
    <row r="215" spans="1:6" ht="15.75" customHeight="1" x14ac:dyDescent="0.25">
      <c r="A215" t="str">
        <f>+Hoja1!B212</f>
        <v>RESISTENCIAS MDP S.R.L.</v>
      </c>
      <c r="B215" t="str">
        <f>+Hoja1!A212</f>
        <v>05019</v>
      </c>
      <c r="C215" s="67">
        <f>+Hoja1!K212</f>
        <v>5106338.68</v>
      </c>
      <c r="D215" s="24">
        <f t="shared" si="6"/>
        <v>3521.6128827586203</v>
      </c>
      <c r="E215" s="50">
        <f t="shared" si="7"/>
        <v>9.228356595823114E-4</v>
      </c>
      <c r="F215" s="51"/>
    </row>
    <row r="216" spans="1:6" ht="15.75" customHeight="1" x14ac:dyDescent="0.25">
      <c r="A216" t="str">
        <f>+Hoja1!B213</f>
        <v>RICARTE PAMELA GISELE</v>
      </c>
      <c r="B216" t="str">
        <f>+Hoja1!A213</f>
        <v>06641</v>
      </c>
      <c r="C216" s="67">
        <f>+Hoja1!K213</f>
        <v>25545588.899999999</v>
      </c>
      <c r="D216" s="24">
        <f t="shared" si="6"/>
        <v>17617.647517241377</v>
      </c>
      <c r="E216" s="50">
        <f t="shared" si="7"/>
        <v>4.6166895420164476E-3</v>
      </c>
      <c r="F216" s="51"/>
    </row>
    <row r="217" spans="1:6" ht="15.75" customHeight="1" x14ac:dyDescent="0.25">
      <c r="A217" t="str">
        <f>+Hoja1!B214</f>
        <v>RIVERA LUIS GUILLERMO</v>
      </c>
      <c r="B217" t="str">
        <f>+Hoja1!A214</f>
        <v>06400</v>
      </c>
      <c r="C217" s="67">
        <f>+Hoja1!K214</f>
        <v>186699.99</v>
      </c>
      <c r="D217" s="24">
        <f t="shared" si="6"/>
        <v>128.75861379310345</v>
      </c>
      <c r="E217" s="50">
        <f t="shared" si="7"/>
        <v>3.3741085190937815E-5</v>
      </c>
      <c r="F217" s="51"/>
    </row>
    <row r="218" spans="1:6" ht="15.75" customHeight="1" x14ac:dyDescent="0.25">
      <c r="A218" t="str">
        <f>+Hoja1!B215</f>
        <v>RIZZARDI PABLO ANGEL</v>
      </c>
      <c r="B218" t="str">
        <f>+Hoja1!A215</f>
        <v>05903</v>
      </c>
      <c r="C218" s="67">
        <f>+Hoja1!K215</f>
        <v>146410</v>
      </c>
      <c r="D218" s="24">
        <f t="shared" si="6"/>
        <v>100.97241379310344</v>
      </c>
      <c r="E218" s="50">
        <f t="shared" si="7"/>
        <v>2.6459735122670363E-5</v>
      </c>
      <c r="F218" s="51"/>
    </row>
    <row r="219" spans="1:6" ht="15.75" customHeight="1" x14ac:dyDescent="0.25">
      <c r="A219" t="str">
        <f>+Hoja1!B216</f>
        <v>RODINIA S.A.</v>
      </c>
      <c r="B219" t="str">
        <f>+Hoja1!A216</f>
        <v>09550</v>
      </c>
      <c r="C219" s="67">
        <f>+Hoja1!K216</f>
        <v>8223005.1200000001</v>
      </c>
      <c r="D219" s="24">
        <f t="shared" si="6"/>
        <v>5671.0380137931033</v>
      </c>
      <c r="E219" s="50">
        <f t="shared" si="7"/>
        <v>1.486090686343571E-3</v>
      </c>
      <c r="F219" s="51"/>
    </row>
    <row r="220" spans="1:6" ht="15.75" customHeight="1" x14ac:dyDescent="0.25">
      <c r="A220" t="str">
        <f>+Hoja1!B217</f>
        <v>RODRIGUEZ ALEJANDRO DANIEL</v>
      </c>
      <c r="B220" t="str">
        <f>+Hoja1!A217</f>
        <v>09616</v>
      </c>
      <c r="C220" s="67">
        <f>+Hoja1!K217</f>
        <v>580800</v>
      </c>
      <c r="D220" s="24">
        <f t="shared" si="6"/>
        <v>400.55172413793105</v>
      </c>
      <c r="E220" s="50">
        <f t="shared" si="7"/>
        <v>1.0496423850315517E-4</v>
      </c>
      <c r="F220" s="51"/>
    </row>
    <row r="221" spans="1:6" ht="15.75" customHeight="1" x14ac:dyDescent="0.25">
      <c r="A221" t="str">
        <f>+Hoja1!B218</f>
        <v>ROTH SRL</v>
      </c>
      <c r="B221" t="str">
        <f>+Hoja1!A218</f>
        <v>06364</v>
      </c>
      <c r="C221" s="67">
        <f>+Hoja1!K218</f>
        <v>1600132.29</v>
      </c>
      <c r="D221" s="24">
        <f t="shared" si="6"/>
        <v>1103.5395103448277</v>
      </c>
      <c r="E221" s="50">
        <f t="shared" si="7"/>
        <v>2.891815897454543E-4</v>
      </c>
      <c r="F221" s="51"/>
    </row>
    <row r="222" spans="1:6" ht="15.75" customHeight="1" x14ac:dyDescent="0.25">
      <c r="A222" t="str">
        <f>+Hoja1!B219</f>
        <v>S&amp;I CONSULTORA MARITIMA S.A</v>
      </c>
      <c r="B222" t="str">
        <f>+Hoja1!A219</f>
        <v>09140</v>
      </c>
      <c r="C222" s="67">
        <f>+Hoja1!K219</f>
        <v>16855300</v>
      </c>
      <c r="D222" s="24">
        <f t="shared" si="6"/>
        <v>11624.344827586207</v>
      </c>
      <c r="E222" s="50">
        <f t="shared" si="7"/>
        <v>3.0461496715603153E-3</v>
      </c>
      <c r="F222" s="51"/>
    </row>
    <row r="223" spans="1:6" ht="15.75" customHeight="1" x14ac:dyDescent="0.25">
      <c r="A223" t="str">
        <f>+Hoja1!B220</f>
        <v>SALAS OSCAR LISANDRO</v>
      </c>
      <c r="B223" t="str">
        <f>+Hoja1!A220</f>
        <v>09064</v>
      </c>
      <c r="C223" s="67">
        <f>+Hoja1!K220</f>
        <v>1527050</v>
      </c>
      <c r="D223" s="24">
        <f t="shared" si="6"/>
        <v>1053.1379310344828</v>
      </c>
      <c r="E223" s="50">
        <f t="shared" si="7"/>
        <v>2.7597389877107969E-4</v>
      </c>
      <c r="F223" s="51"/>
    </row>
    <row r="224" spans="1:6" ht="15.75" customHeight="1" x14ac:dyDescent="0.25">
      <c r="A224" t="str">
        <f>+Hoja1!B221</f>
        <v>SAMLOG S.R.L.</v>
      </c>
      <c r="B224" t="str">
        <f>+Hoja1!A221</f>
        <v>07655</v>
      </c>
      <c r="C224" s="67">
        <f>+Hoja1!K221</f>
        <v>1754539.78</v>
      </c>
      <c r="D224" s="24">
        <f t="shared" si="6"/>
        <v>1210.0274344827587</v>
      </c>
      <c r="E224" s="50">
        <f t="shared" si="7"/>
        <v>3.1708665966114565E-4</v>
      </c>
      <c r="F224" s="51"/>
    </row>
    <row r="225" spans="1:6" ht="15.75" customHeight="1" x14ac:dyDescent="0.25">
      <c r="A225" t="str">
        <f>+Hoja1!B222</f>
        <v>SAMULAK PAULO ARMANDO</v>
      </c>
      <c r="B225" t="str">
        <f>+Hoja1!A222</f>
        <v>08959</v>
      </c>
      <c r="C225" s="67">
        <f>+Hoja1!K222</f>
        <v>9029998</v>
      </c>
      <c r="D225" s="24">
        <f t="shared" si="6"/>
        <v>6227.5848275862072</v>
      </c>
      <c r="E225" s="50">
        <f t="shared" si="7"/>
        <v>1.6319333053633164E-3</v>
      </c>
      <c r="F225" s="51"/>
    </row>
    <row r="226" spans="1:6" ht="15.75" customHeight="1" x14ac:dyDescent="0.25">
      <c r="A226" t="str">
        <f>+Hoja1!B223</f>
        <v>SANKO ELECTRONICA S.R.L.</v>
      </c>
      <c r="B226" t="str">
        <f>+Hoja1!A223</f>
        <v>00061</v>
      </c>
      <c r="C226" s="67">
        <f>+Hoja1!K223</f>
        <v>4392801.55</v>
      </c>
      <c r="D226" s="24">
        <f t="shared" si="6"/>
        <v>3029.5183103448276</v>
      </c>
      <c r="E226" s="50">
        <f t="shared" si="7"/>
        <v>7.9388269557718611E-4</v>
      </c>
      <c r="F226" s="51"/>
    </row>
    <row r="227" spans="1:6" ht="15.75" customHeight="1" x14ac:dyDescent="0.25">
      <c r="A227" t="str">
        <f>+Hoja1!B224</f>
        <v>SAVE SRL</v>
      </c>
      <c r="B227" t="str">
        <f>+Hoja1!A224</f>
        <v>07225</v>
      </c>
      <c r="C227" s="67">
        <f>+Hoja1!K224</f>
        <v>3702160</v>
      </c>
      <c r="D227" s="24">
        <f t="shared" si="6"/>
        <v>2553.2137931034481</v>
      </c>
      <c r="E227" s="50">
        <f t="shared" si="7"/>
        <v>6.6906750209511177E-4</v>
      </c>
      <c r="F227" s="51"/>
    </row>
    <row r="228" spans="1:6" ht="15.75" customHeight="1" x14ac:dyDescent="0.25">
      <c r="A228" t="str">
        <f>+Hoja1!B225</f>
        <v>SCANIA ARGENTINA SAU</v>
      </c>
      <c r="B228" t="str">
        <f>+Hoja1!A225</f>
        <v>03860</v>
      </c>
      <c r="C228" s="67">
        <f>+Hoja1!K225</f>
        <v>3978739.91</v>
      </c>
      <c r="D228" s="24">
        <f t="shared" si="6"/>
        <v>2743.9585586206899</v>
      </c>
      <c r="E228" s="50">
        <f t="shared" si="7"/>
        <v>7.1905200560479015E-4</v>
      </c>
      <c r="F228" s="51"/>
    </row>
    <row r="229" spans="1:6" ht="15.75" customHeight="1" x14ac:dyDescent="0.25">
      <c r="A229" t="str">
        <f>+Hoja1!B226</f>
        <v>SEA FOOD MEDIA GROUP LTD</v>
      </c>
      <c r="B229" t="str">
        <f>+Hoja1!A226</f>
        <v>08770</v>
      </c>
      <c r="C229" s="67">
        <f>+Hoja1!K226</f>
        <v>1074310</v>
      </c>
      <c r="D229" s="24">
        <f t="shared" si="6"/>
        <v>740.90344827586205</v>
      </c>
      <c r="E229" s="50">
        <f t="shared" si="7"/>
        <v>1.9415311822714294E-4</v>
      </c>
      <c r="F229" s="51"/>
    </row>
    <row r="230" spans="1:6" ht="15.75" customHeight="1" x14ac:dyDescent="0.25">
      <c r="A230" t="str">
        <f>+Hoja1!B227</f>
        <v>SEMLOP S.A.</v>
      </c>
      <c r="B230" t="str">
        <f>+Hoja1!A227</f>
        <v>09409</v>
      </c>
      <c r="C230" s="67">
        <f>+Hoja1!K227</f>
        <v>1271600</v>
      </c>
      <c r="D230" s="24">
        <f t="shared" si="6"/>
        <v>876.9655172413793</v>
      </c>
      <c r="E230" s="50">
        <f t="shared" si="7"/>
        <v>2.2980806763190788E-4</v>
      </c>
      <c r="F230" s="51"/>
    </row>
    <row r="231" spans="1:6" ht="15.75" customHeight="1" x14ac:dyDescent="0.25">
      <c r="A231" t="str">
        <f>+Hoja1!B228</f>
        <v>SER AMBIENT SRL</v>
      </c>
      <c r="B231" t="str">
        <f>+Hoja1!A228</f>
        <v>05848</v>
      </c>
      <c r="C231" s="67">
        <f>+Hoja1!K228</f>
        <v>139000.34</v>
      </c>
      <c r="D231" s="24">
        <f t="shared" si="6"/>
        <v>95.862303448275853</v>
      </c>
      <c r="E231" s="50">
        <f t="shared" si="7"/>
        <v>2.5120635054717041E-5</v>
      </c>
      <c r="F231" s="51"/>
    </row>
    <row r="232" spans="1:6" ht="15.75" customHeight="1" x14ac:dyDescent="0.25">
      <c r="A232" t="str">
        <f>+Hoja1!B229</f>
        <v>SERRANO LEONARDO DAVID</v>
      </c>
      <c r="B232" t="str">
        <f>+Hoja1!A229</f>
        <v>08736</v>
      </c>
      <c r="C232" s="67">
        <f>+Hoja1!K229</f>
        <v>24647700</v>
      </c>
      <c r="D232" s="24">
        <f t="shared" si="6"/>
        <v>16998.413793103449</v>
      </c>
      <c r="E232" s="50">
        <f t="shared" si="7"/>
        <v>4.4544198714776473E-3</v>
      </c>
      <c r="F232" s="51"/>
    </row>
    <row r="233" spans="1:6" ht="15.75" customHeight="1" x14ac:dyDescent="0.25">
      <c r="A233" t="str">
        <f>+Hoja1!B230</f>
        <v>SETEIN PRODUCTOS INDUSTRIALES S.A.</v>
      </c>
      <c r="B233" t="str">
        <f>+Hoja1!A230</f>
        <v>06636</v>
      </c>
      <c r="C233" s="67">
        <f>+Hoja1!K230</f>
        <v>3476817.02</v>
      </c>
      <c r="D233" s="24">
        <f t="shared" si="6"/>
        <v>2397.8048413793103</v>
      </c>
      <c r="E233" s="50">
        <f t="shared" si="7"/>
        <v>6.2834271852463708E-4</v>
      </c>
      <c r="F233" s="51"/>
    </row>
    <row r="234" spans="1:6" ht="15.75" customHeight="1" x14ac:dyDescent="0.25">
      <c r="A234" t="str">
        <f>+Hoja1!B231</f>
        <v>SEYCO S.A.C.I.F.</v>
      </c>
      <c r="B234" t="str">
        <f>+Hoja1!A231</f>
        <v>00181</v>
      </c>
      <c r="C234" s="67">
        <f>+Hoja1!K231</f>
        <v>807920.64000000001</v>
      </c>
      <c r="D234" s="24">
        <f t="shared" si="6"/>
        <v>557.18664827586213</v>
      </c>
      <c r="E234" s="50">
        <f t="shared" si="7"/>
        <v>1.4601028710155262E-4</v>
      </c>
      <c r="F234" s="51"/>
    </row>
    <row r="235" spans="1:6" ht="15.75" customHeight="1" x14ac:dyDescent="0.25">
      <c r="A235" t="str">
        <f>+Hoja1!B232</f>
        <v>SIEBEN SANTIAGO NICOLAS</v>
      </c>
      <c r="B235" t="str">
        <f>+Hoja1!A232</f>
        <v>09102</v>
      </c>
      <c r="C235" s="67">
        <f>+Hoja1!K232</f>
        <v>48800000</v>
      </c>
      <c r="D235" s="24">
        <f t="shared" si="6"/>
        <v>33655.172413793101</v>
      </c>
      <c r="E235" s="50">
        <f t="shared" si="7"/>
        <v>8.8193092957196476E-3</v>
      </c>
      <c r="F235" s="51"/>
    </row>
    <row r="236" spans="1:6" ht="15.75" customHeight="1" x14ac:dyDescent="0.25">
      <c r="A236" t="str">
        <f>+Hoja1!B233</f>
        <v>SIGEVAL SA</v>
      </c>
      <c r="B236" t="str">
        <f>+Hoja1!A233</f>
        <v>08702</v>
      </c>
      <c r="C236" s="67">
        <f>+Hoja1!K233</f>
        <v>8115779.6100000003</v>
      </c>
      <c r="D236" s="24">
        <f t="shared" si="6"/>
        <v>5597.089386206897</v>
      </c>
      <c r="E236" s="50">
        <f t="shared" si="7"/>
        <v>1.466712511403381E-3</v>
      </c>
      <c r="F236" s="51"/>
    </row>
    <row r="237" spans="1:6" ht="15.75" customHeight="1" x14ac:dyDescent="0.25">
      <c r="A237" t="str">
        <f>+Hoja1!B234</f>
        <v>SIMONAZZI HUGO OMAR</v>
      </c>
      <c r="B237" t="str">
        <f>+Hoja1!A234</f>
        <v>01127</v>
      </c>
      <c r="C237" s="67">
        <f>+Hoja1!K234</f>
        <v>16395500</v>
      </c>
      <c r="D237" s="24">
        <f t="shared" si="6"/>
        <v>11307.241379310344</v>
      </c>
      <c r="E237" s="50">
        <f t="shared" si="7"/>
        <v>2.9630529827453173E-3</v>
      </c>
      <c r="F237" s="51"/>
    </row>
    <row r="238" spans="1:6" ht="15.75" customHeight="1" x14ac:dyDescent="0.25">
      <c r="A238" t="str">
        <f>+Hoja1!B235</f>
        <v>SINFID SA</v>
      </c>
      <c r="B238" t="str">
        <f>+Hoja1!A235</f>
        <v>06212</v>
      </c>
      <c r="C238" s="67">
        <f>+Hoja1!K235</f>
        <v>2998380</v>
      </c>
      <c r="D238" s="24">
        <f t="shared" si="6"/>
        <v>2067.8482758620689</v>
      </c>
      <c r="E238" s="50">
        <f t="shared" si="7"/>
        <v>5.4187788127253852E-4</v>
      </c>
      <c r="F238" s="51"/>
    </row>
    <row r="239" spans="1:6" ht="15.75" customHeight="1" x14ac:dyDescent="0.25">
      <c r="A239" t="str">
        <f>+Hoja1!B236</f>
        <v>SIRO HUGO CESAR</v>
      </c>
      <c r="B239" t="str">
        <f>+Hoja1!A236</f>
        <v>07987</v>
      </c>
      <c r="C239" s="67">
        <f>+Hoja1!K236</f>
        <v>33011550</v>
      </c>
      <c r="D239" s="24">
        <f t="shared" si="6"/>
        <v>22766.586206896551</v>
      </c>
      <c r="E239" s="50">
        <f t="shared" si="7"/>
        <v>5.9659645446949582E-3</v>
      </c>
      <c r="F239" s="51"/>
    </row>
    <row r="240" spans="1:6" ht="15.75" customHeight="1" x14ac:dyDescent="0.25">
      <c r="A240" t="str">
        <f>+Hoja1!B237</f>
        <v>SKV GROUP S.L.</v>
      </c>
      <c r="B240" t="str">
        <f>+Hoja1!A237</f>
        <v>08700</v>
      </c>
      <c r="C240" s="67">
        <f>+Hoja1!K237</f>
        <v>25876207.34</v>
      </c>
      <c r="D240" s="24">
        <f t="shared" si="6"/>
        <v>17845.660234482759</v>
      </c>
      <c r="E240" s="50">
        <f t="shared" si="7"/>
        <v>4.6764400805662095E-3</v>
      </c>
      <c r="F240" s="51"/>
    </row>
    <row r="241" spans="1:6" ht="15.75" customHeight="1" x14ac:dyDescent="0.25">
      <c r="A241" t="str">
        <f>+Hoja1!B238</f>
        <v>SOLARI JOSE JESUS</v>
      </c>
      <c r="B241" t="str">
        <f>+Hoja1!A238</f>
        <v>09434</v>
      </c>
      <c r="C241" s="67">
        <f>+Hoja1!K238</f>
        <v>3618300</v>
      </c>
      <c r="D241" s="24">
        <f t="shared" si="6"/>
        <v>2495.3793103448274</v>
      </c>
      <c r="E241" s="50">
        <f t="shared" si="7"/>
        <v>6.5391202509636074E-4</v>
      </c>
      <c r="F241" s="51"/>
    </row>
    <row r="242" spans="1:6" ht="15.75" customHeight="1" x14ac:dyDescent="0.25">
      <c r="A242" t="str">
        <f>+Hoja1!B239</f>
        <v>STAR - FISH S.A.</v>
      </c>
      <c r="B242" t="str">
        <f>+Hoja1!A239</f>
        <v>08379</v>
      </c>
      <c r="C242" s="67">
        <f>+Hoja1!K239</f>
        <v>1331</v>
      </c>
      <c r="D242" s="24">
        <f t="shared" si="6"/>
        <v>0.91793103448275859</v>
      </c>
      <c r="E242" s="50">
        <f t="shared" si="7"/>
        <v>2.4054304656973055E-7</v>
      </c>
      <c r="F242" s="51"/>
    </row>
    <row r="243" spans="1:6" ht="15.75" customHeight="1" x14ac:dyDescent="0.25">
      <c r="A243" t="str">
        <f>+Hoja1!B240</f>
        <v>STELLA DANIEL GENARO</v>
      </c>
      <c r="B243" t="str">
        <f>+Hoja1!A240</f>
        <v>07426</v>
      </c>
      <c r="C243" s="67">
        <f>+Hoja1!K240</f>
        <v>411400</v>
      </c>
      <c r="D243" s="24">
        <f t="shared" si="6"/>
        <v>283.72413793103448</v>
      </c>
      <c r="E243" s="50">
        <f t="shared" si="7"/>
        <v>7.4349668939734906E-5</v>
      </c>
      <c r="F243" s="51"/>
    </row>
    <row r="244" spans="1:6" ht="15.75" customHeight="1" x14ac:dyDescent="0.25">
      <c r="A244" t="str">
        <f>+Hoja1!B241</f>
        <v>SUCESION DE BUONO FILIPPO</v>
      </c>
      <c r="B244" t="str">
        <f>+Hoja1!A241</f>
        <v>06956</v>
      </c>
      <c r="C244" s="67">
        <f>+Hoja1!K241</f>
        <v>1929495.57</v>
      </c>
      <c r="D244" s="24">
        <f t="shared" si="6"/>
        <v>1330.6866</v>
      </c>
      <c r="E244" s="50">
        <f t="shared" si="7"/>
        <v>3.4870529132276397E-4</v>
      </c>
      <c r="F244" s="51"/>
    </row>
    <row r="245" spans="1:6" ht="15.75" customHeight="1" x14ac:dyDescent="0.25">
      <c r="A245" t="str">
        <f>+Hoja1!B242</f>
        <v>SULE FERNANDO JOSE</v>
      </c>
      <c r="B245" t="str">
        <f>+Hoja1!A242</f>
        <v>02934</v>
      </c>
      <c r="C245" s="67">
        <f>+Hoja1!K242</f>
        <v>12838737.470000001</v>
      </c>
      <c r="D245" s="24">
        <f t="shared" si="6"/>
        <v>8854.3017034482764</v>
      </c>
      <c r="E245" s="50">
        <f t="shared" si="7"/>
        <v>2.3202622277556386E-3</v>
      </c>
      <c r="F245" s="51"/>
    </row>
    <row r="246" spans="1:6" ht="15.75" customHeight="1" x14ac:dyDescent="0.25">
      <c r="A246" t="str">
        <f>+Hoja1!B243</f>
        <v>TAGLIARINI RUBEN OMAR</v>
      </c>
      <c r="B246" t="str">
        <f>+Hoja1!A243</f>
        <v>03151</v>
      </c>
      <c r="C246" s="67">
        <f>+Hoja1!K243</f>
        <v>5236880</v>
      </c>
      <c r="D246" s="24">
        <f t="shared" si="6"/>
        <v>3611.6413793103447</v>
      </c>
      <c r="E246" s="50">
        <f t="shared" si="7"/>
        <v>9.4642755050344904E-4</v>
      </c>
      <c r="F246" s="51"/>
    </row>
    <row r="247" spans="1:6" ht="15.75" customHeight="1" x14ac:dyDescent="0.25">
      <c r="A247" t="str">
        <f>+Hoja1!B244</f>
        <v>TALLER MCM S.R.L</v>
      </c>
      <c r="B247" t="str">
        <f>+Hoja1!A244</f>
        <v>07555</v>
      </c>
      <c r="C247" s="67">
        <f>+Hoja1!K244</f>
        <v>16443900</v>
      </c>
      <c r="D247" s="24">
        <f t="shared" si="6"/>
        <v>11340.620689655172</v>
      </c>
      <c r="E247" s="50">
        <f t="shared" si="7"/>
        <v>2.9718000026205805E-3</v>
      </c>
      <c r="F247" s="51"/>
    </row>
    <row r="248" spans="1:6" ht="15.75" customHeight="1" x14ac:dyDescent="0.25">
      <c r="A248" t="str">
        <f>+Hoja1!B245</f>
        <v>TALLERES CARMONA S.A.</v>
      </c>
      <c r="B248" t="str">
        <f>+Hoja1!A245</f>
        <v>00145</v>
      </c>
      <c r="C248" s="67">
        <f>+Hoja1!K245</f>
        <v>1262028.42</v>
      </c>
      <c r="D248" s="24">
        <f t="shared" si="6"/>
        <v>870.36442758620683</v>
      </c>
      <c r="E248" s="50">
        <f t="shared" si="7"/>
        <v>2.2807825770427008E-4</v>
      </c>
      <c r="F248" s="51"/>
    </row>
    <row r="249" spans="1:6" ht="15.75" customHeight="1" x14ac:dyDescent="0.25">
      <c r="A249" t="str">
        <f>+Hoja1!B246</f>
        <v>TALLONE ALEJANDRO ULISES</v>
      </c>
      <c r="B249" t="str">
        <f>+Hoja1!A246</f>
        <v>08747</v>
      </c>
      <c r="C249" s="67">
        <f>+Hoja1!K246</f>
        <v>195817.46</v>
      </c>
      <c r="D249" s="24">
        <f t="shared" si="6"/>
        <v>135.04652413793102</v>
      </c>
      <c r="E249" s="50">
        <f t="shared" si="7"/>
        <v>3.5388826746766601E-5</v>
      </c>
      <c r="F249" s="51"/>
    </row>
    <row r="250" spans="1:6" ht="15.75" customHeight="1" x14ac:dyDescent="0.25">
      <c r="A250" t="str">
        <f>+Hoja1!B247</f>
        <v>TECH SAFE S.A.</v>
      </c>
      <c r="B250" t="str">
        <f>+Hoja1!A247</f>
        <v>09462</v>
      </c>
      <c r="C250" s="67">
        <f>+Hoja1!K247</f>
        <v>4471155.84</v>
      </c>
      <c r="D250" s="24">
        <f t="shared" si="6"/>
        <v>3083.5557517241377</v>
      </c>
      <c r="E250" s="50">
        <f t="shared" si="7"/>
        <v>8.0804316111318013E-4</v>
      </c>
      <c r="F250" s="51"/>
    </row>
    <row r="251" spans="1:6" ht="15.75" customHeight="1" x14ac:dyDescent="0.25">
      <c r="A251" t="str">
        <f>+Hoja1!B248</f>
        <v>TECNO LUBE S.A.</v>
      </c>
      <c r="B251" t="str">
        <f>+Hoja1!A248</f>
        <v>07095</v>
      </c>
      <c r="C251" s="67">
        <f>+Hoja1!K248</f>
        <v>220850</v>
      </c>
      <c r="D251" s="24">
        <f t="shared" si="6"/>
        <v>152.31034482758622</v>
      </c>
      <c r="E251" s="50">
        <f t="shared" si="7"/>
        <v>3.9912796269665669E-5</v>
      </c>
      <c r="F251" s="51"/>
    </row>
    <row r="252" spans="1:6" ht="15.75" customHeight="1" x14ac:dyDescent="0.25">
      <c r="A252" t="str">
        <f>+Hoja1!B249</f>
        <v>TECNOPESCA ARGENTINA SA</v>
      </c>
      <c r="B252" t="str">
        <f>+Hoja1!A249</f>
        <v>02650</v>
      </c>
      <c r="C252" s="67">
        <f>+Hoja1!K249</f>
        <v>5454380.2699999996</v>
      </c>
      <c r="D252" s="24">
        <f t="shared" si="6"/>
        <v>3761.6415655172409</v>
      </c>
      <c r="E252" s="50">
        <f t="shared" si="7"/>
        <v>9.8573497167214839E-4</v>
      </c>
      <c r="F252" s="51"/>
    </row>
    <row r="253" spans="1:6" ht="15.75" customHeight="1" x14ac:dyDescent="0.25">
      <c r="A253" t="str">
        <f>+Hoja1!B250</f>
        <v>TECVOL S.R.L.</v>
      </c>
      <c r="B253" t="str">
        <f>+Hoja1!A250</f>
        <v>08667</v>
      </c>
      <c r="C253" s="67">
        <f>+Hoja1!K250</f>
        <v>18017060.289999999</v>
      </c>
      <c r="D253" s="24">
        <f t="shared" si="6"/>
        <v>12425.558820689654</v>
      </c>
      <c r="E253" s="50">
        <f t="shared" si="7"/>
        <v>3.2561071167446381E-3</v>
      </c>
      <c r="F253" s="51"/>
    </row>
    <row r="254" spans="1:6" ht="15.75" customHeight="1" x14ac:dyDescent="0.25">
      <c r="A254" t="str">
        <f>+Hoja1!B251</f>
        <v>TELECOM ARGENTINA SA</v>
      </c>
      <c r="B254" t="str">
        <f>+Hoja1!A251</f>
        <v>03695</v>
      </c>
      <c r="C254" s="67">
        <f>+Hoja1!K251</f>
        <v>1445042.13</v>
      </c>
      <c r="D254" s="24">
        <f t="shared" si="6"/>
        <v>996.58077931034472</v>
      </c>
      <c r="E254" s="50">
        <f t="shared" si="7"/>
        <v>2.6115314528310491E-4</v>
      </c>
      <c r="F254" s="51"/>
    </row>
    <row r="255" spans="1:6" ht="15.75" customHeight="1" x14ac:dyDescent="0.25">
      <c r="A255" t="str">
        <f>+Hoja1!B252</f>
        <v>TELMEX ARGENTINA SA</v>
      </c>
      <c r="B255" t="str">
        <f>+Hoja1!A252</f>
        <v>05683</v>
      </c>
      <c r="C255" s="67">
        <f>+Hoja1!K252</f>
        <v>2147168.08</v>
      </c>
      <c r="D255" s="24">
        <f t="shared" si="6"/>
        <v>1480.8055724137932</v>
      </c>
      <c r="E255" s="50">
        <f t="shared" si="7"/>
        <v>3.8804384031591215E-4</v>
      </c>
      <c r="F255" s="51"/>
    </row>
    <row r="256" spans="1:6" ht="15.75" customHeight="1" x14ac:dyDescent="0.25">
      <c r="A256" t="str">
        <f>+Hoja1!B253</f>
        <v>THEISEN SEBASTIAN</v>
      </c>
      <c r="B256" t="str">
        <f>+Hoja1!A253</f>
        <v>09167</v>
      </c>
      <c r="C256" s="67">
        <f>+Hoja1!K253</f>
        <v>420000</v>
      </c>
      <c r="D256" s="24">
        <f t="shared" si="6"/>
        <v>289.65517241379308</v>
      </c>
      <c r="E256" s="50">
        <f t="shared" si="7"/>
        <v>7.5903891479554343E-5</v>
      </c>
      <c r="F256" s="51"/>
    </row>
    <row r="257" spans="1:6" ht="15.75" customHeight="1" x14ac:dyDescent="0.25">
      <c r="A257" t="str">
        <f>+Hoja1!B254</f>
        <v>TODO BOMBAS S. R. L.</v>
      </c>
      <c r="B257" t="str">
        <f>+Hoja1!A254</f>
        <v>08953</v>
      </c>
      <c r="C257" s="67">
        <f>+Hoja1!K254</f>
        <v>657417.41</v>
      </c>
      <c r="D257" s="24">
        <f t="shared" si="6"/>
        <v>453.39131724137934</v>
      </c>
      <c r="E257" s="50">
        <f t="shared" si="7"/>
        <v>1.1881080891764213E-4</v>
      </c>
      <c r="F257" s="51"/>
    </row>
    <row r="258" spans="1:6" ht="15.75" customHeight="1" x14ac:dyDescent="0.25">
      <c r="A258" t="str">
        <f>+Hoja1!B255</f>
        <v>TODO PARA LA GASTRONOMIA S.A.</v>
      </c>
      <c r="B258" t="str">
        <f>+Hoja1!A255</f>
        <v>04016</v>
      </c>
      <c r="C258" s="67">
        <f>+Hoja1!K255</f>
        <v>4795203.09</v>
      </c>
      <c r="D258" s="24">
        <f t="shared" si="6"/>
        <v>3307.0366137931032</v>
      </c>
      <c r="E258" s="50">
        <f t="shared" si="7"/>
        <v>8.6660613087091352E-4</v>
      </c>
      <c r="F258" s="51"/>
    </row>
    <row r="259" spans="1:6" ht="15.75" customHeight="1" x14ac:dyDescent="0.25">
      <c r="A259" t="str">
        <f>+Hoja1!B256</f>
        <v>TOLOSA S.A.</v>
      </c>
      <c r="B259" t="str">
        <f>+Hoja1!A256</f>
        <v>06103</v>
      </c>
      <c r="C259" s="67">
        <f>+Hoja1!K256</f>
        <v>6159393.9900000002</v>
      </c>
      <c r="D259" s="24">
        <f t="shared" si="6"/>
        <v>4247.8579241379311</v>
      </c>
      <c r="E259" s="50">
        <f t="shared" si="7"/>
        <v>1.1131475547542363E-3</v>
      </c>
      <c r="F259" s="51"/>
    </row>
    <row r="260" spans="1:6" ht="15.75" customHeight="1" x14ac:dyDescent="0.25">
      <c r="A260" t="str">
        <f>+Hoja1!B257</f>
        <v>TRANSMISIONES LORENZANI S.R.L</v>
      </c>
      <c r="B260" t="str">
        <f>+Hoja1!A257</f>
        <v>08757</v>
      </c>
      <c r="C260" s="67">
        <f>+Hoja1!K257</f>
        <v>1955118</v>
      </c>
      <c r="D260" s="24">
        <f t="shared" si="6"/>
        <v>1348.3572413793104</v>
      </c>
      <c r="E260" s="50">
        <f t="shared" si="7"/>
        <v>3.5333586786124606E-4</v>
      </c>
      <c r="F260" s="51"/>
    </row>
    <row r="261" spans="1:6" ht="15.75" customHeight="1" x14ac:dyDescent="0.25">
      <c r="A261" t="str">
        <f>+Hoja1!B258</f>
        <v>TRANSPORTES SCORDINA SA</v>
      </c>
      <c r="B261" t="str">
        <f>+Hoja1!A258</f>
        <v>00507</v>
      </c>
      <c r="C261" s="67">
        <f>+Hoja1!K258</f>
        <v>2595584.67</v>
      </c>
      <c r="D261" s="24">
        <f t="shared" si="6"/>
        <v>1790.0583931034482</v>
      </c>
      <c r="E261" s="50">
        <f t="shared" si="7"/>
        <v>4.6908327885160687E-4</v>
      </c>
      <c r="F261" s="51"/>
    </row>
    <row r="262" spans="1:6" ht="15.75" customHeight="1" x14ac:dyDescent="0.25">
      <c r="A262" t="str">
        <f>+Hoja1!B259</f>
        <v>TREMBLAY S.R.L.</v>
      </c>
      <c r="B262" t="str">
        <f>+Hoja1!A259</f>
        <v>06375</v>
      </c>
      <c r="C262" s="67">
        <f>+Hoja1!K259</f>
        <v>4290037.6900000004</v>
      </c>
      <c r="D262" s="24">
        <f t="shared" ref="D262:D278" si="8">+C262/$D$3</f>
        <v>2958.646682758621</v>
      </c>
      <c r="E262" s="50">
        <f t="shared" ref="E262:E278" si="9">+D262/$D$279</f>
        <v>7.7531084586894778E-4</v>
      </c>
      <c r="F262" s="51"/>
    </row>
    <row r="263" spans="1:6" ht="15.75" customHeight="1" x14ac:dyDescent="0.25">
      <c r="A263" t="str">
        <f>+Hoja1!B260</f>
        <v>TRUCHI RUBEN ANGEL</v>
      </c>
      <c r="B263" t="str">
        <f>+Hoja1!A260</f>
        <v>09510</v>
      </c>
      <c r="C263" s="67">
        <f>+Hoja1!K260</f>
        <v>-653801.14</v>
      </c>
      <c r="D263" s="24">
        <f t="shared" si="8"/>
        <v>-450.89733793103449</v>
      </c>
      <c r="E263" s="50">
        <f t="shared" si="9"/>
        <v>-1.1815726376135458E-4</v>
      </c>
      <c r="F263" s="51"/>
    </row>
    <row r="264" spans="1:6" ht="15.75" customHeight="1" x14ac:dyDescent="0.25">
      <c r="A264" t="str">
        <f>+Hoja1!B261</f>
        <v>URIARTE MARCELO OSVALDO</v>
      </c>
      <c r="B264" t="str">
        <f>+Hoja1!A261</f>
        <v>07686</v>
      </c>
      <c r="C264" s="67">
        <f>+Hoja1!K261</f>
        <v>1848700.12</v>
      </c>
      <c r="D264" s="24">
        <f t="shared" si="8"/>
        <v>1274.9656</v>
      </c>
      <c r="E264" s="50">
        <f t="shared" si="9"/>
        <v>3.3410365068266452E-4</v>
      </c>
      <c r="F264" s="51"/>
    </row>
    <row r="265" spans="1:6" ht="15.75" customHeight="1" x14ac:dyDescent="0.25">
      <c r="A265" t="str">
        <f>+Hoja1!B262</f>
        <v>URK SA</v>
      </c>
      <c r="B265" t="str">
        <f>+Hoja1!A262</f>
        <v>07448</v>
      </c>
      <c r="C265" s="67">
        <f>+Hoja1!K262</f>
        <v>5065338.3</v>
      </c>
      <c r="D265" s="24">
        <f t="shared" si="8"/>
        <v>3493.3367586206896</v>
      </c>
      <c r="E265" s="50">
        <f t="shared" si="9"/>
        <v>9.1542592531054844E-4</v>
      </c>
      <c r="F265" s="51"/>
    </row>
    <row r="266" spans="1:6" ht="15.75" customHeight="1" x14ac:dyDescent="0.25">
      <c r="A266" t="str">
        <f>+Hoja1!B263</f>
        <v>VALVTRONIC SA</v>
      </c>
      <c r="B266" t="str">
        <f>+Hoja1!A263</f>
        <v>09599</v>
      </c>
      <c r="C266" s="67">
        <f>+Hoja1!K263</f>
        <v>1616456.16</v>
      </c>
      <c r="D266" s="24">
        <f t="shared" si="8"/>
        <v>1114.7973517241378</v>
      </c>
      <c r="E266" s="50">
        <f t="shared" si="9"/>
        <v>2.9213169750023129E-4</v>
      </c>
      <c r="F266" s="51"/>
    </row>
    <row r="267" spans="1:6" ht="15.75" customHeight="1" x14ac:dyDescent="0.25">
      <c r="A267" t="str">
        <f>+Hoja1!B264</f>
        <v>VAZQUEZ DANIEL NORBERTO</v>
      </c>
      <c r="B267" t="str">
        <f>+Hoja1!A264</f>
        <v>04035</v>
      </c>
      <c r="C267" s="67">
        <f>+Hoja1!K264</f>
        <v>88182989.640000001</v>
      </c>
      <c r="D267" s="24">
        <f t="shared" si="8"/>
        <v>60815.85492413793</v>
      </c>
      <c r="E267" s="50">
        <f t="shared" si="9"/>
        <v>1.5936743038041015E-2</v>
      </c>
      <c r="F267" s="51"/>
    </row>
    <row r="268" spans="1:6" ht="15.75" customHeight="1" x14ac:dyDescent="0.25">
      <c r="A268" t="str">
        <f>+Hoja1!B265</f>
        <v>VERON VICTOR RAUL</v>
      </c>
      <c r="B268" t="str">
        <f>+Hoja1!A265</f>
        <v>03123</v>
      </c>
      <c r="C268" s="67">
        <f>+Hoja1!K265</f>
        <v>7118732.5</v>
      </c>
      <c r="D268" s="24">
        <f t="shared" si="8"/>
        <v>4909.4706896551725</v>
      </c>
      <c r="E268" s="50">
        <f t="shared" si="9"/>
        <v>1.286522617028516E-3</v>
      </c>
      <c r="F268" s="51"/>
    </row>
    <row r="269" spans="1:6" ht="15.75" customHeight="1" x14ac:dyDescent="0.25">
      <c r="A269" t="str">
        <f>+Hoja1!B266</f>
        <v>VIENTOS DE LUNA S.A.</v>
      </c>
      <c r="B269" t="str">
        <f>+Hoja1!A266</f>
        <v>05028</v>
      </c>
      <c r="C269" s="67">
        <f>+Hoja1!K266</f>
        <v>2890206</v>
      </c>
      <c r="D269" s="24">
        <f t="shared" si="8"/>
        <v>1993.2455172413793</v>
      </c>
      <c r="E269" s="50">
        <f t="shared" si="9"/>
        <v>5.2232829185132584E-4</v>
      </c>
      <c r="F269" s="51"/>
    </row>
    <row r="270" spans="1:6" ht="15.75" customHeight="1" x14ac:dyDescent="0.25">
      <c r="A270" t="str">
        <f>+Hoja1!B267</f>
        <v>VILGOM ARGENTINA S.A.</v>
      </c>
      <c r="B270" t="str">
        <f>+Hoja1!A267</f>
        <v>06385</v>
      </c>
      <c r="C270" s="67">
        <f>+Hoja1!K267</f>
        <v>1002566.43</v>
      </c>
      <c r="D270" s="24">
        <f t="shared" si="8"/>
        <v>691.42512413793111</v>
      </c>
      <c r="E270" s="50">
        <f t="shared" si="9"/>
        <v>1.8118736548515294E-4</v>
      </c>
      <c r="F270" s="51"/>
    </row>
    <row r="271" spans="1:6" ht="15.75" customHeight="1" x14ac:dyDescent="0.25">
      <c r="A271" t="str">
        <f>+Hoja1!B268</f>
        <v>VIOMAR S.A.I.C.</v>
      </c>
      <c r="B271" t="str">
        <f>+Hoja1!A268</f>
        <v>00295</v>
      </c>
      <c r="C271" s="67">
        <f>+Hoja1!K268</f>
        <v>107543306.72</v>
      </c>
      <c r="D271" s="24">
        <f t="shared" si="8"/>
        <v>74167.797737931032</v>
      </c>
      <c r="E271" s="50">
        <f t="shared" si="9"/>
        <v>1.9435608291969782E-2</v>
      </c>
      <c r="F271" s="51"/>
    </row>
    <row r="272" spans="1:6" ht="15.75" customHeight="1" x14ac:dyDescent="0.25">
      <c r="A272" t="str">
        <f>+Hoja1!B269</f>
        <v>VISION LOGISTIC</v>
      </c>
      <c r="B272" t="str">
        <f>+Hoja1!A269</f>
        <v>08447</v>
      </c>
      <c r="C272" s="67">
        <f>+Hoja1!K269</f>
        <v>30147303.420000002</v>
      </c>
      <c r="D272" s="24">
        <f t="shared" si="8"/>
        <v>20791.243737931036</v>
      </c>
      <c r="E272" s="50">
        <f t="shared" si="9"/>
        <v>5.4483277314116138E-3</v>
      </c>
      <c r="F272" s="51"/>
    </row>
    <row r="273" spans="1:6" ht="15.75" customHeight="1" x14ac:dyDescent="0.25">
      <c r="A273" t="str">
        <f>+Hoja1!B270</f>
        <v>VIVA WALTER IGNACIO Y VIVA ABEL S.H.</v>
      </c>
      <c r="B273" t="str">
        <f>+Hoja1!A270</f>
        <v>07308</v>
      </c>
      <c r="C273" s="67">
        <f>+Hoja1!K270</f>
        <v>172788</v>
      </c>
      <c r="D273" s="24">
        <f t="shared" si="8"/>
        <v>119.16413793103449</v>
      </c>
      <c r="E273" s="50">
        <f t="shared" si="9"/>
        <v>3.1226860954688661E-5</v>
      </c>
      <c r="F273" s="51"/>
    </row>
    <row r="274" spans="1:6" ht="15.75" customHeight="1" x14ac:dyDescent="0.25">
      <c r="A274" t="str">
        <f>+Hoja1!B271</f>
        <v>WANBARU ICE S.A.</v>
      </c>
      <c r="B274" t="str">
        <f>+Hoja1!A271</f>
        <v>09576</v>
      </c>
      <c r="C274" s="67">
        <f>+Hoja1!K271</f>
        <v>1577601.83</v>
      </c>
      <c r="D274" s="24">
        <f t="shared" si="8"/>
        <v>1088.0012620689656</v>
      </c>
      <c r="E274" s="50">
        <f t="shared" si="9"/>
        <v>2.8510980500539613E-4</v>
      </c>
      <c r="F274" s="51"/>
    </row>
    <row r="275" spans="1:6" ht="15.75" customHeight="1" x14ac:dyDescent="0.25">
      <c r="A275" t="str">
        <f>+Hoja1!B272</f>
        <v>WATER NAVAL S.A.S</v>
      </c>
      <c r="B275" t="str">
        <f>+Hoja1!A272</f>
        <v>08554</v>
      </c>
      <c r="C275" s="67">
        <f>+Hoja1!K272</f>
        <v>6124981.5</v>
      </c>
      <c r="D275" s="24">
        <f t="shared" si="8"/>
        <v>4224.1251724137928</v>
      </c>
      <c r="E275" s="50">
        <f t="shared" si="9"/>
        <v>1.1069284073578047E-3</v>
      </c>
      <c r="F275" s="51"/>
    </row>
    <row r="276" spans="1:6" ht="15.75" customHeight="1" x14ac:dyDescent="0.25">
      <c r="A276" t="str">
        <f>+Hoja1!B273</f>
        <v>Y.C. ARMO-CAS S. A.</v>
      </c>
      <c r="B276" t="str">
        <f>+Hoja1!A273</f>
        <v>08729</v>
      </c>
      <c r="C276" s="67">
        <f>+Hoja1!K273</f>
        <v>1485120</v>
      </c>
      <c r="D276" s="24">
        <f t="shared" si="8"/>
        <v>1024.2206896551725</v>
      </c>
      <c r="E276" s="50">
        <f t="shared" si="9"/>
        <v>2.6839616027170423E-4</v>
      </c>
      <c r="F276" s="51"/>
    </row>
    <row r="277" spans="1:6" ht="15.75" customHeight="1" x14ac:dyDescent="0.25">
      <c r="A277" t="str">
        <f>+Hoja1!B274</f>
        <v>YPF S.A.</v>
      </c>
      <c r="B277" t="str">
        <f>+Hoja1!A274</f>
        <v>02429</v>
      </c>
      <c r="C277" s="67">
        <f>+Hoja1!K274</f>
        <v>1173605598.6400001</v>
      </c>
      <c r="D277" s="24">
        <f t="shared" si="8"/>
        <v>809383.17147586215</v>
      </c>
      <c r="E277" s="50">
        <f t="shared" si="9"/>
        <v>0.21209817142611426</v>
      </c>
      <c r="F277" s="51"/>
    </row>
    <row r="278" spans="1:6" ht="15.75" customHeight="1" x14ac:dyDescent="0.25">
      <c r="A278" t="str">
        <f>+Hoja1!B275</f>
        <v>ZAGAS PROFESIONAL SA</v>
      </c>
      <c r="B278" t="str">
        <f>+Hoja1!A275</f>
        <v>08677</v>
      </c>
      <c r="C278" s="67">
        <f>+Hoja1!K275</f>
        <v>2510695.19</v>
      </c>
      <c r="D278" s="24">
        <f t="shared" si="8"/>
        <v>1731.5139241379311</v>
      </c>
      <c r="E278" s="50">
        <f t="shared" si="9"/>
        <v>4.5374175057142643E-4</v>
      </c>
      <c r="F278" s="51"/>
    </row>
    <row r="279" spans="1:6" ht="18" customHeight="1" x14ac:dyDescent="0.25">
      <c r="A279" s="41" t="s">
        <v>166</v>
      </c>
      <c r="B279" s="42"/>
      <c r="C279" s="43">
        <f>SUM(C5:C278)</f>
        <v>5533313138.6699991</v>
      </c>
      <c r="D279" s="43">
        <f>SUM(D5:D278)</f>
        <v>3816078.0266689658</v>
      </c>
      <c r="E279" s="69">
        <f>SUM(E5:E278)</f>
        <v>1</v>
      </c>
      <c r="F279" s="42"/>
    </row>
    <row r="281" spans="1:6" ht="15" customHeight="1" x14ac:dyDescent="0.25">
      <c r="A281" s="81" t="s">
        <v>167</v>
      </c>
      <c r="B281" s="81"/>
      <c r="C281" s="81"/>
      <c r="D281" s="81"/>
      <c r="E281" s="81"/>
      <c r="F281" s="81"/>
    </row>
  </sheetData>
  <mergeCells count="3">
    <mergeCell ref="A1:F1"/>
    <mergeCell ref="A2:F2"/>
    <mergeCell ref="A281:F28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5"/>
  <sheetViews>
    <sheetView workbookViewId="0">
      <selection activeCell="K2" sqref="K2:K275"/>
    </sheetView>
  </sheetViews>
  <sheetFormatPr baseColWidth="10" defaultRowHeight="15" x14ac:dyDescent="0.25"/>
  <cols>
    <col min="11" max="11" width="18.28515625" bestFit="1" customWidth="1"/>
  </cols>
  <sheetData>
    <row r="1" spans="1:11" x14ac:dyDescent="0.25">
      <c r="A1" t="s">
        <v>551</v>
      </c>
      <c r="B1" t="s">
        <v>552</v>
      </c>
      <c r="C1" t="s">
        <v>553</v>
      </c>
      <c r="D1" t="s">
        <v>4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155</v>
      </c>
    </row>
    <row r="2" spans="1:11" x14ac:dyDescent="0.25">
      <c r="A2" t="s">
        <v>1104</v>
      </c>
      <c r="B2" t="s">
        <v>1105</v>
      </c>
      <c r="C2" t="s">
        <v>560</v>
      </c>
      <c r="D2" t="s">
        <v>1106</v>
      </c>
      <c r="E2">
        <v>1367700.18</v>
      </c>
      <c r="F2" t="s">
        <v>1107</v>
      </c>
      <c r="G2">
        <v>0</v>
      </c>
      <c r="H2">
        <v>0</v>
      </c>
      <c r="I2">
        <v>0</v>
      </c>
      <c r="J2">
        <v>0</v>
      </c>
      <c r="K2" s="67">
        <v>1367700.18</v>
      </c>
    </row>
    <row r="3" spans="1:11" x14ac:dyDescent="0.25">
      <c r="A3" t="s">
        <v>182</v>
      </c>
      <c r="B3" t="s">
        <v>183</v>
      </c>
      <c r="C3" t="s">
        <v>560</v>
      </c>
      <c r="D3" t="s">
        <v>565</v>
      </c>
      <c r="E3">
        <v>0</v>
      </c>
      <c r="F3" t="s">
        <v>566</v>
      </c>
      <c r="G3">
        <v>9750000</v>
      </c>
      <c r="H3">
        <v>0.01</v>
      </c>
      <c r="I3">
        <v>0</v>
      </c>
      <c r="J3">
        <v>0</v>
      </c>
      <c r="K3" s="67">
        <v>9750000.0099999998</v>
      </c>
    </row>
    <row r="4" spans="1:11" x14ac:dyDescent="0.25">
      <c r="A4" t="s">
        <v>1108</v>
      </c>
      <c r="B4" t="s">
        <v>1109</v>
      </c>
      <c r="C4" t="s">
        <v>560</v>
      </c>
      <c r="D4" t="s">
        <v>591</v>
      </c>
      <c r="E4">
        <v>2460634.5699999998</v>
      </c>
      <c r="F4" t="s">
        <v>592</v>
      </c>
      <c r="G4">
        <v>0</v>
      </c>
      <c r="H4">
        <v>0</v>
      </c>
      <c r="I4">
        <v>0</v>
      </c>
      <c r="J4">
        <v>0</v>
      </c>
      <c r="K4" s="67">
        <v>2460634.5699999998</v>
      </c>
    </row>
    <row r="5" spans="1:11" x14ac:dyDescent="0.25">
      <c r="A5" t="s">
        <v>184</v>
      </c>
      <c r="B5" t="s">
        <v>185</v>
      </c>
      <c r="C5" t="s">
        <v>560</v>
      </c>
      <c r="D5" t="s">
        <v>567</v>
      </c>
      <c r="E5">
        <v>0</v>
      </c>
      <c r="F5" t="s">
        <v>568</v>
      </c>
      <c r="G5">
        <v>0</v>
      </c>
      <c r="H5">
        <v>0</v>
      </c>
      <c r="I5">
        <v>0</v>
      </c>
      <c r="J5">
        <v>1.08</v>
      </c>
      <c r="K5" s="67">
        <v>1.08</v>
      </c>
    </row>
    <row r="6" spans="1:11" x14ac:dyDescent="0.25">
      <c r="A6" t="s">
        <v>992</v>
      </c>
      <c r="B6" t="s">
        <v>993</v>
      </c>
      <c r="C6" t="s">
        <v>560</v>
      </c>
      <c r="D6" t="s">
        <v>994</v>
      </c>
      <c r="E6">
        <v>2310000</v>
      </c>
      <c r="F6" t="s">
        <v>995</v>
      </c>
      <c r="G6">
        <v>0</v>
      </c>
      <c r="H6">
        <v>0</v>
      </c>
      <c r="I6">
        <v>0</v>
      </c>
      <c r="J6">
        <v>0</v>
      </c>
      <c r="K6" s="67">
        <v>2310000</v>
      </c>
    </row>
    <row r="7" spans="1:11" x14ac:dyDescent="0.25">
      <c r="A7" t="s">
        <v>186</v>
      </c>
      <c r="B7" t="s">
        <v>187</v>
      </c>
      <c r="C7" t="s">
        <v>560</v>
      </c>
      <c r="D7" t="s">
        <v>569</v>
      </c>
      <c r="E7">
        <v>257680.39</v>
      </c>
      <c r="F7" t="s">
        <v>570</v>
      </c>
      <c r="G7">
        <v>0</v>
      </c>
      <c r="H7">
        <v>0</v>
      </c>
      <c r="I7">
        <v>0</v>
      </c>
      <c r="J7">
        <v>0</v>
      </c>
      <c r="K7" s="67">
        <v>257680.39</v>
      </c>
    </row>
    <row r="8" spans="1:11" x14ac:dyDescent="0.25">
      <c r="A8" t="s">
        <v>188</v>
      </c>
      <c r="B8" t="s">
        <v>189</v>
      </c>
      <c r="C8" t="s">
        <v>560</v>
      </c>
      <c r="D8" t="s">
        <v>567</v>
      </c>
      <c r="E8">
        <v>0</v>
      </c>
      <c r="F8" t="s">
        <v>568</v>
      </c>
      <c r="G8">
        <v>8383134.0999999996</v>
      </c>
      <c r="H8">
        <v>0</v>
      </c>
      <c r="I8">
        <v>0</v>
      </c>
      <c r="J8">
        <v>0</v>
      </c>
      <c r="K8" s="67">
        <v>8383134.0999999996</v>
      </c>
    </row>
    <row r="9" spans="1:11" x14ac:dyDescent="0.25">
      <c r="A9" t="s">
        <v>190</v>
      </c>
      <c r="B9" t="s">
        <v>191</v>
      </c>
      <c r="C9" t="s">
        <v>560</v>
      </c>
      <c r="D9" t="s">
        <v>571</v>
      </c>
      <c r="E9">
        <v>0</v>
      </c>
      <c r="F9" t="s">
        <v>572</v>
      </c>
      <c r="G9">
        <v>560000</v>
      </c>
      <c r="H9">
        <v>0</v>
      </c>
      <c r="I9">
        <v>0</v>
      </c>
      <c r="J9">
        <v>0</v>
      </c>
      <c r="K9" s="67">
        <v>560000</v>
      </c>
    </row>
    <row r="10" spans="1:11" x14ac:dyDescent="0.25">
      <c r="A10" t="s">
        <v>575</v>
      </c>
      <c r="B10" t="s">
        <v>576</v>
      </c>
      <c r="C10" t="s">
        <v>560</v>
      </c>
      <c r="D10" t="s">
        <v>577</v>
      </c>
      <c r="E10">
        <v>0</v>
      </c>
      <c r="F10" t="s">
        <v>578</v>
      </c>
      <c r="G10">
        <v>8763369.8200000003</v>
      </c>
      <c r="H10">
        <v>0</v>
      </c>
      <c r="I10">
        <v>0</v>
      </c>
      <c r="J10">
        <v>0</v>
      </c>
      <c r="K10" s="67">
        <v>8763369.8200000003</v>
      </c>
    </row>
    <row r="11" spans="1:11" x14ac:dyDescent="0.25">
      <c r="A11" t="s">
        <v>192</v>
      </c>
      <c r="B11" t="s">
        <v>193</v>
      </c>
      <c r="C11" t="s">
        <v>560</v>
      </c>
      <c r="D11" t="s">
        <v>567</v>
      </c>
      <c r="E11">
        <v>2418106.34</v>
      </c>
      <c r="F11" t="s">
        <v>568</v>
      </c>
      <c r="G11">
        <v>1048053.67</v>
      </c>
      <c r="H11">
        <v>1376717.55</v>
      </c>
      <c r="I11">
        <v>0</v>
      </c>
      <c r="J11">
        <v>0</v>
      </c>
      <c r="K11" s="67">
        <v>4842877.5599999996</v>
      </c>
    </row>
    <row r="12" spans="1:11" x14ac:dyDescent="0.25">
      <c r="A12" t="s">
        <v>996</v>
      </c>
      <c r="B12" t="s">
        <v>997</v>
      </c>
      <c r="C12" t="s">
        <v>560</v>
      </c>
      <c r="D12" t="s">
        <v>647</v>
      </c>
      <c r="E12">
        <v>508267.1</v>
      </c>
      <c r="F12" t="s">
        <v>648</v>
      </c>
      <c r="G12">
        <v>0</v>
      </c>
      <c r="H12">
        <v>0</v>
      </c>
      <c r="I12">
        <v>0</v>
      </c>
      <c r="J12">
        <v>0</v>
      </c>
      <c r="K12" s="67">
        <v>508267.1</v>
      </c>
    </row>
    <row r="13" spans="1:11" x14ac:dyDescent="0.25">
      <c r="A13" t="s">
        <v>998</v>
      </c>
      <c r="B13" t="s">
        <v>999</v>
      </c>
      <c r="C13" t="s">
        <v>560</v>
      </c>
      <c r="D13" t="s">
        <v>683</v>
      </c>
      <c r="E13">
        <v>0</v>
      </c>
      <c r="F13" t="s">
        <v>684</v>
      </c>
      <c r="G13">
        <v>0</v>
      </c>
      <c r="H13">
        <v>182706167.53999999</v>
      </c>
      <c r="I13">
        <v>0</v>
      </c>
      <c r="J13">
        <v>0</v>
      </c>
      <c r="K13" s="67">
        <v>182706167.53999999</v>
      </c>
    </row>
    <row r="14" spans="1:11" x14ac:dyDescent="0.25">
      <c r="A14" t="s">
        <v>1110</v>
      </c>
      <c r="B14" t="s">
        <v>1111</v>
      </c>
      <c r="C14" t="s">
        <v>560</v>
      </c>
      <c r="D14" t="s">
        <v>591</v>
      </c>
      <c r="E14">
        <v>2613600</v>
      </c>
      <c r="F14" t="s">
        <v>592</v>
      </c>
      <c r="G14">
        <v>0</v>
      </c>
      <c r="H14">
        <v>0</v>
      </c>
      <c r="I14">
        <v>0</v>
      </c>
      <c r="J14">
        <v>0</v>
      </c>
      <c r="K14" s="67">
        <v>2613600</v>
      </c>
    </row>
    <row r="15" spans="1:11" x14ac:dyDescent="0.25">
      <c r="A15" t="s">
        <v>1000</v>
      </c>
      <c r="B15" t="s">
        <v>1001</v>
      </c>
      <c r="C15" t="s">
        <v>560</v>
      </c>
      <c r="D15" t="s">
        <v>633</v>
      </c>
      <c r="E15">
        <v>30468.98</v>
      </c>
      <c r="F15" t="s">
        <v>634</v>
      </c>
      <c r="G15">
        <v>0</v>
      </c>
      <c r="H15">
        <v>0</v>
      </c>
      <c r="I15">
        <v>0</v>
      </c>
      <c r="J15">
        <v>0</v>
      </c>
      <c r="K15" s="67">
        <v>30468.98</v>
      </c>
    </row>
    <row r="16" spans="1:11" x14ac:dyDescent="0.25">
      <c r="A16" t="s">
        <v>1002</v>
      </c>
      <c r="B16" t="s">
        <v>1003</v>
      </c>
      <c r="C16" t="s">
        <v>560</v>
      </c>
      <c r="D16" t="s">
        <v>587</v>
      </c>
      <c r="E16">
        <v>1381638.9</v>
      </c>
      <c r="F16" t="s">
        <v>588</v>
      </c>
      <c r="G16">
        <v>0</v>
      </c>
      <c r="H16">
        <v>0</v>
      </c>
      <c r="I16">
        <v>0</v>
      </c>
      <c r="J16">
        <v>0</v>
      </c>
      <c r="K16" s="67">
        <v>1381638.9</v>
      </c>
    </row>
    <row r="17" spans="1:11" x14ac:dyDescent="0.25">
      <c r="A17" t="s">
        <v>503</v>
      </c>
      <c r="B17" t="s">
        <v>504</v>
      </c>
      <c r="C17" t="s">
        <v>560</v>
      </c>
      <c r="D17" t="s">
        <v>579</v>
      </c>
      <c r="E17">
        <v>946441.43</v>
      </c>
      <c r="F17" t="s">
        <v>580</v>
      </c>
      <c r="G17">
        <v>851774.66</v>
      </c>
      <c r="H17">
        <v>63428.2</v>
      </c>
      <c r="I17">
        <v>0</v>
      </c>
      <c r="J17">
        <v>0</v>
      </c>
      <c r="K17" s="67">
        <v>1861644.29</v>
      </c>
    </row>
    <row r="18" spans="1:11" x14ac:dyDescent="0.25">
      <c r="A18" t="s">
        <v>1004</v>
      </c>
      <c r="B18" t="s">
        <v>1005</v>
      </c>
      <c r="C18" t="s">
        <v>560</v>
      </c>
      <c r="D18" t="s">
        <v>695</v>
      </c>
      <c r="E18">
        <v>951000</v>
      </c>
      <c r="F18" t="s">
        <v>696</v>
      </c>
      <c r="G18">
        <v>0</v>
      </c>
      <c r="H18">
        <v>0</v>
      </c>
      <c r="I18">
        <v>0</v>
      </c>
      <c r="J18">
        <v>0</v>
      </c>
      <c r="K18" s="67">
        <v>951000</v>
      </c>
    </row>
    <row r="19" spans="1:11" x14ac:dyDescent="0.25">
      <c r="A19" t="s">
        <v>194</v>
      </c>
      <c r="B19" t="s">
        <v>195</v>
      </c>
      <c r="C19" t="s">
        <v>560</v>
      </c>
      <c r="D19" t="s">
        <v>581</v>
      </c>
      <c r="E19">
        <v>0</v>
      </c>
      <c r="F19" t="s">
        <v>582</v>
      </c>
      <c r="G19">
        <v>1430621.27</v>
      </c>
      <c r="H19">
        <v>0</v>
      </c>
      <c r="I19">
        <v>0</v>
      </c>
      <c r="J19">
        <v>0</v>
      </c>
      <c r="K19" s="67">
        <v>1430621.27</v>
      </c>
    </row>
    <row r="20" spans="1:11" x14ac:dyDescent="0.25">
      <c r="A20" t="s">
        <v>1006</v>
      </c>
      <c r="B20" t="s">
        <v>1007</v>
      </c>
      <c r="C20" t="s">
        <v>560</v>
      </c>
      <c r="D20" t="s">
        <v>585</v>
      </c>
      <c r="E20">
        <v>266057.08</v>
      </c>
      <c r="F20" t="s">
        <v>586</v>
      </c>
      <c r="G20">
        <v>0</v>
      </c>
      <c r="H20">
        <v>0</v>
      </c>
      <c r="I20">
        <v>0</v>
      </c>
      <c r="J20">
        <v>0</v>
      </c>
      <c r="K20" s="67">
        <v>266057.08</v>
      </c>
    </row>
    <row r="21" spans="1:11" x14ac:dyDescent="0.25">
      <c r="A21" t="s">
        <v>196</v>
      </c>
      <c r="B21" t="s">
        <v>197</v>
      </c>
      <c r="C21" t="s">
        <v>560</v>
      </c>
      <c r="D21" t="s">
        <v>583</v>
      </c>
      <c r="E21">
        <v>899271.11</v>
      </c>
      <c r="F21" t="s">
        <v>584</v>
      </c>
      <c r="G21">
        <v>542443.24</v>
      </c>
      <c r="H21">
        <v>0</v>
      </c>
      <c r="I21">
        <v>0</v>
      </c>
      <c r="J21">
        <v>0</v>
      </c>
      <c r="K21" s="67">
        <v>1441714.35</v>
      </c>
    </row>
    <row r="22" spans="1:11" x14ac:dyDescent="0.25">
      <c r="A22" t="s">
        <v>198</v>
      </c>
      <c r="B22" t="s">
        <v>199</v>
      </c>
      <c r="C22" t="s">
        <v>560</v>
      </c>
      <c r="D22" t="s">
        <v>585</v>
      </c>
      <c r="E22">
        <v>2473000</v>
      </c>
      <c r="F22" t="s">
        <v>586</v>
      </c>
      <c r="G22">
        <v>2299000</v>
      </c>
      <c r="H22">
        <v>1727000</v>
      </c>
      <c r="I22">
        <v>0</v>
      </c>
      <c r="J22">
        <v>0</v>
      </c>
      <c r="K22" s="67">
        <v>6499000</v>
      </c>
    </row>
    <row r="23" spans="1:11" x14ac:dyDescent="0.25">
      <c r="A23" t="s">
        <v>1112</v>
      </c>
      <c r="B23" t="s">
        <v>1113</v>
      </c>
      <c r="C23" t="s">
        <v>560</v>
      </c>
      <c r="D23" t="s">
        <v>1114</v>
      </c>
      <c r="E23">
        <v>169552.2</v>
      </c>
      <c r="F23" t="s">
        <v>1115</v>
      </c>
      <c r="G23">
        <v>0</v>
      </c>
      <c r="H23">
        <v>0</v>
      </c>
      <c r="I23">
        <v>0</v>
      </c>
      <c r="J23">
        <v>0</v>
      </c>
      <c r="K23" s="67">
        <v>169552.2</v>
      </c>
    </row>
    <row r="24" spans="1:11" x14ac:dyDescent="0.25">
      <c r="A24" t="s">
        <v>1008</v>
      </c>
      <c r="B24" t="s">
        <v>1009</v>
      </c>
      <c r="C24" t="s">
        <v>560</v>
      </c>
      <c r="D24" t="s">
        <v>587</v>
      </c>
      <c r="E24">
        <v>2392500</v>
      </c>
      <c r="F24" t="s">
        <v>588</v>
      </c>
      <c r="G24">
        <v>0</v>
      </c>
      <c r="H24">
        <v>0</v>
      </c>
      <c r="I24">
        <v>0</v>
      </c>
      <c r="J24">
        <v>0</v>
      </c>
      <c r="K24" s="67">
        <v>2392500</v>
      </c>
    </row>
    <row r="25" spans="1:11" x14ac:dyDescent="0.25">
      <c r="A25" t="s">
        <v>505</v>
      </c>
      <c r="B25" t="s">
        <v>506</v>
      </c>
      <c r="C25" t="s">
        <v>560</v>
      </c>
      <c r="D25" t="s">
        <v>587</v>
      </c>
      <c r="E25">
        <v>0</v>
      </c>
      <c r="F25" t="s">
        <v>588</v>
      </c>
      <c r="G25">
        <v>343156</v>
      </c>
      <c r="H25">
        <v>0</v>
      </c>
      <c r="I25">
        <v>0</v>
      </c>
      <c r="J25">
        <v>0</v>
      </c>
      <c r="K25" s="67">
        <v>343156</v>
      </c>
    </row>
    <row r="26" spans="1:11" x14ac:dyDescent="0.25">
      <c r="A26" t="s">
        <v>200</v>
      </c>
      <c r="B26" t="s">
        <v>201</v>
      </c>
      <c r="C26" t="s">
        <v>560</v>
      </c>
      <c r="D26" t="s">
        <v>591</v>
      </c>
      <c r="E26">
        <v>0</v>
      </c>
      <c r="F26" t="s">
        <v>592</v>
      </c>
      <c r="G26">
        <v>0</v>
      </c>
      <c r="H26">
        <v>22164560</v>
      </c>
      <c r="I26">
        <v>84300</v>
      </c>
      <c r="J26">
        <v>26176.959999999999</v>
      </c>
      <c r="K26" s="67">
        <v>22275036.960000001</v>
      </c>
    </row>
    <row r="27" spans="1:11" x14ac:dyDescent="0.25">
      <c r="A27" t="s">
        <v>1010</v>
      </c>
      <c r="B27" t="s">
        <v>1011</v>
      </c>
      <c r="C27" t="s">
        <v>560</v>
      </c>
      <c r="D27" t="s">
        <v>625</v>
      </c>
      <c r="E27">
        <v>2408015.9700000002</v>
      </c>
      <c r="F27" t="s">
        <v>626</v>
      </c>
      <c r="G27">
        <v>0</v>
      </c>
      <c r="H27">
        <v>0</v>
      </c>
      <c r="I27">
        <v>0</v>
      </c>
      <c r="J27">
        <v>0</v>
      </c>
      <c r="K27" s="67">
        <v>2408015.9700000002</v>
      </c>
    </row>
    <row r="28" spans="1:11" x14ac:dyDescent="0.25">
      <c r="A28" t="s">
        <v>1116</v>
      </c>
      <c r="B28" t="s">
        <v>1117</v>
      </c>
      <c r="C28" t="s">
        <v>560</v>
      </c>
      <c r="D28" t="s">
        <v>691</v>
      </c>
      <c r="E28">
        <v>196000</v>
      </c>
      <c r="F28" t="s">
        <v>692</v>
      </c>
      <c r="G28">
        <v>0</v>
      </c>
      <c r="H28">
        <v>0</v>
      </c>
      <c r="I28">
        <v>0</v>
      </c>
      <c r="J28">
        <v>0</v>
      </c>
      <c r="K28" s="67">
        <v>196000</v>
      </c>
    </row>
    <row r="29" spans="1:11" x14ac:dyDescent="0.25">
      <c r="A29" t="s">
        <v>1118</v>
      </c>
      <c r="B29" t="s">
        <v>1119</v>
      </c>
      <c r="C29" t="s">
        <v>560</v>
      </c>
      <c r="D29" t="s">
        <v>567</v>
      </c>
      <c r="E29">
        <v>280989.83</v>
      </c>
      <c r="F29" t="s">
        <v>568</v>
      </c>
      <c r="G29">
        <v>0</v>
      </c>
      <c r="H29">
        <v>0</v>
      </c>
      <c r="I29">
        <v>0</v>
      </c>
      <c r="J29">
        <v>0</v>
      </c>
      <c r="K29" s="67">
        <v>280989.83</v>
      </c>
    </row>
    <row r="30" spans="1:11" x14ac:dyDescent="0.25">
      <c r="A30" t="s">
        <v>1012</v>
      </c>
      <c r="B30" t="s">
        <v>1013</v>
      </c>
      <c r="C30" t="s">
        <v>560</v>
      </c>
      <c r="D30" t="s">
        <v>587</v>
      </c>
      <c r="E30">
        <v>75000</v>
      </c>
      <c r="F30" t="s">
        <v>588</v>
      </c>
      <c r="G30">
        <v>0</v>
      </c>
      <c r="H30">
        <v>0</v>
      </c>
      <c r="I30">
        <v>0</v>
      </c>
      <c r="J30">
        <v>0</v>
      </c>
      <c r="K30" s="67">
        <v>75000</v>
      </c>
    </row>
    <row r="31" spans="1:11" x14ac:dyDescent="0.25">
      <c r="A31" t="s">
        <v>202</v>
      </c>
      <c r="B31" t="s">
        <v>203</v>
      </c>
      <c r="C31" t="s">
        <v>560</v>
      </c>
      <c r="D31" t="s">
        <v>587</v>
      </c>
      <c r="E31">
        <v>0</v>
      </c>
      <c r="F31" t="s">
        <v>588</v>
      </c>
      <c r="G31">
        <v>0</v>
      </c>
      <c r="H31">
        <v>0</v>
      </c>
      <c r="I31">
        <v>0</v>
      </c>
      <c r="J31">
        <v>4477000</v>
      </c>
      <c r="K31" s="67">
        <v>4477000</v>
      </c>
    </row>
    <row r="32" spans="1:11" x14ac:dyDescent="0.25">
      <c r="A32" t="s">
        <v>1014</v>
      </c>
      <c r="B32" t="s">
        <v>1015</v>
      </c>
      <c r="C32" t="s">
        <v>560</v>
      </c>
      <c r="D32" t="s">
        <v>715</v>
      </c>
      <c r="E32">
        <v>849197.63</v>
      </c>
      <c r="F32" t="s">
        <v>716</v>
      </c>
      <c r="G32">
        <v>150633.76</v>
      </c>
      <c r="H32">
        <v>0</v>
      </c>
      <c r="I32">
        <v>0</v>
      </c>
      <c r="J32">
        <v>0</v>
      </c>
      <c r="K32" s="67">
        <v>999831.39</v>
      </c>
    </row>
    <row r="33" spans="1:11" x14ac:dyDescent="0.25">
      <c r="A33" t="s">
        <v>597</v>
      </c>
      <c r="B33" t="s">
        <v>598</v>
      </c>
      <c r="C33" t="s">
        <v>560</v>
      </c>
      <c r="D33" t="s">
        <v>599</v>
      </c>
      <c r="E33">
        <v>0</v>
      </c>
      <c r="F33" t="s">
        <v>600</v>
      </c>
      <c r="G33">
        <v>1827342</v>
      </c>
      <c r="H33">
        <v>0</v>
      </c>
      <c r="I33">
        <v>0</v>
      </c>
      <c r="J33">
        <v>0</v>
      </c>
      <c r="K33" s="67">
        <v>1827342</v>
      </c>
    </row>
    <row r="34" spans="1:11" x14ac:dyDescent="0.25">
      <c r="A34" t="s">
        <v>204</v>
      </c>
      <c r="B34" t="s">
        <v>205</v>
      </c>
      <c r="C34" t="s">
        <v>560</v>
      </c>
      <c r="D34" t="s">
        <v>601</v>
      </c>
      <c r="E34">
        <v>1929224</v>
      </c>
      <c r="F34" t="s">
        <v>602</v>
      </c>
      <c r="G34">
        <v>0</v>
      </c>
      <c r="H34">
        <v>0</v>
      </c>
      <c r="I34">
        <v>0</v>
      </c>
      <c r="J34">
        <v>0</v>
      </c>
      <c r="K34" s="67">
        <v>1929224</v>
      </c>
    </row>
    <row r="35" spans="1:11" x14ac:dyDescent="0.25">
      <c r="A35" t="s">
        <v>206</v>
      </c>
      <c r="B35" t="s">
        <v>207</v>
      </c>
      <c r="C35" t="s">
        <v>560</v>
      </c>
      <c r="D35" t="s">
        <v>603</v>
      </c>
      <c r="E35">
        <v>0</v>
      </c>
      <c r="F35" t="s">
        <v>604</v>
      </c>
      <c r="G35">
        <v>629999.93000000005</v>
      </c>
      <c r="H35">
        <v>629999.93000000005</v>
      </c>
      <c r="I35">
        <v>0</v>
      </c>
      <c r="J35">
        <v>0</v>
      </c>
      <c r="K35" s="67">
        <v>1259999.8600000001</v>
      </c>
    </row>
    <row r="36" spans="1:11" x14ac:dyDescent="0.25">
      <c r="A36" t="s">
        <v>1120</v>
      </c>
      <c r="B36" t="s">
        <v>1121</v>
      </c>
      <c r="C36" t="s">
        <v>560</v>
      </c>
      <c r="D36" t="s">
        <v>1056</v>
      </c>
      <c r="E36">
        <v>97768</v>
      </c>
      <c r="F36" t="s">
        <v>1057</v>
      </c>
      <c r="G36">
        <v>0</v>
      </c>
      <c r="H36">
        <v>0</v>
      </c>
      <c r="I36">
        <v>0</v>
      </c>
      <c r="J36">
        <v>0</v>
      </c>
      <c r="K36" s="67">
        <v>97768</v>
      </c>
    </row>
    <row r="37" spans="1:11" x14ac:dyDescent="0.25">
      <c r="A37" t="s">
        <v>1016</v>
      </c>
      <c r="B37" t="s">
        <v>1017</v>
      </c>
      <c r="C37" t="s">
        <v>560</v>
      </c>
      <c r="D37" t="s">
        <v>569</v>
      </c>
      <c r="E37">
        <v>2885719.2</v>
      </c>
      <c r="F37" t="s">
        <v>570</v>
      </c>
      <c r="G37">
        <v>0</v>
      </c>
      <c r="H37">
        <v>0</v>
      </c>
      <c r="I37">
        <v>0</v>
      </c>
      <c r="J37">
        <v>0</v>
      </c>
      <c r="K37" s="67">
        <v>2885719.2</v>
      </c>
    </row>
    <row r="38" spans="1:11" x14ac:dyDescent="0.25">
      <c r="A38" t="s">
        <v>1018</v>
      </c>
      <c r="B38" t="s">
        <v>1019</v>
      </c>
      <c r="C38" t="s">
        <v>560</v>
      </c>
      <c r="D38" t="s">
        <v>567</v>
      </c>
      <c r="E38">
        <v>304277.56</v>
      </c>
      <c r="F38" t="s">
        <v>568</v>
      </c>
      <c r="G38">
        <v>0</v>
      </c>
      <c r="H38">
        <v>0</v>
      </c>
      <c r="I38">
        <v>0</v>
      </c>
      <c r="J38">
        <v>0</v>
      </c>
      <c r="K38" s="67">
        <v>304277.56</v>
      </c>
    </row>
    <row r="39" spans="1:11" x14ac:dyDescent="0.25">
      <c r="A39" t="s">
        <v>1020</v>
      </c>
      <c r="B39" t="s">
        <v>1021</v>
      </c>
      <c r="C39" t="s">
        <v>560</v>
      </c>
      <c r="D39" t="s">
        <v>581</v>
      </c>
      <c r="E39">
        <v>397800</v>
      </c>
      <c r="F39" t="s">
        <v>582</v>
      </c>
      <c r="G39">
        <v>0</v>
      </c>
      <c r="H39">
        <v>0</v>
      </c>
      <c r="I39">
        <v>0</v>
      </c>
      <c r="J39">
        <v>0</v>
      </c>
      <c r="K39" s="67">
        <v>397800</v>
      </c>
    </row>
    <row r="40" spans="1:11" x14ac:dyDescent="0.25">
      <c r="A40" t="s">
        <v>208</v>
      </c>
      <c r="B40" t="s">
        <v>209</v>
      </c>
      <c r="C40" t="s">
        <v>560</v>
      </c>
      <c r="D40" t="s">
        <v>605</v>
      </c>
      <c r="E40">
        <v>0</v>
      </c>
      <c r="F40" t="s">
        <v>606</v>
      </c>
      <c r="G40">
        <v>0</v>
      </c>
      <c r="H40">
        <v>3000000</v>
      </c>
      <c r="I40">
        <v>0</v>
      </c>
      <c r="J40">
        <v>0</v>
      </c>
      <c r="K40" s="67">
        <v>3000000</v>
      </c>
    </row>
    <row r="41" spans="1:11" x14ac:dyDescent="0.25">
      <c r="A41" t="s">
        <v>507</v>
      </c>
      <c r="B41" t="s">
        <v>508</v>
      </c>
      <c r="C41" t="s">
        <v>560</v>
      </c>
      <c r="D41" t="s">
        <v>591</v>
      </c>
      <c r="E41">
        <v>51888.19</v>
      </c>
      <c r="F41" t="s">
        <v>592</v>
      </c>
      <c r="G41">
        <v>148474.76</v>
      </c>
      <c r="H41">
        <v>0</v>
      </c>
      <c r="I41">
        <v>0</v>
      </c>
      <c r="J41">
        <v>0</v>
      </c>
      <c r="K41" s="67">
        <v>200362.95</v>
      </c>
    </row>
    <row r="42" spans="1:11" x14ac:dyDescent="0.25">
      <c r="A42" t="s">
        <v>210</v>
      </c>
      <c r="B42" t="s">
        <v>211</v>
      </c>
      <c r="C42" t="s">
        <v>560</v>
      </c>
      <c r="D42" t="s">
        <v>607</v>
      </c>
      <c r="E42">
        <v>10050803.279999999</v>
      </c>
      <c r="F42" t="s">
        <v>608</v>
      </c>
      <c r="G42">
        <v>11547357.380000001</v>
      </c>
      <c r="H42">
        <v>0</v>
      </c>
      <c r="I42">
        <v>0</v>
      </c>
      <c r="J42">
        <v>0</v>
      </c>
      <c r="K42" s="67">
        <v>21598160.66</v>
      </c>
    </row>
    <row r="43" spans="1:11" x14ac:dyDescent="0.25">
      <c r="A43" t="s">
        <v>212</v>
      </c>
      <c r="B43" t="s">
        <v>213</v>
      </c>
      <c r="C43" t="s">
        <v>560</v>
      </c>
      <c r="D43" t="s">
        <v>609</v>
      </c>
      <c r="E43">
        <v>767607.06</v>
      </c>
      <c r="F43" t="s">
        <v>610</v>
      </c>
      <c r="G43">
        <v>1038252.6</v>
      </c>
      <c r="H43">
        <v>0</v>
      </c>
      <c r="I43">
        <v>0</v>
      </c>
      <c r="J43">
        <v>0</v>
      </c>
      <c r="K43" s="67">
        <v>1805859.66</v>
      </c>
    </row>
    <row r="44" spans="1:11" x14ac:dyDescent="0.25">
      <c r="A44" t="s">
        <v>1122</v>
      </c>
      <c r="B44" t="s">
        <v>1123</v>
      </c>
      <c r="C44" t="s">
        <v>560</v>
      </c>
      <c r="D44" t="s">
        <v>587</v>
      </c>
      <c r="E44">
        <v>1740000</v>
      </c>
      <c r="F44" t="s">
        <v>588</v>
      </c>
      <c r="G44">
        <v>0</v>
      </c>
      <c r="H44">
        <v>0</v>
      </c>
      <c r="I44">
        <v>0</v>
      </c>
      <c r="J44">
        <v>0</v>
      </c>
      <c r="K44" s="67">
        <v>1740000</v>
      </c>
    </row>
    <row r="45" spans="1:11" x14ac:dyDescent="0.25">
      <c r="A45" t="s">
        <v>214</v>
      </c>
      <c r="B45" t="s">
        <v>215</v>
      </c>
      <c r="C45" t="s">
        <v>560</v>
      </c>
      <c r="D45" t="s">
        <v>567</v>
      </c>
      <c r="E45">
        <v>1328547.32</v>
      </c>
      <c r="F45" t="s">
        <v>568</v>
      </c>
      <c r="G45">
        <v>3633671.36</v>
      </c>
      <c r="H45">
        <v>0</v>
      </c>
      <c r="I45">
        <v>0</v>
      </c>
      <c r="J45">
        <v>0</v>
      </c>
      <c r="K45" s="67">
        <v>4962218.68</v>
      </c>
    </row>
    <row r="46" spans="1:11" x14ac:dyDescent="0.25">
      <c r="A46" t="s">
        <v>216</v>
      </c>
      <c r="B46" t="s">
        <v>217</v>
      </c>
      <c r="C46" t="s">
        <v>560</v>
      </c>
      <c r="D46" t="s">
        <v>591</v>
      </c>
      <c r="E46">
        <v>3150497.56</v>
      </c>
      <c r="F46" t="s">
        <v>592</v>
      </c>
      <c r="G46">
        <v>0</v>
      </c>
      <c r="H46">
        <v>0</v>
      </c>
      <c r="I46">
        <v>0</v>
      </c>
      <c r="J46">
        <v>-0.01</v>
      </c>
      <c r="K46" s="67">
        <v>3150497.55</v>
      </c>
    </row>
    <row r="47" spans="1:11" x14ac:dyDescent="0.25">
      <c r="A47" t="s">
        <v>1022</v>
      </c>
      <c r="B47" t="s">
        <v>1023</v>
      </c>
      <c r="C47" t="s">
        <v>560</v>
      </c>
      <c r="D47" t="s">
        <v>657</v>
      </c>
      <c r="E47">
        <v>22095215.899999999</v>
      </c>
      <c r="F47" t="s">
        <v>658</v>
      </c>
      <c r="G47">
        <v>0</v>
      </c>
      <c r="H47">
        <v>0</v>
      </c>
      <c r="I47">
        <v>0</v>
      </c>
      <c r="J47">
        <v>0</v>
      </c>
      <c r="K47" s="67">
        <v>22095215.899999999</v>
      </c>
    </row>
    <row r="48" spans="1:11" x14ac:dyDescent="0.25">
      <c r="A48" t="s">
        <v>218</v>
      </c>
      <c r="B48" t="s">
        <v>219</v>
      </c>
      <c r="C48" t="s">
        <v>560</v>
      </c>
      <c r="D48" t="s">
        <v>611</v>
      </c>
      <c r="E48">
        <v>3417957.15</v>
      </c>
      <c r="F48" t="s">
        <v>612</v>
      </c>
      <c r="G48">
        <v>7297185.5099999998</v>
      </c>
      <c r="H48">
        <v>63141.47</v>
      </c>
      <c r="I48">
        <v>0</v>
      </c>
      <c r="J48">
        <v>0</v>
      </c>
      <c r="K48" s="67">
        <v>10778284.130000001</v>
      </c>
    </row>
    <row r="49" spans="1:11" x14ac:dyDescent="0.25">
      <c r="A49" t="s">
        <v>613</v>
      </c>
      <c r="B49" t="s">
        <v>614</v>
      </c>
      <c r="C49" t="s">
        <v>560</v>
      </c>
      <c r="D49" t="s">
        <v>615</v>
      </c>
      <c r="E49">
        <v>0</v>
      </c>
      <c r="F49" t="s">
        <v>616</v>
      </c>
      <c r="G49">
        <v>1268511.24</v>
      </c>
      <c r="H49">
        <v>0</v>
      </c>
      <c r="I49">
        <v>0</v>
      </c>
      <c r="J49">
        <v>0</v>
      </c>
      <c r="K49" s="67">
        <v>1268511.24</v>
      </c>
    </row>
    <row r="50" spans="1:11" x14ac:dyDescent="0.25">
      <c r="A50" t="s">
        <v>220</v>
      </c>
      <c r="B50" t="s">
        <v>221</v>
      </c>
      <c r="C50" t="s">
        <v>560</v>
      </c>
      <c r="D50" t="s">
        <v>591</v>
      </c>
      <c r="E50">
        <v>0</v>
      </c>
      <c r="F50" t="s">
        <v>592</v>
      </c>
      <c r="G50">
        <v>0</v>
      </c>
      <c r="H50">
        <v>0</v>
      </c>
      <c r="I50">
        <v>0</v>
      </c>
      <c r="J50">
        <v>217</v>
      </c>
      <c r="K50" s="67">
        <v>217</v>
      </c>
    </row>
    <row r="51" spans="1:11" x14ac:dyDescent="0.25">
      <c r="A51" t="s">
        <v>509</v>
      </c>
      <c r="B51" t="s">
        <v>510</v>
      </c>
      <c r="C51" t="s">
        <v>560</v>
      </c>
      <c r="D51" t="s">
        <v>617</v>
      </c>
      <c r="E51">
        <v>0</v>
      </c>
      <c r="F51" t="s">
        <v>618</v>
      </c>
      <c r="G51">
        <v>268800</v>
      </c>
      <c r="H51">
        <v>0</v>
      </c>
      <c r="I51">
        <v>0</v>
      </c>
      <c r="J51">
        <v>0</v>
      </c>
      <c r="K51" s="67">
        <v>268800</v>
      </c>
    </row>
    <row r="52" spans="1:11" x14ac:dyDescent="0.25">
      <c r="A52" t="s">
        <v>1024</v>
      </c>
      <c r="B52" t="s">
        <v>1025</v>
      </c>
      <c r="C52" t="s">
        <v>560</v>
      </c>
      <c r="D52" t="s">
        <v>645</v>
      </c>
      <c r="E52">
        <v>667207.14</v>
      </c>
      <c r="F52" t="s">
        <v>646</v>
      </c>
      <c r="G52">
        <v>0</v>
      </c>
      <c r="H52">
        <v>0</v>
      </c>
      <c r="I52">
        <v>0</v>
      </c>
      <c r="J52">
        <v>0</v>
      </c>
      <c r="K52" s="67">
        <v>667207.14</v>
      </c>
    </row>
    <row r="53" spans="1:11" x14ac:dyDescent="0.25">
      <c r="A53" t="s">
        <v>222</v>
      </c>
      <c r="B53" t="s">
        <v>223</v>
      </c>
      <c r="C53" t="s">
        <v>560</v>
      </c>
      <c r="D53" t="s">
        <v>619</v>
      </c>
      <c r="E53">
        <v>624243.84</v>
      </c>
      <c r="F53" t="s">
        <v>620</v>
      </c>
      <c r="G53">
        <v>347086.08000000002</v>
      </c>
      <c r="H53">
        <v>0</v>
      </c>
      <c r="I53">
        <v>0</v>
      </c>
      <c r="J53">
        <v>0</v>
      </c>
      <c r="K53" s="67">
        <v>971329.92</v>
      </c>
    </row>
    <row r="54" spans="1:11" x14ac:dyDescent="0.25">
      <c r="A54" t="s">
        <v>224</v>
      </c>
      <c r="B54" t="s">
        <v>225</v>
      </c>
      <c r="C54" t="s">
        <v>560</v>
      </c>
      <c r="D54" t="s">
        <v>621</v>
      </c>
      <c r="E54">
        <v>23751414.949999999</v>
      </c>
      <c r="F54" t="s">
        <v>622</v>
      </c>
      <c r="G54">
        <v>0</v>
      </c>
      <c r="H54">
        <v>0</v>
      </c>
      <c r="I54">
        <v>0</v>
      </c>
      <c r="J54">
        <v>0</v>
      </c>
      <c r="K54" s="67">
        <v>23751414.949999999</v>
      </c>
    </row>
    <row r="55" spans="1:11" x14ac:dyDescent="0.25">
      <c r="A55" t="s">
        <v>1026</v>
      </c>
      <c r="B55" t="s">
        <v>1027</v>
      </c>
      <c r="C55" t="s">
        <v>560</v>
      </c>
      <c r="D55" t="s">
        <v>727</v>
      </c>
      <c r="E55">
        <v>1817783</v>
      </c>
      <c r="F55" t="s">
        <v>728</v>
      </c>
      <c r="G55">
        <v>0</v>
      </c>
      <c r="H55">
        <v>0</v>
      </c>
      <c r="I55">
        <v>0</v>
      </c>
      <c r="J55">
        <v>0</v>
      </c>
      <c r="K55" s="67">
        <v>1817783</v>
      </c>
    </row>
    <row r="56" spans="1:11" x14ac:dyDescent="0.25">
      <c r="A56" t="s">
        <v>226</v>
      </c>
      <c r="B56" t="s">
        <v>227</v>
      </c>
      <c r="C56" t="s">
        <v>560</v>
      </c>
      <c r="D56" t="s">
        <v>625</v>
      </c>
      <c r="E56">
        <v>100206000</v>
      </c>
      <c r="F56" t="s">
        <v>626</v>
      </c>
      <c r="G56">
        <v>25496800</v>
      </c>
      <c r="H56">
        <v>0</v>
      </c>
      <c r="I56">
        <v>100000000</v>
      </c>
      <c r="J56">
        <v>0</v>
      </c>
      <c r="K56" s="67">
        <v>225702800</v>
      </c>
    </row>
    <row r="57" spans="1:11" x14ac:dyDescent="0.25">
      <c r="A57" t="s">
        <v>228</v>
      </c>
      <c r="B57" t="s">
        <v>229</v>
      </c>
      <c r="C57" t="s">
        <v>560</v>
      </c>
      <c r="D57" t="s">
        <v>627</v>
      </c>
      <c r="E57">
        <v>10933251.08</v>
      </c>
      <c r="F57" t="s">
        <v>628</v>
      </c>
      <c r="G57">
        <v>173328118.06999999</v>
      </c>
      <c r="H57">
        <v>343409756.85000002</v>
      </c>
      <c r="I57">
        <v>0</v>
      </c>
      <c r="J57">
        <v>0</v>
      </c>
      <c r="K57" s="67">
        <v>527671126</v>
      </c>
    </row>
    <row r="58" spans="1:11" x14ac:dyDescent="0.25">
      <c r="A58" t="s">
        <v>230</v>
      </c>
      <c r="B58" t="s">
        <v>229</v>
      </c>
      <c r="C58" t="s">
        <v>560</v>
      </c>
      <c r="D58" t="s">
        <v>627</v>
      </c>
      <c r="E58">
        <v>88922555.189999998</v>
      </c>
      <c r="F58" t="s">
        <v>628</v>
      </c>
      <c r="G58">
        <v>62399883.490000002</v>
      </c>
      <c r="H58">
        <v>0</v>
      </c>
      <c r="I58">
        <v>0</v>
      </c>
      <c r="J58">
        <v>0</v>
      </c>
      <c r="K58" s="67">
        <v>151322438.68000001</v>
      </c>
    </row>
    <row r="59" spans="1:11" x14ac:dyDescent="0.25">
      <c r="A59" t="s">
        <v>231</v>
      </c>
      <c r="B59" t="s">
        <v>229</v>
      </c>
      <c r="C59" t="s">
        <v>560</v>
      </c>
      <c r="D59" t="s">
        <v>627</v>
      </c>
      <c r="E59">
        <v>59083737.549999997</v>
      </c>
      <c r="F59" t="s">
        <v>628</v>
      </c>
      <c r="G59">
        <v>66715242.869999997</v>
      </c>
      <c r="H59">
        <v>0</v>
      </c>
      <c r="I59">
        <v>0</v>
      </c>
      <c r="J59">
        <v>0</v>
      </c>
      <c r="K59" s="67">
        <v>125798980.42</v>
      </c>
    </row>
    <row r="60" spans="1:11" x14ac:dyDescent="0.25">
      <c r="A60" t="s">
        <v>232</v>
      </c>
      <c r="B60" t="s">
        <v>233</v>
      </c>
      <c r="C60" t="s">
        <v>560</v>
      </c>
      <c r="D60" t="s">
        <v>629</v>
      </c>
      <c r="E60">
        <v>0</v>
      </c>
      <c r="F60" t="s">
        <v>630</v>
      </c>
      <c r="G60">
        <v>0</v>
      </c>
      <c r="H60">
        <v>0</v>
      </c>
      <c r="I60">
        <v>0</v>
      </c>
      <c r="J60">
        <v>4157535.95</v>
      </c>
      <c r="K60" s="67">
        <v>4157535.95</v>
      </c>
    </row>
    <row r="61" spans="1:11" x14ac:dyDescent="0.25">
      <c r="A61" t="s">
        <v>1028</v>
      </c>
      <c r="B61" t="s">
        <v>1029</v>
      </c>
      <c r="C61" t="s">
        <v>560</v>
      </c>
      <c r="D61" t="s">
        <v>629</v>
      </c>
      <c r="E61">
        <v>157300</v>
      </c>
      <c r="F61" t="s">
        <v>630</v>
      </c>
      <c r="G61">
        <v>0</v>
      </c>
      <c r="H61">
        <v>0</v>
      </c>
      <c r="I61">
        <v>0</v>
      </c>
      <c r="J61">
        <v>0</v>
      </c>
      <c r="K61" s="67">
        <v>157300</v>
      </c>
    </row>
    <row r="62" spans="1:11" x14ac:dyDescent="0.25">
      <c r="A62" t="s">
        <v>234</v>
      </c>
      <c r="B62" t="s">
        <v>235</v>
      </c>
      <c r="C62" t="s">
        <v>560</v>
      </c>
      <c r="D62" t="s">
        <v>631</v>
      </c>
      <c r="E62">
        <v>273411.59999999998</v>
      </c>
      <c r="F62" t="s">
        <v>632</v>
      </c>
      <c r="G62">
        <v>2031096.08</v>
      </c>
      <c r="H62">
        <v>0</v>
      </c>
      <c r="I62">
        <v>0</v>
      </c>
      <c r="J62">
        <v>0</v>
      </c>
      <c r="K62" s="67">
        <v>2304507.6800000002</v>
      </c>
    </row>
    <row r="63" spans="1:11" x14ac:dyDescent="0.25">
      <c r="A63" t="s">
        <v>236</v>
      </c>
      <c r="B63" t="s">
        <v>237</v>
      </c>
      <c r="C63" t="s">
        <v>560</v>
      </c>
      <c r="D63" t="s">
        <v>633</v>
      </c>
      <c r="E63">
        <v>0</v>
      </c>
      <c r="F63" t="s">
        <v>634</v>
      </c>
      <c r="G63">
        <v>0</v>
      </c>
      <c r="H63">
        <v>0</v>
      </c>
      <c r="I63">
        <v>0</v>
      </c>
      <c r="J63">
        <v>-204.43</v>
      </c>
      <c r="K63" s="67">
        <v>-204.43</v>
      </c>
    </row>
    <row r="64" spans="1:11" x14ac:dyDescent="0.25">
      <c r="A64" t="s">
        <v>238</v>
      </c>
      <c r="B64" t="s">
        <v>239</v>
      </c>
      <c r="C64" t="s">
        <v>560</v>
      </c>
      <c r="D64" t="s">
        <v>581</v>
      </c>
      <c r="E64">
        <v>3896663.63</v>
      </c>
      <c r="F64" t="s">
        <v>582</v>
      </c>
      <c r="G64">
        <v>23109753.030000001</v>
      </c>
      <c r="H64">
        <v>0</v>
      </c>
      <c r="I64">
        <v>0</v>
      </c>
      <c r="J64">
        <v>0</v>
      </c>
      <c r="K64" s="67">
        <v>27006416.66</v>
      </c>
    </row>
    <row r="65" spans="1:11" x14ac:dyDescent="0.25">
      <c r="A65" t="s">
        <v>240</v>
      </c>
      <c r="B65" t="s">
        <v>241</v>
      </c>
      <c r="C65" t="s">
        <v>560</v>
      </c>
      <c r="D65" t="s">
        <v>635</v>
      </c>
      <c r="E65">
        <v>3767831.12</v>
      </c>
      <c r="F65" t="s">
        <v>636</v>
      </c>
      <c r="G65">
        <v>0</v>
      </c>
      <c r="H65">
        <v>478343.25</v>
      </c>
      <c r="I65">
        <v>0</v>
      </c>
      <c r="J65">
        <v>0</v>
      </c>
      <c r="K65" s="67">
        <v>4246174.37</v>
      </c>
    </row>
    <row r="66" spans="1:11" x14ac:dyDescent="0.25">
      <c r="A66" t="s">
        <v>242</v>
      </c>
      <c r="B66" t="s">
        <v>243</v>
      </c>
      <c r="C66" t="s">
        <v>560</v>
      </c>
      <c r="D66" t="s">
        <v>637</v>
      </c>
      <c r="E66">
        <v>2672059.1800000002</v>
      </c>
      <c r="F66" t="s">
        <v>638</v>
      </c>
      <c r="G66">
        <v>9962346.4399999995</v>
      </c>
      <c r="H66">
        <v>0</v>
      </c>
      <c r="I66">
        <v>0</v>
      </c>
      <c r="J66">
        <v>0</v>
      </c>
      <c r="K66" s="67">
        <v>12634405.619999999</v>
      </c>
    </row>
    <row r="67" spans="1:11" x14ac:dyDescent="0.25">
      <c r="A67" t="s">
        <v>244</v>
      </c>
      <c r="B67" t="s">
        <v>245</v>
      </c>
      <c r="C67" t="s">
        <v>560</v>
      </c>
      <c r="D67" t="s">
        <v>639</v>
      </c>
      <c r="E67">
        <v>1303521.94</v>
      </c>
      <c r="F67" t="s">
        <v>640</v>
      </c>
      <c r="G67">
        <v>0</v>
      </c>
      <c r="H67">
        <v>0</v>
      </c>
      <c r="I67">
        <v>0</v>
      </c>
      <c r="J67">
        <v>0</v>
      </c>
      <c r="K67" s="67">
        <v>1303521.94</v>
      </c>
    </row>
    <row r="68" spans="1:11" x14ac:dyDescent="0.25">
      <c r="A68" t="s">
        <v>1124</v>
      </c>
      <c r="B68" t="s">
        <v>1125</v>
      </c>
      <c r="C68" t="s">
        <v>560</v>
      </c>
      <c r="D68" t="s">
        <v>591</v>
      </c>
      <c r="E68">
        <v>8483654.8499999996</v>
      </c>
      <c r="F68" t="s">
        <v>592</v>
      </c>
      <c r="G68">
        <v>0</v>
      </c>
      <c r="H68">
        <v>0</v>
      </c>
      <c r="I68">
        <v>0</v>
      </c>
      <c r="J68">
        <v>0</v>
      </c>
      <c r="K68" s="67">
        <v>8483654.8499999996</v>
      </c>
    </row>
    <row r="69" spans="1:11" x14ac:dyDescent="0.25">
      <c r="A69" t="s">
        <v>246</v>
      </c>
      <c r="B69" t="s">
        <v>247</v>
      </c>
      <c r="C69" t="s">
        <v>560</v>
      </c>
      <c r="D69" t="s">
        <v>603</v>
      </c>
      <c r="E69">
        <v>1569811.4</v>
      </c>
      <c r="F69" t="s">
        <v>604</v>
      </c>
      <c r="G69">
        <v>1246324.94</v>
      </c>
      <c r="H69">
        <v>1493843.2</v>
      </c>
      <c r="I69">
        <v>0</v>
      </c>
      <c r="J69">
        <v>0</v>
      </c>
      <c r="K69" s="67">
        <v>4309979.54</v>
      </c>
    </row>
    <row r="70" spans="1:11" x14ac:dyDescent="0.25">
      <c r="A70" t="s">
        <v>511</v>
      </c>
      <c r="B70" t="s">
        <v>512</v>
      </c>
      <c r="C70" t="s">
        <v>560</v>
      </c>
      <c r="D70" t="s">
        <v>641</v>
      </c>
      <c r="E70">
        <v>149979.5</v>
      </c>
      <c r="F70" t="s">
        <v>642</v>
      </c>
      <c r="G70">
        <v>0</v>
      </c>
      <c r="H70">
        <v>0</v>
      </c>
      <c r="I70">
        <v>0</v>
      </c>
      <c r="J70">
        <v>0</v>
      </c>
      <c r="K70" s="67">
        <v>149979.5</v>
      </c>
    </row>
    <row r="71" spans="1:11" x14ac:dyDescent="0.25">
      <c r="A71" t="s">
        <v>248</v>
      </c>
      <c r="B71" t="s">
        <v>249</v>
      </c>
      <c r="C71" t="s">
        <v>560</v>
      </c>
      <c r="D71" t="s">
        <v>581</v>
      </c>
      <c r="E71">
        <v>1050349.8999999999</v>
      </c>
      <c r="F71" t="s">
        <v>582</v>
      </c>
      <c r="G71">
        <v>0</v>
      </c>
      <c r="H71">
        <v>0</v>
      </c>
      <c r="I71">
        <v>0</v>
      </c>
      <c r="J71">
        <v>0</v>
      </c>
      <c r="K71" s="67">
        <v>1050349.8999999999</v>
      </c>
    </row>
    <row r="72" spans="1:11" x14ac:dyDescent="0.25">
      <c r="A72" t="s">
        <v>250</v>
      </c>
      <c r="B72" t="s">
        <v>251</v>
      </c>
      <c r="C72" t="s">
        <v>560</v>
      </c>
      <c r="D72" t="s">
        <v>581</v>
      </c>
      <c r="E72">
        <v>3486831.57</v>
      </c>
      <c r="F72" t="s">
        <v>582</v>
      </c>
      <c r="G72">
        <v>0</v>
      </c>
      <c r="H72">
        <v>0</v>
      </c>
      <c r="I72">
        <v>0</v>
      </c>
      <c r="J72">
        <v>0</v>
      </c>
      <c r="K72" s="67">
        <v>3486831.57</v>
      </c>
    </row>
    <row r="73" spans="1:11" x14ac:dyDescent="0.25">
      <c r="A73" t="s">
        <v>1030</v>
      </c>
      <c r="B73" t="s">
        <v>1031</v>
      </c>
      <c r="C73" t="s">
        <v>560</v>
      </c>
      <c r="D73" t="s">
        <v>713</v>
      </c>
      <c r="E73">
        <v>190038508.71000001</v>
      </c>
      <c r="F73" t="s">
        <v>714</v>
      </c>
      <c r="G73">
        <v>0</v>
      </c>
      <c r="H73">
        <v>0</v>
      </c>
      <c r="I73">
        <v>0</v>
      </c>
      <c r="J73">
        <v>0</v>
      </c>
      <c r="K73" s="67">
        <v>190038508.71000001</v>
      </c>
    </row>
    <row r="74" spans="1:11" x14ac:dyDescent="0.25">
      <c r="A74" t="s">
        <v>643</v>
      </c>
      <c r="B74" t="s">
        <v>644</v>
      </c>
      <c r="C74" t="s">
        <v>560</v>
      </c>
      <c r="D74" t="s">
        <v>645</v>
      </c>
      <c r="E74">
        <v>6587200</v>
      </c>
      <c r="F74" t="s">
        <v>646</v>
      </c>
      <c r="G74">
        <v>5800000</v>
      </c>
      <c r="H74">
        <v>0</v>
      </c>
      <c r="I74">
        <v>0</v>
      </c>
      <c r="J74">
        <v>0</v>
      </c>
      <c r="K74" s="67">
        <v>12387200</v>
      </c>
    </row>
    <row r="75" spans="1:11" x14ac:dyDescent="0.25">
      <c r="A75" t="s">
        <v>1126</v>
      </c>
      <c r="B75" t="s">
        <v>1127</v>
      </c>
      <c r="C75" t="s">
        <v>560</v>
      </c>
      <c r="D75" t="s">
        <v>673</v>
      </c>
      <c r="E75">
        <v>8800000</v>
      </c>
      <c r="F75" t="s">
        <v>674</v>
      </c>
      <c r="G75">
        <v>0</v>
      </c>
      <c r="H75">
        <v>0</v>
      </c>
      <c r="I75">
        <v>0</v>
      </c>
      <c r="J75">
        <v>0</v>
      </c>
      <c r="K75" s="67">
        <v>8800000</v>
      </c>
    </row>
    <row r="76" spans="1:11" x14ac:dyDescent="0.25">
      <c r="A76" t="s">
        <v>252</v>
      </c>
      <c r="B76" t="s">
        <v>253</v>
      </c>
      <c r="C76" t="s">
        <v>560</v>
      </c>
      <c r="D76" t="s">
        <v>647</v>
      </c>
      <c r="E76">
        <v>22990</v>
      </c>
      <c r="F76" t="s">
        <v>648</v>
      </c>
      <c r="G76">
        <v>27970384.989999998</v>
      </c>
      <c r="H76">
        <v>30031239.93</v>
      </c>
      <c r="I76">
        <v>0</v>
      </c>
      <c r="J76">
        <v>0</v>
      </c>
      <c r="K76" s="67">
        <v>58024614.920000002</v>
      </c>
    </row>
    <row r="77" spans="1:11" x14ac:dyDescent="0.25">
      <c r="A77" t="s">
        <v>254</v>
      </c>
      <c r="B77" t="s">
        <v>255</v>
      </c>
      <c r="C77" t="s">
        <v>560</v>
      </c>
      <c r="D77" t="s">
        <v>649</v>
      </c>
      <c r="E77">
        <v>0</v>
      </c>
      <c r="F77" t="s">
        <v>650</v>
      </c>
      <c r="G77">
        <v>1180000</v>
      </c>
      <c r="H77">
        <v>0</v>
      </c>
      <c r="I77">
        <v>0</v>
      </c>
      <c r="J77">
        <v>0</v>
      </c>
      <c r="K77" s="67">
        <v>1180000</v>
      </c>
    </row>
    <row r="78" spans="1:11" x14ac:dyDescent="0.25">
      <c r="A78" t="s">
        <v>256</v>
      </c>
      <c r="B78" t="s">
        <v>257</v>
      </c>
      <c r="C78" t="s">
        <v>560</v>
      </c>
      <c r="D78" t="s">
        <v>635</v>
      </c>
      <c r="E78">
        <v>667266.6</v>
      </c>
      <c r="F78" t="s">
        <v>636</v>
      </c>
      <c r="G78">
        <v>5161649.46</v>
      </c>
      <c r="H78">
        <v>0</v>
      </c>
      <c r="I78">
        <v>0</v>
      </c>
      <c r="J78">
        <v>0</v>
      </c>
      <c r="K78" s="67">
        <v>5828916.0599999996</v>
      </c>
    </row>
    <row r="79" spans="1:11" x14ac:dyDescent="0.25">
      <c r="A79" t="s">
        <v>1032</v>
      </c>
      <c r="B79" t="s">
        <v>1033</v>
      </c>
      <c r="C79" t="s">
        <v>560</v>
      </c>
      <c r="D79" t="s">
        <v>1034</v>
      </c>
      <c r="E79">
        <v>66005.97</v>
      </c>
      <c r="F79" t="s">
        <v>1035</v>
      </c>
      <c r="G79">
        <v>124011.22</v>
      </c>
      <c r="H79">
        <v>0</v>
      </c>
      <c r="I79">
        <v>0</v>
      </c>
      <c r="J79">
        <v>0</v>
      </c>
      <c r="K79" s="67">
        <v>190017.19</v>
      </c>
    </row>
    <row r="80" spans="1:11" x14ac:dyDescent="0.25">
      <c r="A80" t="s">
        <v>258</v>
      </c>
      <c r="B80" t="s">
        <v>259</v>
      </c>
      <c r="C80" t="s">
        <v>560</v>
      </c>
      <c r="D80" t="s">
        <v>615</v>
      </c>
      <c r="E80">
        <v>0</v>
      </c>
      <c r="F80" t="s">
        <v>616</v>
      </c>
      <c r="G80">
        <v>0</v>
      </c>
      <c r="H80">
        <v>11499840</v>
      </c>
      <c r="I80">
        <v>0</v>
      </c>
      <c r="J80">
        <v>0</v>
      </c>
      <c r="K80" s="67">
        <v>11499840</v>
      </c>
    </row>
    <row r="81" spans="1:11" x14ac:dyDescent="0.25">
      <c r="A81" t="s">
        <v>260</v>
      </c>
      <c r="B81" t="s">
        <v>261</v>
      </c>
      <c r="C81" t="s">
        <v>560</v>
      </c>
      <c r="D81" t="s">
        <v>591</v>
      </c>
      <c r="E81">
        <v>0</v>
      </c>
      <c r="F81" t="s">
        <v>592</v>
      </c>
      <c r="G81">
        <v>2090000</v>
      </c>
      <c r="H81">
        <v>0</v>
      </c>
      <c r="I81">
        <v>0</v>
      </c>
      <c r="J81">
        <v>0</v>
      </c>
      <c r="K81" s="67">
        <v>2090000</v>
      </c>
    </row>
    <row r="82" spans="1:11" x14ac:dyDescent="0.25">
      <c r="A82" t="s">
        <v>262</v>
      </c>
      <c r="B82" t="s">
        <v>263</v>
      </c>
      <c r="C82" t="s">
        <v>560</v>
      </c>
      <c r="D82" t="s">
        <v>645</v>
      </c>
      <c r="E82">
        <v>4807000.88</v>
      </c>
      <c r="F82" t="s">
        <v>646</v>
      </c>
      <c r="G82">
        <v>15218202.67</v>
      </c>
      <c r="H82">
        <v>0</v>
      </c>
      <c r="I82">
        <v>0</v>
      </c>
      <c r="J82">
        <v>0</v>
      </c>
      <c r="K82" s="67">
        <v>20025203.550000001</v>
      </c>
    </row>
    <row r="83" spans="1:11" x14ac:dyDescent="0.25">
      <c r="A83" t="s">
        <v>1128</v>
      </c>
      <c r="B83" t="s">
        <v>1129</v>
      </c>
      <c r="C83" t="s">
        <v>560</v>
      </c>
      <c r="D83" t="s">
        <v>633</v>
      </c>
      <c r="E83">
        <v>3153258.58</v>
      </c>
      <c r="F83" t="s">
        <v>634</v>
      </c>
      <c r="G83">
        <v>0</v>
      </c>
      <c r="H83">
        <v>0</v>
      </c>
      <c r="I83">
        <v>0</v>
      </c>
      <c r="J83">
        <v>0</v>
      </c>
      <c r="K83" s="67">
        <v>3153258.58</v>
      </c>
    </row>
    <row r="84" spans="1:11" x14ac:dyDescent="0.25">
      <c r="A84" t="s">
        <v>264</v>
      </c>
      <c r="B84" t="s">
        <v>265</v>
      </c>
      <c r="C84" t="s">
        <v>560</v>
      </c>
      <c r="D84" t="s">
        <v>651</v>
      </c>
      <c r="E84">
        <v>21308.1</v>
      </c>
      <c r="F84" t="s">
        <v>652</v>
      </c>
      <c r="G84">
        <v>7091309.0599999996</v>
      </c>
      <c r="H84">
        <v>0</v>
      </c>
      <c r="I84">
        <v>0</v>
      </c>
      <c r="J84">
        <v>0</v>
      </c>
      <c r="K84" s="67">
        <v>7112617.1600000001</v>
      </c>
    </row>
    <row r="85" spans="1:11" x14ac:dyDescent="0.25">
      <c r="A85" t="s">
        <v>1130</v>
      </c>
      <c r="B85" t="s">
        <v>1131</v>
      </c>
      <c r="C85" t="s">
        <v>560</v>
      </c>
      <c r="D85" t="s">
        <v>689</v>
      </c>
      <c r="E85">
        <v>85739352.450000003</v>
      </c>
      <c r="F85" t="s">
        <v>690</v>
      </c>
      <c r="G85">
        <v>0</v>
      </c>
      <c r="H85">
        <v>0</v>
      </c>
      <c r="I85">
        <v>0</v>
      </c>
      <c r="J85">
        <v>0</v>
      </c>
      <c r="K85" s="67">
        <v>85739352.450000003</v>
      </c>
    </row>
    <row r="86" spans="1:11" x14ac:dyDescent="0.25">
      <c r="A86" t="s">
        <v>266</v>
      </c>
      <c r="B86" t="s">
        <v>267</v>
      </c>
      <c r="C86" t="s">
        <v>560</v>
      </c>
      <c r="D86" t="s">
        <v>653</v>
      </c>
      <c r="E86">
        <v>7696850.6200000001</v>
      </c>
      <c r="F86" t="s">
        <v>654</v>
      </c>
      <c r="G86">
        <v>0</v>
      </c>
      <c r="H86">
        <v>0</v>
      </c>
      <c r="I86">
        <v>0</v>
      </c>
      <c r="J86">
        <v>0</v>
      </c>
      <c r="K86" s="67">
        <v>7696850.6200000001</v>
      </c>
    </row>
    <row r="87" spans="1:11" x14ac:dyDescent="0.25">
      <c r="A87" t="s">
        <v>268</v>
      </c>
      <c r="B87" t="s">
        <v>269</v>
      </c>
      <c r="C87" t="s">
        <v>560</v>
      </c>
      <c r="D87" t="s">
        <v>567</v>
      </c>
      <c r="E87">
        <v>462127.11</v>
      </c>
      <c r="F87" t="s">
        <v>568</v>
      </c>
      <c r="G87">
        <v>1615718.04</v>
      </c>
      <c r="H87">
        <v>0</v>
      </c>
      <c r="I87">
        <v>0</v>
      </c>
      <c r="J87">
        <v>0</v>
      </c>
      <c r="K87" s="67">
        <v>2077845.15</v>
      </c>
    </row>
    <row r="88" spans="1:11" x14ac:dyDescent="0.25">
      <c r="A88" t="s">
        <v>270</v>
      </c>
      <c r="B88" t="s">
        <v>271</v>
      </c>
      <c r="C88" t="s">
        <v>560</v>
      </c>
      <c r="D88" t="s">
        <v>591</v>
      </c>
      <c r="E88">
        <v>90750</v>
      </c>
      <c r="F88" t="s">
        <v>592</v>
      </c>
      <c r="G88">
        <v>0</v>
      </c>
      <c r="H88">
        <v>90750</v>
      </c>
      <c r="I88">
        <v>0</v>
      </c>
      <c r="J88">
        <v>0</v>
      </c>
      <c r="K88" s="67">
        <v>181500</v>
      </c>
    </row>
    <row r="89" spans="1:11" x14ac:dyDescent="0.25">
      <c r="A89" t="s">
        <v>513</v>
      </c>
      <c r="B89" t="s">
        <v>514</v>
      </c>
      <c r="C89" t="s">
        <v>560</v>
      </c>
      <c r="D89" t="s">
        <v>655</v>
      </c>
      <c r="E89">
        <v>167999.99</v>
      </c>
      <c r="F89" t="s">
        <v>656</v>
      </c>
      <c r="G89">
        <v>223999.99</v>
      </c>
      <c r="H89">
        <v>0</v>
      </c>
      <c r="I89">
        <v>0</v>
      </c>
      <c r="J89">
        <v>0</v>
      </c>
      <c r="K89" s="67">
        <v>391999.98</v>
      </c>
    </row>
    <row r="90" spans="1:11" x14ac:dyDescent="0.25">
      <c r="A90" t="s">
        <v>272</v>
      </c>
      <c r="B90" t="s">
        <v>273</v>
      </c>
      <c r="C90" t="s">
        <v>560</v>
      </c>
      <c r="D90" t="s">
        <v>563</v>
      </c>
      <c r="E90">
        <v>715981.2</v>
      </c>
      <c r="F90" t="s">
        <v>564</v>
      </c>
      <c r="G90">
        <v>0</v>
      </c>
      <c r="H90">
        <v>0</v>
      </c>
      <c r="I90">
        <v>0</v>
      </c>
      <c r="J90">
        <v>0</v>
      </c>
      <c r="K90" s="67">
        <v>715981.2</v>
      </c>
    </row>
    <row r="91" spans="1:11" x14ac:dyDescent="0.25">
      <c r="A91" t="s">
        <v>274</v>
      </c>
      <c r="B91" t="s">
        <v>275</v>
      </c>
      <c r="C91" t="s">
        <v>560</v>
      </c>
      <c r="D91" t="s">
        <v>631</v>
      </c>
      <c r="E91">
        <v>0</v>
      </c>
      <c r="F91" t="s">
        <v>632</v>
      </c>
      <c r="G91">
        <v>0</v>
      </c>
      <c r="H91">
        <v>0</v>
      </c>
      <c r="I91">
        <v>290181.01</v>
      </c>
      <c r="J91">
        <v>0</v>
      </c>
      <c r="K91" s="67">
        <v>290181.01</v>
      </c>
    </row>
    <row r="92" spans="1:11" x14ac:dyDescent="0.25">
      <c r="A92" t="s">
        <v>1132</v>
      </c>
      <c r="B92" t="s">
        <v>1133</v>
      </c>
      <c r="C92" t="s">
        <v>560</v>
      </c>
      <c r="D92" t="s">
        <v>585</v>
      </c>
      <c r="E92">
        <v>380000</v>
      </c>
      <c r="F92" t="s">
        <v>586</v>
      </c>
      <c r="G92">
        <v>0</v>
      </c>
      <c r="H92">
        <v>0</v>
      </c>
      <c r="I92">
        <v>0</v>
      </c>
      <c r="J92">
        <v>0</v>
      </c>
      <c r="K92" s="67">
        <v>380000</v>
      </c>
    </row>
    <row r="93" spans="1:11" x14ac:dyDescent="0.25">
      <c r="A93" t="s">
        <v>276</v>
      </c>
      <c r="B93" t="s">
        <v>277</v>
      </c>
      <c r="C93" t="s">
        <v>560</v>
      </c>
      <c r="D93" t="s">
        <v>603</v>
      </c>
      <c r="E93">
        <v>0</v>
      </c>
      <c r="F93" t="s">
        <v>604</v>
      </c>
      <c r="G93">
        <v>6409121.7400000002</v>
      </c>
      <c r="H93">
        <v>0</v>
      </c>
      <c r="I93">
        <v>0</v>
      </c>
      <c r="J93">
        <v>0</v>
      </c>
      <c r="K93" s="67">
        <v>6409121.7400000002</v>
      </c>
    </row>
    <row r="94" spans="1:11" x14ac:dyDescent="0.25">
      <c r="A94" t="s">
        <v>278</v>
      </c>
      <c r="B94" t="s">
        <v>279</v>
      </c>
      <c r="C94" t="s">
        <v>560</v>
      </c>
      <c r="D94" t="s">
        <v>607</v>
      </c>
      <c r="E94">
        <v>1159012.69</v>
      </c>
      <c r="F94" t="s">
        <v>608</v>
      </c>
      <c r="G94">
        <v>1005421.38</v>
      </c>
      <c r="H94">
        <v>0</v>
      </c>
      <c r="I94">
        <v>0</v>
      </c>
      <c r="J94">
        <v>0</v>
      </c>
      <c r="K94" s="67">
        <v>2164434.0699999998</v>
      </c>
    </row>
    <row r="95" spans="1:11" x14ac:dyDescent="0.25">
      <c r="A95" t="s">
        <v>280</v>
      </c>
      <c r="B95" t="s">
        <v>281</v>
      </c>
      <c r="C95" t="s">
        <v>560</v>
      </c>
      <c r="D95" t="s">
        <v>657</v>
      </c>
      <c r="E95">
        <v>73815269.859999999</v>
      </c>
      <c r="F95" t="s">
        <v>658</v>
      </c>
      <c r="G95">
        <v>86993905.680000007</v>
      </c>
      <c r="H95">
        <v>0</v>
      </c>
      <c r="I95">
        <v>0</v>
      </c>
      <c r="J95">
        <v>0</v>
      </c>
      <c r="K95" s="67">
        <v>160809175.53999999</v>
      </c>
    </row>
    <row r="96" spans="1:11" x14ac:dyDescent="0.25">
      <c r="A96" t="s">
        <v>1134</v>
      </c>
      <c r="B96" t="s">
        <v>1135</v>
      </c>
      <c r="C96" t="s">
        <v>560</v>
      </c>
      <c r="D96" t="s">
        <v>619</v>
      </c>
      <c r="E96">
        <v>507795</v>
      </c>
      <c r="F96" t="s">
        <v>620</v>
      </c>
      <c r="G96">
        <v>0</v>
      </c>
      <c r="H96">
        <v>0</v>
      </c>
      <c r="I96">
        <v>0</v>
      </c>
      <c r="J96">
        <v>0</v>
      </c>
      <c r="K96" s="67">
        <v>507795</v>
      </c>
    </row>
    <row r="97" spans="1:11" x14ac:dyDescent="0.25">
      <c r="A97" t="s">
        <v>282</v>
      </c>
      <c r="B97" t="s">
        <v>283</v>
      </c>
      <c r="C97" t="s">
        <v>560</v>
      </c>
      <c r="D97" t="s">
        <v>659</v>
      </c>
      <c r="E97">
        <v>563200</v>
      </c>
      <c r="F97" t="s">
        <v>660</v>
      </c>
      <c r="G97">
        <v>3103880.01</v>
      </c>
      <c r="H97">
        <v>0</v>
      </c>
      <c r="I97">
        <v>0</v>
      </c>
      <c r="J97">
        <v>0</v>
      </c>
      <c r="K97" s="67">
        <v>3667080.01</v>
      </c>
    </row>
    <row r="98" spans="1:11" x14ac:dyDescent="0.25">
      <c r="A98" t="s">
        <v>1036</v>
      </c>
      <c r="B98" t="s">
        <v>1037</v>
      </c>
      <c r="C98" t="s">
        <v>560</v>
      </c>
      <c r="D98" t="s">
        <v>653</v>
      </c>
      <c r="E98">
        <v>2168236.6</v>
      </c>
      <c r="F98" t="s">
        <v>654</v>
      </c>
      <c r="G98">
        <v>0</v>
      </c>
      <c r="H98">
        <v>0</v>
      </c>
      <c r="I98">
        <v>0</v>
      </c>
      <c r="J98">
        <v>0</v>
      </c>
      <c r="K98" s="67">
        <v>2168236.6</v>
      </c>
    </row>
    <row r="99" spans="1:11" x14ac:dyDescent="0.25">
      <c r="A99" t="s">
        <v>284</v>
      </c>
      <c r="B99" t="s">
        <v>285</v>
      </c>
      <c r="C99" t="s">
        <v>560</v>
      </c>
      <c r="D99" t="s">
        <v>587</v>
      </c>
      <c r="E99">
        <v>780000</v>
      </c>
      <c r="F99" t="s">
        <v>588</v>
      </c>
      <c r="G99">
        <v>780000</v>
      </c>
      <c r="H99">
        <v>0</v>
      </c>
      <c r="I99">
        <v>0</v>
      </c>
      <c r="J99">
        <v>0</v>
      </c>
      <c r="K99" s="67">
        <v>1560000</v>
      </c>
    </row>
    <row r="100" spans="1:11" x14ac:dyDescent="0.25">
      <c r="A100" t="s">
        <v>286</v>
      </c>
      <c r="B100" t="s">
        <v>287</v>
      </c>
      <c r="C100" t="s">
        <v>560</v>
      </c>
      <c r="D100" t="s">
        <v>661</v>
      </c>
      <c r="E100">
        <v>0</v>
      </c>
      <c r="F100" t="s">
        <v>662</v>
      </c>
      <c r="G100">
        <v>180000</v>
      </c>
      <c r="H100">
        <v>0</v>
      </c>
      <c r="I100">
        <v>0</v>
      </c>
      <c r="J100">
        <v>0</v>
      </c>
      <c r="K100" s="67">
        <v>180000</v>
      </c>
    </row>
    <row r="101" spans="1:11" x14ac:dyDescent="0.25">
      <c r="A101" t="s">
        <v>288</v>
      </c>
      <c r="B101" t="s">
        <v>289</v>
      </c>
      <c r="C101" t="s">
        <v>560</v>
      </c>
      <c r="D101" t="s">
        <v>663</v>
      </c>
      <c r="E101">
        <v>0</v>
      </c>
      <c r="F101" t="s">
        <v>664</v>
      </c>
      <c r="G101">
        <v>0</v>
      </c>
      <c r="H101">
        <v>0</v>
      </c>
      <c r="I101">
        <v>0.02</v>
      </c>
      <c r="J101">
        <v>0</v>
      </c>
      <c r="K101" s="67">
        <v>0.02</v>
      </c>
    </row>
    <row r="102" spans="1:11" x14ac:dyDescent="0.25">
      <c r="A102" t="s">
        <v>290</v>
      </c>
      <c r="B102" t="s">
        <v>291</v>
      </c>
      <c r="C102" t="s">
        <v>560</v>
      </c>
      <c r="D102" t="s">
        <v>665</v>
      </c>
      <c r="E102">
        <v>264506</v>
      </c>
      <c r="F102" t="s">
        <v>666</v>
      </c>
      <c r="G102">
        <v>755040</v>
      </c>
      <c r="H102">
        <v>2633081</v>
      </c>
      <c r="I102">
        <v>0</v>
      </c>
      <c r="J102">
        <v>0</v>
      </c>
      <c r="K102" s="67">
        <v>3652627</v>
      </c>
    </row>
    <row r="103" spans="1:11" x14ac:dyDescent="0.25">
      <c r="A103" t="s">
        <v>1038</v>
      </c>
      <c r="B103" t="s">
        <v>1039</v>
      </c>
      <c r="C103" t="s">
        <v>560</v>
      </c>
      <c r="D103" t="s">
        <v>615</v>
      </c>
      <c r="E103">
        <v>4147260.48</v>
      </c>
      <c r="F103" t="s">
        <v>616</v>
      </c>
      <c r="G103">
        <v>0</v>
      </c>
      <c r="H103">
        <v>0</v>
      </c>
      <c r="I103">
        <v>0</v>
      </c>
      <c r="J103">
        <v>0</v>
      </c>
      <c r="K103" s="67">
        <v>4147260.48</v>
      </c>
    </row>
    <row r="104" spans="1:11" x14ac:dyDescent="0.25">
      <c r="A104" t="s">
        <v>292</v>
      </c>
      <c r="B104" t="s">
        <v>293</v>
      </c>
      <c r="C104" t="s">
        <v>560</v>
      </c>
      <c r="D104" t="s">
        <v>649</v>
      </c>
      <c r="E104">
        <v>4352249</v>
      </c>
      <c r="F104" t="s">
        <v>650</v>
      </c>
      <c r="G104">
        <v>0</v>
      </c>
      <c r="H104">
        <v>0</v>
      </c>
      <c r="I104">
        <v>0</v>
      </c>
      <c r="J104">
        <v>0</v>
      </c>
      <c r="K104" s="67">
        <v>4352249</v>
      </c>
    </row>
    <row r="105" spans="1:11" x14ac:dyDescent="0.25">
      <c r="A105" t="s">
        <v>294</v>
      </c>
      <c r="B105" t="s">
        <v>295</v>
      </c>
      <c r="C105" t="s">
        <v>560</v>
      </c>
      <c r="D105" t="s">
        <v>653</v>
      </c>
      <c r="E105">
        <v>108787.99</v>
      </c>
      <c r="F105" t="s">
        <v>654</v>
      </c>
      <c r="G105">
        <v>345483.55</v>
      </c>
      <c r="H105">
        <v>62731.58</v>
      </c>
      <c r="I105">
        <v>0</v>
      </c>
      <c r="J105">
        <v>0</v>
      </c>
      <c r="K105" s="67">
        <v>517003.12</v>
      </c>
    </row>
    <row r="106" spans="1:11" x14ac:dyDescent="0.25">
      <c r="A106" t="s">
        <v>515</v>
      </c>
      <c r="B106" t="s">
        <v>516</v>
      </c>
      <c r="C106" t="s">
        <v>560</v>
      </c>
      <c r="D106" t="s">
        <v>667</v>
      </c>
      <c r="E106">
        <v>0</v>
      </c>
      <c r="F106" t="s">
        <v>668</v>
      </c>
      <c r="G106">
        <v>790000</v>
      </c>
      <c r="H106">
        <v>0</v>
      </c>
      <c r="I106">
        <v>0</v>
      </c>
      <c r="J106">
        <v>0</v>
      </c>
      <c r="K106" s="67">
        <v>790000</v>
      </c>
    </row>
    <row r="107" spans="1:11" x14ac:dyDescent="0.25">
      <c r="A107" t="s">
        <v>1040</v>
      </c>
      <c r="B107" t="s">
        <v>1041</v>
      </c>
      <c r="C107" t="s">
        <v>560</v>
      </c>
      <c r="D107" t="s">
        <v>619</v>
      </c>
      <c r="E107">
        <v>1125805.95</v>
      </c>
      <c r="F107" t="s">
        <v>620</v>
      </c>
      <c r="G107">
        <v>0</v>
      </c>
      <c r="H107">
        <v>0</v>
      </c>
      <c r="I107">
        <v>0</v>
      </c>
      <c r="J107">
        <v>0</v>
      </c>
      <c r="K107" s="67">
        <v>1125805.95</v>
      </c>
    </row>
    <row r="108" spans="1:11" x14ac:dyDescent="0.25">
      <c r="A108" t="s">
        <v>296</v>
      </c>
      <c r="B108" t="s">
        <v>297</v>
      </c>
      <c r="C108" t="s">
        <v>560</v>
      </c>
      <c r="D108" t="s">
        <v>579</v>
      </c>
      <c r="E108">
        <v>384417</v>
      </c>
      <c r="F108" t="s">
        <v>580</v>
      </c>
      <c r="G108">
        <v>5712894</v>
      </c>
      <c r="H108">
        <v>0</v>
      </c>
      <c r="I108">
        <v>0</v>
      </c>
      <c r="J108">
        <v>0</v>
      </c>
      <c r="K108" s="67">
        <v>6097311</v>
      </c>
    </row>
    <row r="109" spans="1:11" x14ac:dyDescent="0.25">
      <c r="A109" t="s">
        <v>298</v>
      </c>
      <c r="B109" t="s">
        <v>299</v>
      </c>
      <c r="C109" t="s">
        <v>560</v>
      </c>
      <c r="D109" t="s">
        <v>619</v>
      </c>
      <c r="E109">
        <v>0</v>
      </c>
      <c r="F109" t="s">
        <v>620</v>
      </c>
      <c r="G109">
        <v>0</v>
      </c>
      <c r="H109">
        <v>0</v>
      </c>
      <c r="I109">
        <v>0</v>
      </c>
      <c r="J109">
        <v>-3904.38</v>
      </c>
      <c r="K109" s="67">
        <v>-3904.38</v>
      </c>
    </row>
    <row r="110" spans="1:11" x14ac:dyDescent="0.25">
      <c r="A110" t="s">
        <v>300</v>
      </c>
      <c r="B110" t="s">
        <v>301</v>
      </c>
      <c r="C110" t="s">
        <v>560</v>
      </c>
      <c r="D110" t="s">
        <v>615</v>
      </c>
      <c r="E110">
        <v>765121.72</v>
      </c>
      <c r="F110" t="s">
        <v>616</v>
      </c>
      <c r="G110">
        <v>0</v>
      </c>
      <c r="H110">
        <v>0</v>
      </c>
      <c r="I110">
        <v>0</v>
      </c>
      <c r="J110">
        <v>0</v>
      </c>
      <c r="K110" s="67">
        <v>765121.72</v>
      </c>
    </row>
    <row r="111" spans="1:11" x14ac:dyDescent="0.25">
      <c r="A111" t="s">
        <v>302</v>
      </c>
      <c r="B111" t="s">
        <v>303</v>
      </c>
      <c r="C111" t="s">
        <v>560</v>
      </c>
      <c r="D111" t="s">
        <v>581</v>
      </c>
      <c r="E111">
        <v>0</v>
      </c>
      <c r="F111" t="s">
        <v>582</v>
      </c>
      <c r="G111">
        <v>0</v>
      </c>
      <c r="H111">
        <v>1728535.96</v>
      </c>
      <c r="I111">
        <v>0</v>
      </c>
      <c r="J111">
        <v>0</v>
      </c>
      <c r="K111" s="67">
        <v>1728535.96</v>
      </c>
    </row>
    <row r="112" spans="1:11" x14ac:dyDescent="0.25">
      <c r="A112" t="s">
        <v>1042</v>
      </c>
      <c r="B112" t="s">
        <v>1043</v>
      </c>
      <c r="C112" t="s">
        <v>560</v>
      </c>
      <c r="D112" t="s">
        <v>715</v>
      </c>
      <c r="E112">
        <v>108137.34</v>
      </c>
      <c r="F112" t="s">
        <v>716</v>
      </c>
      <c r="G112">
        <v>0</v>
      </c>
      <c r="H112">
        <v>0</v>
      </c>
      <c r="I112">
        <v>0</v>
      </c>
      <c r="J112">
        <v>0</v>
      </c>
      <c r="K112" s="67">
        <v>108137.34</v>
      </c>
    </row>
    <row r="113" spans="1:11" x14ac:dyDescent="0.25">
      <c r="A113" t="s">
        <v>304</v>
      </c>
      <c r="B113" t="s">
        <v>305</v>
      </c>
      <c r="C113" t="s">
        <v>560</v>
      </c>
      <c r="D113" t="s">
        <v>671</v>
      </c>
      <c r="E113">
        <v>0</v>
      </c>
      <c r="F113" t="s">
        <v>672</v>
      </c>
      <c r="G113">
        <v>0</v>
      </c>
      <c r="H113">
        <v>0</v>
      </c>
      <c r="I113">
        <v>0</v>
      </c>
      <c r="J113">
        <v>40367.35</v>
      </c>
      <c r="K113" s="67">
        <v>40367.35</v>
      </c>
    </row>
    <row r="114" spans="1:11" x14ac:dyDescent="0.25">
      <c r="A114" t="s">
        <v>517</v>
      </c>
      <c r="B114" t="s">
        <v>518</v>
      </c>
      <c r="C114" t="s">
        <v>560</v>
      </c>
      <c r="D114" t="s">
        <v>669</v>
      </c>
      <c r="E114">
        <v>0</v>
      </c>
      <c r="F114" t="s">
        <v>670</v>
      </c>
      <c r="G114">
        <v>418660</v>
      </c>
      <c r="H114">
        <v>0</v>
      </c>
      <c r="I114">
        <v>0</v>
      </c>
      <c r="J114">
        <v>0</v>
      </c>
      <c r="K114" s="67">
        <v>418660</v>
      </c>
    </row>
    <row r="115" spans="1:11" x14ac:dyDescent="0.25">
      <c r="A115" t="s">
        <v>306</v>
      </c>
      <c r="B115" t="s">
        <v>307</v>
      </c>
      <c r="C115" t="s">
        <v>560</v>
      </c>
      <c r="D115" t="s">
        <v>607</v>
      </c>
      <c r="E115">
        <v>19454346</v>
      </c>
      <c r="F115" t="s">
        <v>608</v>
      </c>
      <c r="G115">
        <v>210995.48</v>
      </c>
      <c r="H115">
        <v>0</v>
      </c>
      <c r="I115">
        <v>0</v>
      </c>
      <c r="J115">
        <v>0</v>
      </c>
      <c r="K115" s="67">
        <v>19665341.48</v>
      </c>
    </row>
    <row r="116" spans="1:11" x14ac:dyDescent="0.25">
      <c r="A116" t="s">
        <v>308</v>
      </c>
      <c r="B116" t="s">
        <v>309</v>
      </c>
      <c r="C116" t="s">
        <v>560</v>
      </c>
      <c r="D116" t="s">
        <v>661</v>
      </c>
      <c r="E116">
        <v>848788.46</v>
      </c>
      <c r="F116" t="s">
        <v>662</v>
      </c>
      <c r="G116">
        <v>0</v>
      </c>
      <c r="H116">
        <v>0</v>
      </c>
      <c r="I116">
        <v>0</v>
      </c>
      <c r="J116">
        <v>0</v>
      </c>
      <c r="K116" s="67">
        <v>848788.46</v>
      </c>
    </row>
    <row r="117" spans="1:11" x14ac:dyDescent="0.25">
      <c r="A117" t="s">
        <v>310</v>
      </c>
      <c r="B117" t="s">
        <v>311</v>
      </c>
      <c r="C117" t="s">
        <v>560</v>
      </c>
      <c r="D117" t="s">
        <v>651</v>
      </c>
      <c r="E117">
        <v>0</v>
      </c>
      <c r="F117" t="s">
        <v>652</v>
      </c>
      <c r="G117">
        <v>0</v>
      </c>
      <c r="H117">
        <v>0</v>
      </c>
      <c r="I117">
        <v>0</v>
      </c>
      <c r="J117">
        <v>-387219.15</v>
      </c>
      <c r="K117" s="67">
        <v>-387219.15</v>
      </c>
    </row>
    <row r="118" spans="1:11" x14ac:dyDescent="0.25">
      <c r="A118" t="s">
        <v>312</v>
      </c>
      <c r="B118" t="s">
        <v>313</v>
      </c>
      <c r="C118" t="s">
        <v>560</v>
      </c>
      <c r="D118" t="s">
        <v>591</v>
      </c>
      <c r="E118">
        <v>0</v>
      </c>
      <c r="F118" t="s">
        <v>592</v>
      </c>
      <c r="G118">
        <v>0</v>
      </c>
      <c r="H118">
        <v>44102.080000000002</v>
      </c>
      <c r="I118">
        <v>0</v>
      </c>
      <c r="J118">
        <v>0</v>
      </c>
      <c r="K118" s="67">
        <v>44102.080000000002</v>
      </c>
    </row>
    <row r="119" spans="1:11" x14ac:dyDescent="0.25">
      <c r="A119" t="s">
        <v>314</v>
      </c>
      <c r="B119" t="s">
        <v>315</v>
      </c>
      <c r="C119" t="s">
        <v>560</v>
      </c>
      <c r="D119" t="s">
        <v>581</v>
      </c>
      <c r="E119">
        <v>0</v>
      </c>
      <c r="F119" t="s">
        <v>582</v>
      </c>
      <c r="G119">
        <v>871200</v>
      </c>
      <c r="H119">
        <v>0</v>
      </c>
      <c r="I119">
        <v>0</v>
      </c>
      <c r="J119">
        <v>0</v>
      </c>
      <c r="K119" s="67">
        <v>871200</v>
      </c>
    </row>
    <row r="120" spans="1:11" x14ac:dyDescent="0.25">
      <c r="A120" t="s">
        <v>316</v>
      </c>
      <c r="B120" t="s">
        <v>317</v>
      </c>
      <c r="C120" t="s">
        <v>560</v>
      </c>
      <c r="D120" t="s">
        <v>587</v>
      </c>
      <c r="E120">
        <v>0</v>
      </c>
      <c r="F120" t="s">
        <v>588</v>
      </c>
      <c r="G120">
        <v>21780</v>
      </c>
      <c r="H120">
        <v>0</v>
      </c>
      <c r="I120">
        <v>0</v>
      </c>
      <c r="J120">
        <v>0</v>
      </c>
      <c r="K120" s="67">
        <v>21780</v>
      </c>
    </row>
    <row r="121" spans="1:11" x14ac:dyDescent="0.25">
      <c r="A121" t="s">
        <v>318</v>
      </c>
      <c r="B121" t="s">
        <v>319</v>
      </c>
      <c r="C121" t="s">
        <v>560</v>
      </c>
      <c r="D121" t="s">
        <v>673</v>
      </c>
      <c r="E121">
        <v>1440848.5</v>
      </c>
      <c r="F121" t="s">
        <v>674</v>
      </c>
      <c r="G121">
        <v>1684434.93</v>
      </c>
      <c r="H121">
        <v>0</v>
      </c>
      <c r="I121">
        <v>0</v>
      </c>
      <c r="J121">
        <v>0</v>
      </c>
      <c r="K121" s="67">
        <v>3125283.43</v>
      </c>
    </row>
    <row r="122" spans="1:11" x14ac:dyDescent="0.25">
      <c r="A122" t="s">
        <v>320</v>
      </c>
      <c r="B122" t="s">
        <v>321</v>
      </c>
      <c r="C122" t="s">
        <v>560</v>
      </c>
      <c r="D122" t="s">
        <v>637</v>
      </c>
      <c r="E122">
        <v>302293.57</v>
      </c>
      <c r="F122" t="s">
        <v>638</v>
      </c>
      <c r="G122">
        <v>205951.29</v>
      </c>
      <c r="H122">
        <v>27043.5</v>
      </c>
      <c r="I122">
        <v>0</v>
      </c>
      <c r="J122">
        <v>0</v>
      </c>
      <c r="K122" s="67">
        <v>535288.36</v>
      </c>
    </row>
    <row r="123" spans="1:11" x14ac:dyDescent="0.25">
      <c r="A123" t="s">
        <v>1136</v>
      </c>
      <c r="B123" t="s">
        <v>1137</v>
      </c>
      <c r="C123" t="s">
        <v>560</v>
      </c>
      <c r="D123" t="s">
        <v>567</v>
      </c>
      <c r="E123">
        <v>373534.14</v>
      </c>
      <c r="F123" t="s">
        <v>568</v>
      </c>
      <c r="G123">
        <v>0</v>
      </c>
      <c r="H123">
        <v>0</v>
      </c>
      <c r="I123">
        <v>0</v>
      </c>
      <c r="J123">
        <v>0</v>
      </c>
      <c r="K123" s="67">
        <v>373534.14</v>
      </c>
    </row>
    <row r="124" spans="1:11" x14ac:dyDescent="0.25">
      <c r="A124" t="s">
        <v>519</v>
      </c>
      <c r="B124" t="s">
        <v>520</v>
      </c>
      <c r="C124" t="s">
        <v>560</v>
      </c>
      <c r="D124" t="s">
        <v>675</v>
      </c>
      <c r="E124">
        <v>0</v>
      </c>
      <c r="F124" t="s">
        <v>676</v>
      </c>
      <c r="G124">
        <v>78000</v>
      </c>
      <c r="H124">
        <v>0</v>
      </c>
      <c r="I124">
        <v>0</v>
      </c>
      <c r="J124">
        <v>0</v>
      </c>
      <c r="K124" s="67">
        <v>78000</v>
      </c>
    </row>
    <row r="125" spans="1:11" x14ac:dyDescent="0.25">
      <c r="A125" t="s">
        <v>322</v>
      </c>
      <c r="B125" t="s">
        <v>323</v>
      </c>
      <c r="C125" t="s">
        <v>560</v>
      </c>
      <c r="D125" t="s">
        <v>677</v>
      </c>
      <c r="E125">
        <v>0</v>
      </c>
      <c r="F125" t="s">
        <v>678</v>
      </c>
      <c r="G125">
        <v>33384000</v>
      </c>
      <c r="H125">
        <v>0</v>
      </c>
      <c r="I125">
        <v>0</v>
      </c>
      <c r="J125">
        <v>0</v>
      </c>
      <c r="K125" s="67">
        <v>33384000</v>
      </c>
    </row>
    <row r="126" spans="1:11" x14ac:dyDescent="0.25">
      <c r="A126" t="s">
        <v>324</v>
      </c>
      <c r="B126" t="s">
        <v>325</v>
      </c>
      <c r="C126" t="s">
        <v>560</v>
      </c>
      <c r="D126" t="s">
        <v>581</v>
      </c>
      <c r="E126">
        <v>713954.73</v>
      </c>
      <c r="F126" t="s">
        <v>582</v>
      </c>
      <c r="G126">
        <v>0</v>
      </c>
      <c r="H126">
        <v>0</v>
      </c>
      <c r="I126">
        <v>0</v>
      </c>
      <c r="J126">
        <v>0</v>
      </c>
      <c r="K126" s="67">
        <v>713954.73</v>
      </c>
    </row>
    <row r="127" spans="1:11" x14ac:dyDescent="0.25">
      <c r="A127" t="s">
        <v>326</v>
      </c>
      <c r="B127" t="s">
        <v>327</v>
      </c>
      <c r="C127" t="s">
        <v>560</v>
      </c>
      <c r="D127" t="s">
        <v>679</v>
      </c>
      <c r="E127">
        <v>3872653.7</v>
      </c>
      <c r="F127" t="s">
        <v>680</v>
      </c>
      <c r="G127">
        <v>9519907.0099999998</v>
      </c>
      <c r="H127">
        <v>0</v>
      </c>
      <c r="I127">
        <v>0</v>
      </c>
      <c r="J127">
        <v>0</v>
      </c>
      <c r="K127" s="67">
        <v>13392560.710000001</v>
      </c>
    </row>
    <row r="128" spans="1:11" x14ac:dyDescent="0.25">
      <c r="A128" t="s">
        <v>1044</v>
      </c>
      <c r="B128" t="s">
        <v>1045</v>
      </c>
      <c r="C128" t="s">
        <v>560</v>
      </c>
      <c r="D128" t="s">
        <v>657</v>
      </c>
      <c r="E128">
        <v>254846473.34999999</v>
      </c>
      <c r="F128" t="s">
        <v>658</v>
      </c>
      <c r="G128">
        <v>0</v>
      </c>
      <c r="H128">
        <v>0</v>
      </c>
      <c r="I128">
        <v>0</v>
      </c>
      <c r="J128">
        <v>0</v>
      </c>
      <c r="K128" s="67">
        <v>254846473.34999999</v>
      </c>
    </row>
    <row r="129" spans="1:11" x14ac:dyDescent="0.25">
      <c r="A129" t="s">
        <v>681</v>
      </c>
      <c r="B129" t="s">
        <v>682</v>
      </c>
      <c r="C129" t="s">
        <v>560</v>
      </c>
      <c r="D129" t="s">
        <v>633</v>
      </c>
      <c r="E129">
        <v>0</v>
      </c>
      <c r="F129" t="s">
        <v>634</v>
      </c>
      <c r="G129">
        <v>6706404.4500000002</v>
      </c>
      <c r="H129">
        <v>0</v>
      </c>
      <c r="I129">
        <v>0</v>
      </c>
      <c r="J129">
        <v>0</v>
      </c>
      <c r="K129" s="67">
        <v>6706404.4500000002</v>
      </c>
    </row>
    <row r="130" spans="1:11" x14ac:dyDescent="0.25">
      <c r="A130" t="s">
        <v>521</v>
      </c>
      <c r="B130" t="s">
        <v>522</v>
      </c>
      <c r="C130" t="s">
        <v>560</v>
      </c>
      <c r="D130" t="s">
        <v>653</v>
      </c>
      <c r="E130">
        <v>870501.1</v>
      </c>
      <c r="F130" t="s">
        <v>654</v>
      </c>
      <c r="G130">
        <v>0</v>
      </c>
      <c r="H130">
        <v>0</v>
      </c>
      <c r="I130">
        <v>0</v>
      </c>
      <c r="J130">
        <v>0</v>
      </c>
      <c r="K130" s="67">
        <v>870501.1</v>
      </c>
    </row>
    <row r="131" spans="1:11" x14ac:dyDescent="0.25">
      <c r="A131" t="s">
        <v>328</v>
      </c>
      <c r="B131" t="s">
        <v>329</v>
      </c>
      <c r="C131" t="s">
        <v>560</v>
      </c>
      <c r="D131" t="s">
        <v>581</v>
      </c>
      <c r="E131">
        <v>1714392.45</v>
      </c>
      <c r="F131" t="s">
        <v>582</v>
      </c>
      <c r="G131">
        <v>2739940.81</v>
      </c>
      <c r="H131">
        <v>2691533.46</v>
      </c>
      <c r="I131">
        <v>0</v>
      </c>
      <c r="J131">
        <v>0</v>
      </c>
      <c r="K131" s="67">
        <v>7145866.7199999997</v>
      </c>
    </row>
    <row r="132" spans="1:11" x14ac:dyDescent="0.25">
      <c r="A132" t="s">
        <v>1046</v>
      </c>
      <c r="B132" t="s">
        <v>1047</v>
      </c>
      <c r="C132" t="s">
        <v>560</v>
      </c>
      <c r="D132" t="s">
        <v>1048</v>
      </c>
      <c r="E132">
        <v>3504000</v>
      </c>
      <c r="F132" t="s">
        <v>1049</v>
      </c>
      <c r="G132">
        <v>0</v>
      </c>
      <c r="H132">
        <v>0</v>
      </c>
      <c r="I132">
        <v>0</v>
      </c>
      <c r="J132">
        <v>0</v>
      </c>
      <c r="K132" s="67">
        <v>3504000</v>
      </c>
    </row>
    <row r="133" spans="1:11" x14ac:dyDescent="0.25">
      <c r="A133" t="s">
        <v>330</v>
      </c>
      <c r="B133" t="s">
        <v>331</v>
      </c>
      <c r="C133" t="s">
        <v>560</v>
      </c>
      <c r="D133" t="s">
        <v>637</v>
      </c>
      <c r="E133">
        <v>65717.62</v>
      </c>
      <c r="F133" t="s">
        <v>638</v>
      </c>
      <c r="G133">
        <v>0</v>
      </c>
      <c r="H133">
        <v>0</v>
      </c>
      <c r="I133">
        <v>0</v>
      </c>
      <c r="J133">
        <v>0</v>
      </c>
      <c r="K133" s="67">
        <v>65717.62</v>
      </c>
    </row>
    <row r="134" spans="1:11" x14ac:dyDescent="0.25">
      <c r="A134" t="s">
        <v>332</v>
      </c>
      <c r="B134" t="s">
        <v>333</v>
      </c>
      <c r="C134" t="s">
        <v>560</v>
      </c>
      <c r="D134" t="s">
        <v>619</v>
      </c>
      <c r="E134">
        <v>1945558.55</v>
      </c>
      <c r="F134" t="s">
        <v>620</v>
      </c>
      <c r="G134">
        <v>47766</v>
      </c>
      <c r="H134">
        <v>0</v>
      </c>
      <c r="I134">
        <v>0</v>
      </c>
      <c r="J134">
        <v>35101218.600000001</v>
      </c>
      <c r="K134" s="67">
        <v>37094543.149999999</v>
      </c>
    </row>
    <row r="135" spans="1:11" x14ac:dyDescent="0.25">
      <c r="A135" t="s">
        <v>334</v>
      </c>
      <c r="B135" t="s">
        <v>335</v>
      </c>
      <c r="C135" t="s">
        <v>560</v>
      </c>
      <c r="D135" t="s">
        <v>599</v>
      </c>
      <c r="E135">
        <v>0</v>
      </c>
      <c r="F135" t="s">
        <v>600</v>
      </c>
      <c r="G135">
        <v>0</v>
      </c>
      <c r="H135">
        <v>0</v>
      </c>
      <c r="I135">
        <v>0</v>
      </c>
      <c r="J135">
        <v>-258135.9</v>
      </c>
      <c r="K135" s="67">
        <v>-258135.9</v>
      </c>
    </row>
    <row r="136" spans="1:11" x14ac:dyDescent="0.25">
      <c r="A136" t="s">
        <v>336</v>
      </c>
      <c r="B136" t="s">
        <v>337</v>
      </c>
      <c r="C136" t="s">
        <v>560</v>
      </c>
      <c r="D136" t="s">
        <v>683</v>
      </c>
      <c r="E136">
        <v>2294841.69</v>
      </c>
      <c r="F136" t="s">
        <v>684</v>
      </c>
      <c r="G136">
        <v>11882120.890000001</v>
      </c>
      <c r="H136">
        <v>1120800</v>
      </c>
      <c r="I136">
        <v>0</v>
      </c>
      <c r="J136">
        <v>0</v>
      </c>
      <c r="K136" s="67">
        <v>15297762.58</v>
      </c>
    </row>
    <row r="137" spans="1:11" x14ac:dyDescent="0.25">
      <c r="A137" t="s">
        <v>338</v>
      </c>
      <c r="B137" t="s">
        <v>339</v>
      </c>
      <c r="C137" t="s">
        <v>560</v>
      </c>
      <c r="D137" t="s">
        <v>685</v>
      </c>
      <c r="E137">
        <v>0</v>
      </c>
      <c r="F137" t="s">
        <v>686</v>
      </c>
      <c r="G137">
        <v>329120</v>
      </c>
      <c r="H137">
        <v>359370</v>
      </c>
      <c r="I137">
        <v>0</v>
      </c>
      <c r="J137">
        <v>0</v>
      </c>
      <c r="K137" s="67">
        <v>688490</v>
      </c>
    </row>
    <row r="138" spans="1:11" x14ac:dyDescent="0.25">
      <c r="A138" t="s">
        <v>340</v>
      </c>
      <c r="B138" t="s">
        <v>341</v>
      </c>
      <c r="C138" t="s">
        <v>560</v>
      </c>
      <c r="D138" t="s">
        <v>633</v>
      </c>
      <c r="E138">
        <v>0</v>
      </c>
      <c r="F138" t="s">
        <v>634</v>
      </c>
      <c r="G138">
        <v>0</v>
      </c>
      <c r="H138">
        <v>0</v>
      </c>
      <c r="I138">
        <v>0</v>
      </c>
      <c r="J138">
        <v>88538261.290000007</v>
      </c>
      <c r="K138" s="67">
        <v>88538261.290000007</v>
      </c>
    </row>
    <row r="139" spans="1:11" x14ac:dyDescent="0.25">
      <c r="A139" t="s">
        <v>1138</v>
      </c>
      <c r="B139" t="s">
        <v>1139</v>
      </c>
      <c r="C139" t="s">
        <v>560</v>
      </c>
      <c r="D139" t="s">
        <v>637</v>
      </c>
      <c r="E139">
        <v>880275</v>
      </c>
      <c r="F139" t="s">
        <v>638</v>
      </c>
      <c r="G139">
        <v>0</v>
      </c>
      <c r="H139">
        <v>0</v>
      </c>
      <c r="I139">
        <v>0</v>
      </c>
      <c r="J139">
        <v>0</v>
      </c>
      <c r="K139" s="67">
        <v>880275</v>
      </c>
    </row>
    <row r="140" spans="1:11" x14ac:dyDescent="0.25">
      <c r="A140" t="s">
        <v>687</v>
      </c>
      <c r="B140" t="s">
        <v>688</v>
      </c>
      <c r="C140" t="s">
        <v>560</v>
      </c>
      <c r="D140" t="s">
        <v>679</v>
      </c>
      <c r="E140">
        <v>0</v>
      </c>
      <c r="F140" t="s">
        <v>680</v>
      </c>
      <c r="G140">
        <v>1173884.3700000001</v>
      </c>
      <c r="H140">
        <v>0</v>
      </c>
      <c r="I140">
        <v>0</v>
      </c>
      <c r="J140">
        <v>0</v>
      </c>
      <c r="K140" s="67">
        <v>1173884.3700000001</v>
      </c>
    </row>
    <row r="141" spans="1:11" x14ac:dyDescent="0.25">
      <c r="A141" t="s">
        <v>342</v>
      </c>
      <c r="B141" t="s">
        <v>343</v>
      </c>
      <c r="C141" t="s">
        <v>560</v>
      </c>
      <c r="D141" t="s">
        <v>633</v>
      </c>
      <c r="E141">
        <v>0</v>
      </c>
      <c r="F141" t="s">
        <v>634</v>
      </c>
      <c r="G141">
        <v>0</v>
      </c>
      <c r="H141">
        <v>0</v>
      </c>
      <c r="I141">
        <v>0</v>
      </c>
      <c r="J141">
        <v>5896891</v>
      </c>
      <c r="K141" s="67">
        <v>5896891</v>
      </c>
    </row>
    <row r="142" spans="1:11" x14ac:dyDescent="0.25">
      <c r="A142" t="s">
        <v>344</v>
      </c>
      <c r="B142" t="s">
        <v>345</v>
      </c>
      <c r="C142" t="s">
        <v>560</v>
      </c>
      <c r="D142" t="s">
        <v>689</v>
      </c>
      <c r="E142">
        <v>0</v>
      </c>
      <c r="F142" t="s">
        <v>690</v>
      </c>
      <c r="G142">
        <v>2354757.2599999998</v>
      </c>
      <c r="H142">
        <v>1678734.35</v>
      </c>
      <c r="I142">
        <v>0</v>
      </c>
      <c r="J142">
        <v>0</v>
      </c>
      <c r="K142" s="67">
        <v>4033491.61</v>
      </c>
    </row>
    <row r="143" spans="1:11" x14ac:dyDescent="0.25">
      <c r="A143" t="s">
        <v>1050</v>
      </c>
      <c r="B143" t="s">
        <v>1051</v>
      </c>
      <c r="C143" t="s">
        <v>560</v>
      </c>
      <c r="D143" t="s">
        <v>595</v>
      </c>
      <c r="E143">
        <v>71091009</v>
      </c>
      <c r="F143" t="s">
        <v>596</v>
      </c>
      <c r="G143">
        <v>0</v>
      </c>
      <c r="H143">
        <v>0</v>
      </c>
      <c r="I143">
        <v>0</v>
      </c>
      <c r="J143">
        <v>0</v>
      </c>
      <c r="K143" s="67">
        <v>71091009</v>
      </c>
    </row>
    <row r="144" spans="1:11" x14ac:dyDescent="0.25">
      <c r="A144" t="s">
        <v>1052</v>
      </c>
      <c r="B144" t="s">
        <v>1053</v>
      </c>
      <c r="C144" t="s">
        <v>560</v>
      </c>
      <c r="D144" t="s">
        <v>581</v>
      </c>
      <c r="E144">
        <v>576359.30000000005</v>
      </c>
      <c r="F144" t="s">
        <v>582</v>
      </c>
      <c r="G144">
        <v>0</v>
      </c>
      <c r="H144">
        <v>0</v>
      </c>
      <c r="I144">
        <v>0</v>
      </c>
      <c r="J144">
        <v>0</v>
      </c>
      <c r="K144" s="67">
        <v>576359.30000000005</v>
      </c>
    </row>
    <row r="145" spans="1:11" x14ac:dyDescent="0.25">
      <c r="A145" t="s">
        <v>346</v>
      </c>
      <c r="B145" t="s">
        <v>347</v>
      </c>
      <c r="C145" t="s">
        <v>560</v>
      </c>
      <c r="D145" t="s">
        <v>581</v>
      </c>
      <c r="E145">
        <v>0</v>
      </c>
      <c r="F145" t="s">
        <v>582</v>
      </c>
      <c r="G145">
        <v>0</v>
      </c>
      <c r="H145">
        <v>0</v>
      </c>
      <c r="I145">
        <v>0</v>
      </c>
      <c r="J145">
        <v>-0.01</v>
      </c>
      <c r="K145" s="67">
        <v>-0.01</v>
      </c>
    </row>
    <row r="146" spans="1:11" x14ac:dyDescent="0.25">
      <c r="A146" t="s">
        <v>348</v>
      </c>
      <c r="B146" t="s">
        <v>349</v>
      </c>
      <c r="C146" t="s">
        <v>560</v>
      </c>
      <c r="D146" t="s">
        <v>631</v>
      </c>
      <c r="E146">
        <v>10285.85</v>
      </c>
      <c r="F146" t="s">
        <v>632</v>
      </c>
      <c r="G146">
        <v>7967137.2699999996</v>
      </c>
      <c r="H146">
        <v>299336.09999999998</v>
      </c>
      <c r="I146">
        <v>0</v>
      </c>
      <c r="J146">
        <v>0</v>
      </c>
      <c r="K146" s="67">
        <v>8276759.2199999997</v>
      </c>
    </row>
    <row r="147" spans="1:11" x14ac:dyDescent="0.25">
      <c r="A147" t="s">
        <v>350</v>
      </c>
      <c r="B147" t="s">
        <v>351</v>
      </c>
      <c r="C147" t="s">
        <v>560</v>
      </c>
      <c r="D147" t="s">
        <v>641</v>
      </c>
      <c r="E147">
        <v>0</v>
      </c>
      <c r="F147" t="s">
        <v>642</v>
      </c>
      <c r="G147">
        <v>824011.81</v>
      </c>
      <c r="H147">
        <v>0</v>
      </c>
      <c r="I147">
        <v>0</v>
      </c>
      <c r="J147">
        <v>0</v>
      </c>
      <c r="K147" s="67">
        <v>824011.81</v>
      </c>
    </row>
    <row r="148" spans="1:11" x14ac:dyDescent="0.25">
      <c r="A148" t="s">
        <v>352</v>
      </c>
      <c r="B148" t="s">
        <v>353</v>
      </c>
      <c r="C148" t="s">
        <v>560</v>
      </c>
      <c r="D148" t="s">
        <v>581</v>
      </c>
      <c r="E148">
        <v>4102005.19</v>
      </c>
      <c r="F148" t="s">
        <v>582</v>
      </c>
      <c r="G148">
        <v>8201007.8600000003</v>
      </c>
      <c r="H148">
        <v>0</v>
      </c>
      <c r="I148">
        <v>0</v>
      </c>
      <c r="J148">
        <v>0</v>
      </c>
      <c r="K148" s="67">
        <v>12303013.050000001</v>
      </c>
    </row>
    <row r="149" spans="1:11" x14ac:dyDescent="0.25">
      <c r="A149" t="s">
        <v>354</v>
      </c>
      <c r="B149" t="s">
        <v>355</v>
      </c>
      <c r="C149" t="s">
        <v>560</v>
      </c>
      <c r="D149" t="s">
        <v>693</v>
      </c>
      <c r="E149">
        <v>-5205616.97</v>
      </c>
      <c r="F149" t="s">
        <v>694</v>
      </c>
      <c r="G149">
        <v>40128981.369999997</v>
      </c>
      <c r="H149">
        <v>24549964.350000001</v>
      </c>
      <c r="I149">
        <v>0</v>
      </c>
      <c r="J149">
        <v>1.17</v>
      </c>
      <c r="K149" s="67">
        <v>59473329.920000002</v>
      </c>
    </row>
    <row r="150" spans="1:11" x14ac:dyDescent="0.25">
      <c r="A150" t="s">
        <v>356</v>
      </c>
      <c r="B150" t="s">
        <v>357</v>
      </c>
      <c r="C150" t="s">
        <v>560</v>
      </c>
      <c r="D150" t="s">
        <v>633</v>
      </c>
      <c r="E150">
        <v>0</v>
      </c>
      <c r="F150" t="s">
        <v>634</v>
      </c>
      <c r="G150">
        <v>0</v>
      </c>
      <c r="H150">
        <v>0</v>
      </c>
      <c r="I150">
        <v>0</v>
      </c>
      <c r="J150">
        <v>335045.59999999998</v>
      </c>
      <c r="K150" s="67">
        <v>335045.59999999998</v>
      </c>
    </row>
    <row r="151" spans="1:11" x14ac:dyDescent="0.25">
      <c r="A151" t="s">
        <v>358</v>
      </c>
      <c r="B151" t="s">
        <v>359</v>
      </c>
      <c r="C151" t="s">
        <v>560</v>
      </c>
      <c r="D151" t="s">
        <v>633</v>
      </c>
      <c r="E151">
        <v>0</v>
      </c>
      <c r="F151" t="s">
        <v>634</v>
      </c>
      <c r="G151">
        <v>0</v>
      </c>
      <c r="H151">
        <v>0</v>
      </c>
      <c r="I151">
        <v>0</v>
      </c>
      <c r="J151">
        <v>1782642.4</v>
      </c>
      <c r="K151" s="67">
        <v>1782642.4</v>
      </c>
    </row>
    <row r="152" spans="1:11" x14ac:dyDescent="0.25">
      <c r="A152" t="s">
        <v>360</v>
      </c>
      <c r="B152" t="s">
        <v>361</v>
      </c>
      <c r="C152" t="s">
        <v>560</v>
      </c>
      <c r="D152" t="s">
        <v>695</v>
      </c>
      <c r="E152">
        <v>3400000</v>
      </c>
      <c r="F152" t="s">
        <v>696</v>
      </c>
      <c r="G152">
        <v>7800000</v>
      </c>
      <c r="H152">
        <v>0</v>
      </c>
      <c r="I152">
        <v>0</v>
      </c>
      <c r="J152">
        <v>0</v>
      </c>
      <c r="K152" s="67">
        <v>11200000</v>
      </c>
    </row>
    <row r="153" spans="1:11" x14ac:dyDescent="0.25">
      <c r="A153" t="s">
        <v>362</v>
      </c>
      <c r="B153" t="s">
        <v>363</v>
      </c>
      <c r="C153" t="s">
        <v>560</v>
      </c>
      <c r="D153" t="s">
        <v>579</v>
      </c>
      <c r="E153">
        <v>1746427</v>
      </c>
      <c r="F153" t="s">
        <v>580</v>
      </c>
      <c r="G153">
        <v>3927175</v>
      </c>
      <c r="H153">
        <v>0</v>
      </c>
      <c r="I153">
        <v>0</v>
      </c>
      <c r="J153">
        <v>0</v>
      </c>
      <c r="K153" s="67">
        <v>5673602</v>
      </c>
    </row>
    <row r="154" spans="1:11" x14ac:dyDescent="0.25">
      <c r="A154" t="s">
        <v>1054</v>
      </c>
      <c r="B154" t="s">
        <v>1055</v>
      </c>
      <c r="C154" t="s">
        <v>560</v>
      </c>
      <c r="D154" t="s">
        <v>1056</v>
      </c>
      <c r="E154">
        <v>403616.75</v>
      </c>
      <c r="F154" t="s">
        <v>1057</v>
      </c>
      <c r="G154">
        <v>298413.15999999997</v>
      </c>
      <c r="H154">
        <v>0</v>
      </c>
      <c r="I154">
        <v>0</v>
      </c>
      <c r="J154">
        <v>0</v>
      </c>
      <c r="K154" s="67">
        <v>702029.91</v>
      </c>
    </row>
    <row r="155" spans="1:11" x14ac:dyDescent="0.25">
      <c r="A155" t="s">
        <v>1140</v>
      </c>
      <c r="B155" t="s">
        <v>1141</v>
      </c>
      <c r="C155" t="s">
        <v>560</v>
      </c>
      <c r="D155" t="s">
        <v>587</v>
      </c>
      <c r="E155">
        <v>161583.69</v>
      </c>
      <c r="F155" t="s">
        <v>588</v>
      </c>
      <c r="G155">
        <v>0</v>
      </c>
      <c r="H155">
        <v>0</v>
      </c>
      <c r="I155">
        <v>0</v>
      </c>
      <c r="J155">
        <v>0</v>
      </c>
      <c r="K155" s="67">
        <v>161583.69</v>
      </c>
    </row>
    <row r="156" spans="1:11" x14ac:dyDescent="0.25">
      <c r="A156" t="s">
        <v>1058</v>
      </c>
      <c r="B156" t="s">
        <v>1059</v>
      </c>
      <c r="C156" t="s">
        <v>560</v>
      </c>
      <c r="D156" t="s">
        <v>591</v>
      </c>
      <c r="E156">
        <v>11148740.640000001</v>
      </c>
      <c r="F156" t="s">
        <v>592</v>
      </c>
      <c r="G156">
        <v>0</v>
      </c>
      <c r="H156">
        <v>0</v>
      </c>
      <c r="I156">
        <v>0</v>
      </c>
      <c r="J156">
        <v>0</v>
      </c>
      <c r="K156" s="67">
        <v>11148740.640000001</v>
      </c>
    </row>
    <row r="157" spans="1:11" x14ac:dyDescent="0.25">
      <c r="A157" t="s">
        <v>364</v>
      </c>
      <c r="B157" t="s">
        <v>365</v>
      </c>
      <c r="C157" t="s">
        <v>560</v>
      </c>
      <c r="D157" t="s">
        <v>663</v>
      </c>
      <c r="E157">
        <v>803200</v>
      </c>
      <c r="F157" t="s">
        <v>664</v>
      </c>
      <c r="G157">
        <v>4054900</v>
      </c>
      <c r="H157">
        <v>4091000</v>
      </c>
      <c r="I157">
        <v>0</v>
      </c>
      <c r="J157">
        <v>0</v>
      </c>
      <c r="K157" s="67">
        <v>8949100</v>
      </c>
    </row>
    <row r="158" spans="1:11" x14ac:dyDescent="0.25">
      <c r="A158" t="s">
        <v>1142</v>
      </c>
      <c r="B158" t="s">
        <v>1143</v>
      </c>
      <c r="C158" t="s">
        <v>560</v>
      </c>
      <c r="D158" t="s">
        <v>595</v>
      </c>
      <c r="E158">
        <v>28770</v>
      </c>
      <c r="F158" t="s">
        <v>596</v>
      </c>
      <c r="G158">
        <v>0</v>
      </c>
      <c r="H158">
        <v>0</v>
      </c>
      <c r="I158">
        <v>0</v>
      </c>
      <c r="J158">
        <v>0</v>
      </c>
      <c r="K158" s="67">
        <v>28770</v>
      </c>
    </row>
    <row r="159" spans="1:11" x14ac:dyDescent="0.25">
      <c r="A159" t="s">
        <v>366</v>
      </c>
      <c r="B159" t="s">
        <v>367</v>
      </c>
      <c r="C159" t="s">
        <v>560</v>
      </c>
      <c r="D159" t="s">
        <v>665</v>
      </c>
      <c r="E159">
        <v>2401165.09</v>
      </c>
      <c r="F159" t="s">
        <v>666</v>
      </c>
      <c r="G159">
        <v>350521.73</v>
      </c>
      <c r="H159">
        <v>0</v>
      </c>
      <c r="I159">
        <v>0</v>
      </c>
      <c r="J159">
        <v>0</v>
      </c>
      <c r="K159" s="67">
        <v>2751686.82</v>
      </c>
    </row>
    <row r="160" spans="1:11" x14ac:dyDescent="0.25">
      <c r="A160" t="s">
        <v>368</v>
      </c>
      <c r="B160" t="s">
        <v>369</v>
      </c>
      <c r="C160" t="s">
        <v>560</v>
      </c>
      <c r="D160" t="s">
        <v>697</v>
      </c>
      <c r="E160">
        <v>1929279.66</v>
      </c>
      <c r="F160" t="s">
        <v>698</v>
      </c>
      <c r="G160">
        <v>12805230.470000001</v>
      </c>
      <c r="H160">
        <v>0</v>
      </c>
      <c r="I160">
        <v>0</v>
      </c>
      <c r="J160">
        <v>0</v>
      </c>
      <c r="K160" s="67">
        <v>14734510.130000001</v>
      </c>
    </row>
    <row r="161" spans="1:11" x14ac:dyDescent="0.25">
      <c r="A161" t="s">
        <v>370</v>
      </c>
      <c r="B161" t="s">
        <v>371</v>
      </c>
      <c r="C161" t="s">
        <v>560</v>
      </c>
      <c r="D161" t="s">
        <v>595</v>
      </c>
      <c r="E161">
        <v>102609</v>
      </c>
      <c r="F161" t="s">
        <v>596</v>
      </c>
      <c r="G161">
        <v>0</v>
      </c>
      <c r="H161">
        <v>0</v>
      </c>
      <c r="I161">
        <v>0</v>
      </c>
      <c r="J161">
        <v>0</v>
      </c>
      <c r="K161" s="67">
        <v>102609</v>
      </c>
    </row>
    <row r="162" spans="1:11" x14ac:dyDescent="0.25">
      <c r="A162" t="s">
        <v>372</v>
      </c>
      <c r="B162" t="s">
        <v>373</v>
      </c>
      <c r="C162" t="s">
        <v>560</v>
      </c>
      <c r="D162" t="s">
        <v>565</v>
      </c>
      <c r="E162">
        <v>0</v>
      </c>
      <c r="F162" t="s">
        <v>566</v>
      </c>
      <c r="G162">
        <v>11727544.720000001</v>
      </c>
      <c r="H162">
        <v>0</v>
      </c>
      <c r="I162">
        <v>0</v>
      </c>
      <c r="J162">
        <v>0</v>
      </c>
      <c r="K162" s="67">
        <v>11727544.720000001</v>
      </c>
    </row>
    <row r="163" spans="1:11" x14ac:dyDescent="0.25">
      <c r="A163" t="s">
        <v>374</v>
      </c>
      <c r="B163" t="s">
        <v>375</v>
      </c>
      <c r="C163" t="s">
        <v>560</v>
      </c>
      <c r="D163" t="s">
        <v>699</v>
      </c>
      <c r="E163">
        <v>3215308.7999999998</v>
      </c>
      <c r="F163" t="s">
        <v>700</v>
      </c>
      <c r="G163">
        <v>91567629.920000002</v>
      </c>
      <c r="H163">
        <v>80416494.129999995</v>
      </c>
      <c r="I163">
        <v>43979576.030000001</v>
      </c>
      <c r="J163">
        <v>90616446.269999996</v>
      </c>
      <c r="K163" s="67">
        <v>309795455.14999998</v>
      </c>
    </row>
    <row r="164" spans="1:11" x14ac:dyDescent="0.25">
      <c r="A164" t="s">
        <v>376</v>
      </c>
      <c r="B164" t="s">
        <v>377</v>
      </c>
      <c r="C164" t="s">
        <v>560</v>
      </c>
      <c r="D164" t="s">
        <v>581</v>
      </c>
      <c r="E164">
        <v>315206.05</v>
      </c>
      <c r="F164" t="s">
        <v>582</v>
      </c>
      <c r="G164">
        <v>570507.16</v>
      </c>
      <c r="H164">
        <v>473839.17</v>
      </c>
      <c r="I164">
        <v>0</v>
      </c>
      <c r="J164">
        <v>0</v>
      </c>
      <c r="K164" s="67">
        <v>1359552.38</v>
      </c>
    </row>
    <row r="165" spans="1:11" x14ac:dyDescent="0.25">
      <c r="A165" t="s">
        <v>1144</v>
      </c>
      <c r="B165" t="s">
        <v>1145</v>
      </c>
      <c r="C165" t="s">
        <v>560</v>
      </c>
      <c r="D165" t="s">
        <v>587</v>
      </c>
      <c r="E165">
        <v>3790688</v>
      </c>
      <c r="F165" t="s">
        <v>588</v>
      </c>
      <c r="G165">
        <v>0</v>
      </c>
      <c r="H165">
        <v>0</v>
      </c>
      <c r="I165">
        <v>0</v>
      </c>
      <c r="J165">
        <v>0</v>
      </c>
      <c r="K165" s="67">
        <v>3790688</v>
      </c>
    </row>
    <row r="166" spans="1:11" x14ac:dyDescent="0.25">
      <c r="A166" t="s">
        <v>378</v>
      </c>
      <c r="B166" t="s">
        <v>379</v>
      </c>
      <c r="C166" t="s">
        <v>560</v>
      </c>
      <c r="D166" t="s">
        <v>651</v>
      </c>
      <c r="E166">
        <v>0</v>
      </c>
      <c r="F166" t="s">
        <v>652</v>
      </c>
      <c r="G166">
        <v>0</v>
      </c>
      <c r="H166">
        <v>35645265</v>
      </c>
      <c r="I166">
        <v>0</v>
      </c>
      <c r="J166">
        <v>0</v>
      </c>
      <c r="K166" s="67">
        <v>35645265</v>
      </c>
    </row>
    <row r="167" spans="1:11" x14ac:dyDescent="0.25">
      <c r="A167" t="s">
        <v>1060</v>
      </c>
      <c r="B167" t="s">
        <v>1061</v>
      </c>
      <c r="C167" t="s">
        <v>560</v>
      </c>
      <c r="D167" t="s">
        <v>631</v>
      </c>
      <c r="E167">
        <v>0</v>
      </c>
      <c r="F167" t="s">
        <v>632</v>
      </c>
      <c r="G167">
        <v>10906681.5</v>
      </c>
      <c r="H167">
        <v>15397346.25</v>
      </c>
      <c r="I167">
        <v>0</v>
      </c>
      <c r="J167">
        <v>0</v>
      </c>
      <c r="K167" s="67">
        <v>26304027.75</v>
      </c>
    </row>
    <row r="168" spans="1:11" x14ac:dyDescent="0.25">
      <c r="A168" t="s">
        <v>1062</v>
      </c>
      <c r="B168" t="s">
        <v>1063</v>
      </c>
      <c r="C168" t="s">
        <v>560</v>
      </c>
      <c r="D168" t="s">
        <v>994</v>
      </c>
      <c r="E168">
        <v>3863750</v>
      </c>
      <c r="F168" t="s">
        <v>995</v>
      </c>
      <c r="G168">
        <v>0</v>
      </c>
      <c r="H168">
        <v>0</v>
      </c>
      <c r="I168">
        <v>0</v>
      </c>
      <c r="J168">
        <v>0</v>
      </c>
      <c r="K168" s="67">
        <v>3863750</v>
      </c>
    </row>
    <row r="169" spans="1:11" x14ac:dyDescent="0.25">
      <c r="A169" t="s">
        <v>380</v>
      </c>
      <c r="B169" t="s">
        <v>381</v>
      </c>
      <c r="C169" t="s">
        <v>560</v>
      </c>
      <c r="D169" t="s">
        <v>665</v>
      </c>
      <c r="E169">
        <v>0</v>
      </c>
      <c r="F169" t="s">
        <v>666</v>
      </c>
      <c r="G169">
        <v>82539.429999999993</v>
      </c>
      <c r="H169">
        <v>0</v>
      </c>
      <c r="I169">
        <v>0</v>
      </c>
      <c r="J169">
        <v>0</v>
      </c>
      <c r="K169" s="67">
        <v>82539.429999999993</v>
      </c>
    </row>
    <row r="170" spans="1:11" x14ac:dyDescent="0.25">
      <c r="A170" t="s">
        <v>1146</v>
      </c>
      <c r="B170" t="s">
        <v>1147</v>
      </c>
      <c r="C170" t="s">
        <v>560</v>
      </c>
      <c r="D170" t="s">
        <v>623</v>
      </c>
      <c r="E170">
        <v>679778</v>
      </c>
      <c r="F170" t="s">
        <v>624</v>
      </c>
      <c r="G170">
        <v>0</v>
      </c>
      <c r="H170">
        <v>0</v>
      </c>
      <c r="I170">
        <v>0</v>
      </c>
      <c r="J170">
        <v>0</v>
      </c>
      <c r="K170" s="67">
        <v>679778</v>
      </c>
    </row>
    <row r="171" spans="1:11" x14ac:dyDescent="0.25">
      <c r="A171" t="s">
        <v>523</v>
      </c>
      <c r="B171" t="s">
        <v>524</v>
      </c>
      <c r="C171" t="s">
        <v>560</v>
      </c>
      <c r="D171" t="s">
        <v>701</v>
      </c>
      <c r="E171">
        <v>689216</v>
      </c>
      <c r="F171" t="s">
        <v>702</v>
      </c>
      <c r="G171">
        <v>1207580</v>
      </c>
      <c r="H171">
        <v>1432640</v>
      </c>
      <c r="I171">
        <v>0</v>
      </c>
      <c r="J171">
        <v>0</v>
      </c>
      <c r="K171" s="67">
        <v>3329436</v>
      </c>
    </row>
    <row r="172" spans="1:11" x14ac:dyDescent="0.25">
      <c r="A172" t="s">
        <v>382</v>
      </c>
      <c r="B172" t="s">
        <v>383</v>
      </c>
      <c r="C172" t="s">
        <v>560</v>
      </c>
      <c r="D172" t="s">
        <v>669</v>
      </c>
      <c r="E172">
        <v>0</v>
      </c>
      <c r="F172" t="s">
        <v>670</v>
      </c>
      <c r="G172">
        <v>1101100</v>
      </c>
      <c r="H172">
        <v>0</v>
      </c>
      <c r="I172">
        <v>0</v>
      </c>
      <c r="J172">
        <v>0</v>
      </c>
      <c r="K172" s="67">
        <v>1101100</v>
      </c>
    </row>
    <row r="173" spans="1:11" x14ac:dyDescent="0.25">
      <c r="A173" t="s">
        <v>384</v>
      </c>
      <c r="B173" t="s">
        <v>385</v>
      </c>
      <c r="C173" t="s">
        <v>560</v>
      </c>
      <c r="D173" t="s">
        <v>619</v>
      </c>
      <c r="E173">
        <v>0</v>
      </c>
      <c r="F173" t="s">
        <v>620</v>
      </c>
      <c r="G173">
        <v>13623137.300000001</v>
      </c>
      <c r="H173">
        <v>0</v>
      </c>
      <c r="I173">
        <v>0</v>
      </c>
      <c r="J173">
        <v>0</v>
      </c>
      <c r="K173" s="67">
        <v>13623137.300000001</v>
      </c>
    </row>
    <row r="174" spans="1:11" x14ac:dyDescent="0.25">
      <c r="A174" t="s">
        <v>386</v>
      </c>
      <c r="B174" t="s">
        <v>387</v>
      </c>
      <c r="C174" t="s">
        <v>560</v>
      </c>
      <c r="D174" t="s">
        <v>607</v>
      </c>
      <c r="E174">
        <v>7141914.2400000002</v>
      </c>
      <c r="F174" t="s">
        <v>608</v>
      </c>
      <c r="G174">
        <v>0</v>
      </c>
      <c r="H174">
        <v>2725845.78</v>
      </c>
      <c r="I174">
        <v>0</v>
      </c>
      <c r="J174">
        <v>0</v>
      </c>
      <c r="K174" s="67">
        <v>9867760.0199999996</v>
      </c>
    </row>
    <row r="175" spans="1:11" x14ac:dyDescent="0.25">
      <c r="A175" t="s">
        <v>388</v>
      </c>
      <c r="B175" t="s">
        <v>389</v>
      </c>
      <c r="C175" t="s">
        <v>560</v>
      </c>
      <c r="D175" t="s">
        <v>605</v>
      </c>
      <c r="E175">
        <v>1848000</v>
      </c>
      <c r="F175" t="s">
        <v>606</v>
      </c>
      <c r="G175">
        <v>2184000</v>
      </c>
      <c r="H175">
        <v>0</v>
      </c>
      <c r="I175">
        <v>0</v>
      </c>
      <c r="J175">
        <v>0</v>
      </c>
      <c r="K175" s="67">
        <v>4032000</v>
      </c>
    </row>
    <row r="176" spans="1:11" x14ac:dyDescent="0.25">
      <c r="A176" t="s">
        <v>390</v>
      </c>
      <c r="B176" t="s">
        <v>391</v>
      </c>
      <c r="C176" t="s">
        <v>560</v>
      </c>
      <c r="D176" t="s">
        <v>591</v>
      </c>
      <c r="E176">
        <v>0</v>
      </c>
      <c r="F176" t="s">
        <v>592</v>
      </c>
      <c r="G176">
        <v>0</v>
      </c>
      <c r="H176">
        <v>0</v>
      </c>
      <c r="I176">
        <v>0</v>
      </c>
      <c r="J176">
        <v>58760</v>
      </c>
      <c r="K176" s="67">
        <v>58760</v>
      </c>
    </row>
    <row r="177" spans="1:11" x14ac:dyDescent="0.25">
      <c r="A177" t="s">
        <v>392</v>
      </c>
      <c r="B177" t="s">
        <v>393</v>
      </c>
      <c r="C177" t="s">
        <v>560</v>
      </c>
      <c r="D177" t="s">
        <v>647</v>
      </c>
      <c r="E177">
        <v>0</v>
      </c>
      <c r="F177" t="s">
        <v>648</v>
      </c>
      <c r="G177">
        <v>0</v>
      </c>
      <c r="H177">
        <v>0</v>
      </c>
      <c r="I177">
        <v>0</v>
      </c>
      <c r="J177">
        <v>0.01</v>
      </c>
      <c r="K177" s="67">
        <v>0.01</v>
      </c>
    </row>
    <row r="178" spans="1:11" x14ac:dyDescent="0.25">
      <c r="A178" t="s">
        <v>525</v>
      </c>
      <c r="B178" t="s">
        <v>526</v>
      </c>
      <c r="C178" t="s">
        <v>560</v>
      </c>
      <c r="D178" t="s">
        <v>579</v>
      </c>
      <c r="E178">
        <v>0</v>
      </c>
      <c r="F178" t="s">
        <v>580</v>
      </c>
      <c r="G178">
        <v>2255142.36</v>
      </c>
      <c r="H178">
        <v>0</v>
      </c>
      <c r="I178">
        <v>0</v>
      </c>
      <c r="J178">
        <v>0</v>
      </c>
      <c r="K178" s="67">
        <v>2255142.36</v>
      </c>
    </row>
    <row r="179" spans="1:11" x14ac:dyDescent="0.25">
      <c r="A179" t="s">
        <v>394</v>
      </c>
      <c r="B179" t="s">
        <v>395</v>
      </c>
      <c r="C179" t="s">
        <v>560</v>
      </c>
      <c r="D179" t="s">
        <v>607</v>
      </c>
      <c r="E179">
        <v>0</v>
      </c>
      <c r="F179" t="s">
        <v>608</v>
      </c>
      <c r="G179">
        <v>23660850.670000002</v>
      </c>
      <c r="H179">
        <v>0</v>
      </c>
      <c r="I179">
        <v>0</v>
      </c>
      <c r="J179">
        <v>0</v>
      </c>
      <c r="K179" s="67">
        <v>23660850.670000002</v>
      </c>
    </row>
    <row r="180" spans="1:11" x14ac:dyDescent="0.25">
      <c r="A180" t="s">
        <v>396</v>
      </c>
      <c r="B180" t="s">
        <v>397</v>
      </c>
      <c r="C180" t="s">
        <v>560</v>
      </c>
      <c r="D180" t="s">
        <v>703</v>
      </c>
      <c r="E180">
        <v>54199547.810000002</v>
      </c>
      <c r="F180" t="s">
        <v>704</v>
      </c>
      <c r="G180">
        <v>53028393.32</v>
      </c>
      <c r="H180">
        <v>0</v>
      </c>
      <c r="I180">
        <v>0</v>
      </c>
      <c r="J180">
        <v>0</v>
      </c>
      <c r="K180" s="67">
        <v>107227941.13</v>
      </c>
    </row>
    <row r="181" spans="1:11" x14ac:dyDescent="0.25">
      <c r="A181" t="s">
        <v>705</v>
      </c>
      <c r="B181" t="s">
        <v>706</v>
      </c>
      <c r="C181" t="s">
        <v>560</v>
      </c>
      <c r="D181" t="s">
        <v>599</v>
      </c>
      <c r="E181">
        <v>0</v>
      </c>
      <c r="F181" t="s">
        <v>600</v>
      </c>
      <c r="G181">
        <v>0</v>
      </c>
      <c r="H181">
        <v>617100</v>
      </c>
      <c r="I181">
        <v>0</v>
      </c>
      <c r="J181">
        <v>0</v>
      </c>
      <c r="K181" s="67">
        <v>617100</v>
      </c>
    </row>
    <row r="182" spans="1:11" x14ac:dyDescent="0.25">
      <c r="A182" t="s">
        <v>1064</v>
      </c>
      <c r="B182" t="s">
        <v>1065</v>
      </c>
      <c r="C182" t="s">
        <v>560</v>
      </c>
      <c r="D182" t="s">
        <v>693</v>
      </c>
      <c r="E182">
        <v>592454.72</v>
      </c>
      <c r="F182" t="s">
        <v>694</v>
      </c>
      <c r="G182">
        <v>0</v>
      </c>
      <c r="H182">
        <v>0</v>
      </c>
      <c r="I182">
        <v>0</v>
      </c>
      <c r="J182">
        <v>0</v>
      </c>
      <c r="K182" s="67">
        <v>592454.72</v>
      </c>
    </row>
    <row r="183" spans="1:11" x14ac:dyDescent="0.25">
      <c r="A183" t="s">
        <v>1066</v>
      </c>
      <c r="B183" t="s">
        <v>1067</v>
      </c>
      <c r="C183" t="s">
        <v>560</v>
      </c>
      <c r="D183" t="s">
        <v>567</v>
      </c>
      <c r="E183">
        <v>89999.98</v>
      </c>
      <c r="F183" t="s">
        <v>568</v>
      </c>
      <c r="G183">
        <v>0</v>
      </c>
      <c r="H183">
        <v>0</v>
      </c>
      <c r="I183">
        <v>0</v>
      </c>
      <c r="J183">
        <v>0</v>
      </c>
      <c r="K183" s="67">
        <v>89999.98</v>
      </c>
    </row>
    <row r="184" spans="1:11" x14ac:dyDescent="0.25">
      <c r="A184" t="s">
        <v>1148</v>
      </c>
      <c r="B184" t="s">
        <v>1149</v>
      </c>
      <c r="C184" t="s">
        <v>560</v>
      </c>
      <c r="D184" t="s">
        <v>669</v>
      </c>
      <c r="E184">
        <v>34922.400000000001</v>
      </c>
      <c r="F184" t="s">
        <v>670</v>
      </c>
      <c r="G184">
        <v>0</v>
      </c>
      <c r="H184">
        <v>0</v>
      </c>
      <c r="I184">
        <v>0</v>
      </c>
      <c r="J184">
        <v>0</v>
      </c>
      <c r="K184" s="67">
        <v>34922.400000000001</v>
      </c>
    </row>
    <row r="185" spans="1:11" x14ac:dyDescent="0.25">
      <c r="A185" t="s">
        <v>398</v>
      </c>
      <c r="B185" t="s">
        <v>399</v>
      </c>
      <c r="C185" t="s">
        <v>560</v>
      </c>
      <c r="D185" t="s">
        <v>689</v>
      </c>
      <c r="E185">
        <v>3415563.8</v>
      </c>
      <c r="F185" t="s">
        <v>690</v>
      </c>
      <c r="G185">
        <v>3991536.45</v>
      </c>
      <c r="H185">
        <v>3345008.7</v>
      </c>
      <c r="I185">
        <v>0</v>
      </c>
      <c r="J185">
        <v>0</v>
      </c>
      <c r="K185" s="67">
        <v>10752108.949999999</v>
      </c>
    </row>
    <row r="186" spans="1:11" x14ac:dyDescent="0.25">
      <c r="A186" t="s">
        <v>400</v>
      </c>
      <c r="B186" t="s">
        <v>401</v>
      </c>
      <c r="C186" t="s">
        <v>560</v>
      </c>
      <c r="D186" t="s">
        <v>633</v>
      </c>
      <c r="E186">
        <v>0</v>
      </c>
      <c r="F186" t="s">
        <v>634</v>
      </c>
      <c r="G186">
        <v>0</v>
      </c>
      <c r="H186">
        <v>0</v>
      </c>
      <c r="I186">
        <v>0</v>
      </c>
      <c r="J186">
        <v>13351649.470000001</v>
      </c>
      <c r="K186" s="67">
        <v>13351649.470000001</v>
      </c>
    </row>
    <row r="187" spans="1:11" x14ac:dyDescent="0.25">
      <c r="A187" t="s">
        <v>402</v>
      </c>
      <c r="B187" t="s">
        <v>403</v>
      </c>
      <c r="C187" t="s">
        <v>560</v>
      </c>
      <c r="D187" t="s">
        <v>581</v>
      </c>
      <c r="E187">
        <v>0</v>
      </c>
      <c r="F187" t="s">
        <v>582</v>
      </c>
      <c r="G187">
        <v>1579156.25</v>
      </c>
      <c r="H187">
        <v>0</v>
      </c>
      <c r="I187">
        <v>0</v>
      </c>
      <c r="J187">
        <v>0</v>
      </c>
      <c r="K187" s="67">
        <v>1579156.25</v>
      </c>
    </row>
    <row r="188" spans="1:11" x14ac:dyDescent="0.25">
      <c r="A188" t="s">
        <v>404</v>
      </c>
      <c r="B188" t="s">
        <v>405</v>
      </c>
      <c r="C188" t="s">
        <v>560</v>
      </c>
      <c r="D188" t="s">
        <v>631</v>
      </c>
      <c r="E188">
        <v>13670206.140000001</v>
      </c>
      <c r="F188" t="s">
        <v>632</v>
      </c>
      <c r="G188">
        <v>17465927.859999999</v>
      </c>
      <c r="H188">
        <v>0</v>
      </c>
      <c r="I188">
        <v>0</v>
      </c>
      <c r="J188">
        <v>0</v>
      </c>
      <c r="K188" s="67">
        <v>31136134</v>
      </c>
    </row>
    <row r="189" spans="1:11" x14ac:dyDescent="0.25">
      <c r="A189" t="s">
        <v>707</v>
      </c>
      <c r="B189" t="s">
        <v>708</v>
      </c>
      <c r="C189" t="s">
        <v>560</v>
      </c>
      <c r="D189" t="s">
        <v>561</v>
      </c>
      <c r="E189">
        <v>5532388.2000000002</v>
      </c>
      <c r="F189" t="s">
        <v>562</v>
      </c>
      <c r="G189">
        <v>0</v>
      </c>
      <c r="H189">
        <v>0</v>
      </c>
      <c r="I189">
        <v>0</v>
      </c>
      <c r="J189">
        <v>0</v>
      </c>
      <c r="K189" s="67">
        <v>5532388.2000000002</v>
      </c>
    </row>
    <row r="190" spans="1:11" x14ac:dyDescent="0.25">
      <c r="A190" t="s">
        <v>406</v>
      </c>
      <c r="B190" t="s">
        <v>407</v>
      </c>
      <c r="C190" t="s">
        <v>560</v>
      </c>
      <c r="D190" t="s">
        <v>659</v>
      </c>
      <c r="E190">
        <v>6297963.7300000004</v>
      </c>
      <c r="F190" t="s">
        <v>660</v>
      </c>
      <c r="G190">
        <v>7809125.5099999998</v>
      </c>
      <c r="H190">
        <v>4032863.97</v>
      </c>
      <c r="I190">
        <v>0</v>
      </c>
      <c r="J190">
        <v>0</v>
      </c>
      <c r="K190" s="67">
        <v>18139953.210000001</v>
      </c>
    </row>
    <row r="191" spans="1:11" x14ac:dyDescent="0.25">
      <c r="A191" t="s">
        <v>408</v>
      </c>
      <c r="B191" t="s">
        <v>409</v>
      </c>
      <c r="C191" t="s">
        <v>560</v>
      </c>
      <c r="D191" t="s">
        <v>709</v>
      </c>
      <c r="E191">
        <v>452473.24</v>
      </c>
      <c r="F191" t="s">
        <v>710</v>
      </c>
      <c r="G191">
        <v>18935390.66</v>
      </c>
      <c r="H191">
        <v>2929297.71</v>
      </c>
      <c r="I191">
        <v>0</v>
      </c>
      <c r="J191">
        <v>0.05</v>
      </c>
      <c r="K191" s="67">
        <v>22317161.66</v>
      </c>
    </row>
    <row r="192" spans="1:11" x14ac:dyDescent="0.25">
      <c r="A192" t="s">
        <v>1068</v>
      </c>
      <c r="B192" t="s">
        <v>1069</v>
      </c>
      <c r="C192" t="s">
        <v>560</v>
      </c>
      <c r="D192" t="s">
        <v>639</v>
      </c>
      <c r="E192">
        <v>0</v>
      </c>
      <c r="F192" t="s">
        <v>640</v>
      </c>
      <c r="G192">
        <v>572785.81999999995</v>
      </c>
      <c r="H192">
        <v>0</v>
      </c>
      <c r="I192">
        <v>0</v>
      </c>
      <c r="J192">
        <v>0</v>
      </c>
      <c r="K192" s="67">
        <v>572785.81999999995</v>
      </c>
    </row>
    <row r="193" spans="1:11" x14ac:dyDescent="0.25">
      <c r="A193" t="s">
        <v>527</v>
      </c>
      <c r="B193" t="s">
        <v>528</v>
      </c>
      <c r="C193" t="s">
        <v>560</v>
      </c>
      <c r="D193" t="s">
        <v>711</v>
      </c>
      <c r="E193">
        <v>0</v>
      </c>
      <c r="F193" t="s">
        <v>712</v>
      </c>
      <c r="G193">
        <v>3527150</v>
      </c>
      <c r="H193">
        <v>0</v>
      </c>
      <c r="I193">
        <v>0</v>
      </c>
      <c r="J193">
        <v>0</v>
      </c>
      <c r="K193" s="67">
        <v>3527150</v>
      </c>
    </row>
    <row r="194" spans="1:11" x14ac:dyDescent="0.25">
      <c r="A194" t="s">
        <v>410</v>
      </c>
      <c r="B194" t="s">
        <v>411</v>
      </c>
      <c r="C194" t="s">
        <v>560</v>
      </c>
      <c r="D194" t="s">
        <v>587</v>
      </c>
      <c r="E194">
        <v>0</v>
      </c>
      <c r="F194" t="s">
        <v>588</v>
      </c>
      <c r="G194">
        <v>0</v>
      </c>
      <c r="H194">
        <v>0</v>
      </c>
      <c r="I194">
        <v>0</v>
      </c>
      <c r="J194">
        <v>-2698.26</v>
      </c>
      <c r="K194" s="67">
        <v>-2698.26</v>
      </c>
    </row>
    <row r="195" spans="1:11" x14ac:dyDescent="0.25">
      <c r="A195" t="s">
        <v>1070</v>
      </c>
      <c r="B195" t="s">
        <v>1071</v>
      </c>
      <c r="C195" t="s">
        <v>560</v>
      </c>
      <c r="D195" t="s">
        <v>1072</v>
      </c>
      <c r="E195">
        <v>108585050</v>
      </c>
      <c r="F195" t="s">
        <v>1073</v>
      </c>
      <c r="G195">
        <v>0</v>
      </c>
      <c r="H195">
        <v>0</v>
      </c>
      <c r="I195">
        <v>0</v>
      </c>
      <c r="J195">
        <v>0</v>
      </c>
      <c r="K195" s="67">
        <v>108585050</v>
      </c>
    </row>
    <row r="196" spans="1:11" x14ac:dyDescent="0.25">
      <c r="A196" t="s">
        <v>1074</v>
      </c>
      <c r="B196" t="s">
        <v>1075</v>
      </c>
      <c r="C196" t="s">
        <v>560</v>
      </c>
      <c r="D196" t="s">
        <v>563</v>
      </c>
      <c r="E196">
        <v>544476.4</v>
      </c>
      <c r="F196" t="s">
        <v>564</v>
      </c>
      <c r="G196">
        <v>0</v>
      </c>
      <c r="H196">
        <v>0</v>
      </c>
      <c r="I196">
        <v>0</v>
      </c>
      <c r="J196">
        <v>0</v>
      </c>
      <c r="K196" s="67">
        <v>544476.4</v>
      </c>
    </row>
    <row r="197" spans="1:11" x14ac:dyDescent="0.25">
      <c r="A197" t="s">
        <v>1150</v>
      </c>
      <c r="B197" t="s">
        <v>1151</v>
      </c>
      <c r="C197" t="s">
        <v>560</v>
      </c>
      <c r="D197" t="s">
        <v>591</v>
      </c>
      <c r="E197">
        <v>102674042.63</v>
      </c>
      <c r="F197" t="s">
        <v>592</v>
      </c>
      <c r="G197">
        <v>0</v>
      </c>
      <c r="H197">
        <v>0</v>
      </c>
      <c r="I197">
        <v>0</v>
      </c>
      <c r="J197">
        <v>0</v>
      </c>
      <c r="K197" s="67">
        <v>102674042.63</v>
      </c>
    </row>
    <row r="198" spans="1:11" x14ac:dyDescent="0.25">
      <c r="A198" t="s">
        <v>529</v>
      </c>
      <c r="B198" t="s">
        <v>530</v>
      </c>
      <c r="C198" t="s">
        <v>560</v>
      </c>
      <c r="D198" t="s">
        <v>615</v>
      </c>
      <c r="E198">
        <v>0</v>
      </c>
      <c r="F198" t="s">
        <v>616</v>
      </c>
      <c r="G198">
        <v>1676977.72</v>
      </c>
      <c r="H198">
        <v>0</v>
      </c>
      <c r="I198">
        <v>0</v>
      </c>
      <c r="J198">
        <v>0</v>
      </c>
      <c r="K198" s="67">
        <v>1676977.72</v>
      </c>
    </row>
    <row r="199" spans="1:11" x14ac:dyDescent="0.25">
      <c r="A199" t="s">
        <v>1076</v>
      </c>
      <c r="B199" t="s">
        <v>1077</v>
      </c>
      <c r="C199" t="s">
        <v>560</v>
      </c>
      <c r="D199" t="s">
        <v>1078</v>
      </c>
      <c r="E199">
        <v>546816.86</v>
      </c>
      <c r="F199" t="s">
        <v>1079</v>
      </c>
      <c r="G199">
        <v>0</v>
      </c>
      <c r="H199">
        <v>0</v>
      </c>
      <c r="I199">
        <v>0</v>
      </c>
      <c r="J199">
        <v>0</v>
      </c>
      <c r="K199" s="67">
        <v>546816.86</v>
      </c>
    </row>
    <row r="200" spans="1:11" x14ac:dyDescent="0.25">
      <c r="A200" t="s">
        <v>412</v>
      </c>
      <c r="B200" t="s">
        <v>413</v>
      </c>
      <c r="C200" t="s">
        <v>560</v>
      </c>
      <c r="D200" t="s">
        <v>713</v>
      </c>
      <c r="E200">
        <v>0</v>
      </c>
      <c r="F200" t="s">
        <v>714</v>
      </c>
      <c r="G200">
        <v>1277500</v>
      </c>
      <c r="H200">
        <v>0</v>
      </c>
      <c r="I200">
        <v>0</v>
      </c>
      <c r="J200">
        <v>0</v>
      </c>
      <c r="K200" s="67">
        <v>1277500</v>
      </c>
    </row>
    <row r="201" spans="1:11" x14ac:dyDescent="0.25">
      <c r="A201" t="s">
        <v>414</v>
      </c>
      <c r="B201" t="s">
        <v>415</v>
      </c>
      <c r="C201" t="s">
        <v>560</v>
      </c>
      <c r="D201" t="s">
        <v>715</v>
      </c>
      <c r="E201">
        <v>4858248.01</v>
      </c>
      <c r="F201" t="s">
        <v>716</v>
      </c>
      <c r="G201">
        <v>22360357.140000001</v>
      </c>
      <c r="H201">
        <v>0</v>
      </c>
      <c r="I201">
        <v>0</v>
      </c>
      <c r="J201">
        <v>0</v>
      </c>
      <c r="K201" s="67">
        <v>27218605.149999999</v>
      </c>
    </row>
    <row r="202" spans="1:11" x14ac:dyDescent="0.25">
      <c r="A202" t="s">
        <v>717</v>
      </c>
      <c r="B202" t="s">
        <v>718</v>
      </c>
      <c r="C202" t="s">
        <v>560</v>
      </c>
      <c r="D202" t="s">
        <v>719</v>
      </c>
      <c r="E202">
        <v>1926618.02</v>
      </c>
      <c r="F202" t="s">
        <v>720</v>
      </c>
      <c r="G202">
        <v>0</v>
      </c>
      <c r="H202">
        <v>0</v>
      </c>
      <c r="I202">
        <v>0</v>
      </c>
      <c r="J202">
        <v>0</v>
      </c>
      <c r="K202" s="67">
        <v>1926618.02</v>
      </c>
    </row>
    <row r="203" spans="1:11" x14ac:dyDescent="0.25">
      <c r="A203" t="s">
        <v>416</v>
      </c>
      <c r="B203" t="s">
        <v>417</v>
      </c>
      <c r="C203" t="s">
        <v>560</v>
      </c>
      <c r="D203" t="s">
        <v>645</v>
      </c>
      <c r="E203">
        <v>1063687.6200000001</v>
      </c>
      <c r="F203" t="s">
        <v>646</v>
      </c>
      <c r="G203">
        <v>3089628.46</v>
      </c>
      <c r="H203">
        <v>1135026.31</v>
      </c>
      <c r="I203">
        <v>0</v>
      </c>
      <c r="J203">
        <v>0</v>
      </c>
      <c r="K203" s="67">
        <v>5288342.3899999997</v>
      </c>
    </row>
    <row r="204" spans="1:11" x14ac:dyDescent="0.25">
      <c r="A204" t="s">
        <v>418</v>
      </c>
      <c r="B204" t="s">
        <v>419</v>
      </c>
      <c r="C204" t="s">
        <v>560</v>
      </c>
      <c r="D204" t="s">
        <v>715</v>
      </c>
      <c r="E204">
        <v>842101.5</v>
      </c>
      <c r="F204" t="s">
        <v>716</v>
      </c>
      <c r="G204">
        <v>2235996.2999999998</v>
      </c>
      <c r="H204">
        <v>1682115.29</v>
      </c>
      <c r="I204">
        <v>0</v>
      </c>
      <c r="J204">
        <v>0</v>
      </c>
      <c r="K204" s="67">
        <v>4760213.09</v>
      </c>
    </row>
    <row r="205" spans="1:11" x14ac:dyDescent="0.25">
      <c r="A205" t="s">
        <v>1080</v>
      </c>
      <c r="B205" t="s">
        <v>1081</v>
      </c>
      <c r="C205" t="s">
        <v>560</v>
      </c>
      <c r="D205" t="s">
        <v>1082</v>
      </c>
      <c r="E205">
        <v>1496673.58</v>
      </c>
      <c r="F205" t="s">
        <v>1083</v>
      </c>
      <c r="G205">
        <v>0</v>
      </c>
      <c r="H205">
        <v>26926.65</v>
      </c>
      <c r="I205">
        <v>-26926.65</v>
      </c>
      <c r="J205">
        <v>0</v>
      </c>
      <c r="K205" s="67">
        <v>1496673.58</v>
      </c>
    </row>
    <row r="206" spans="1:11" x14ac:dyDescent="0.25">
      <c r="A206" t="s">
        <v>1084</v>
      </c>
      <c r="B206" t="s">
        <v>1085</v>
      </c>
      <c r="C206" t="s">
        <v>560</v>
      </c>
      <c r="D206" t="s">
        <v>1086</v>
      </c>
      <c r="E206">
        <v>515000.01</v>
      </c>
      <c r="F206" t="s">
        <v>1087</v>
      </c>
      <c r="G206">
        <v>0</v>
      </c>
      <c r="H206">
        <v>0</v>
      </c>
      <c r="I206">
        <v>0</v>
      </c>
      <c r="J206">
        <v>0</v>
      </c>
      <c r="K206" s="67">
        <v>515000.01</v>
      </c>
    </row>
    <row r="207" spans="1:11" x14ac:dyDescent="0.25">
      <c r="A207" t="s">
        <v>420</v>
      </c>
      <c r="B207" t="s">
        <v>421</v>
      </c>
      <c r="C207" t="s">
        <v>560</v>
      </c>
      <c r="D207" t="s">
        <v>709</v>
      </c>
      <c r="E207">
        <v>6507600</v>
      </c>
      <c r="F207" t="s">
        <v>710</v>
      </c>
      <c r="G207">
        <v>0</v>
      </c>
      <c r="H207">
        <v>0</v>
      </c>
      <c r="I207">
        <v>0</v>
      </c>
      <c r="J207">
        <v>0</v>
      </c>
      <c r="K207" s="67">
        <v>6507600</v>
      </c>
    </row>
    <row r="208" spans="1:11" x14ac:dyDescent="0.25">
      <c r="A208" t="s">
        <v>1152</v>
      </c>
      <c r="B208" t="s">
        <v>1153</v>
      </c>
      <c r="C208" t="s">
        <v>560</v>
      </c>
      <c r="D208" t="s">
        <v>701</v>
      </c>
      <c r="E208">
        <v>0</v>
      </c>
      <c r="F208" t="s">
        <v>702</v>
      </c>
      <c r="G208">
        <v>790258.26</v>
      </c>
      <c r="H208">
        <v>0</v>
      </c>
      <c r="I208">
        <v>0</v>
      </c>
      <c r="J208">
        <v>0</v>
      </c>
      <c r="K208" s="67">
        <v>790258.26</v>
      </c>
    </row>
    <row r="209" spans="1:11" x14ac:dyDescent="0.25">
      <c r="A209" t="s">
        <v>531</v>
      </c>
      <c r="B209" t="s">
        <v>532</v>
      </c>
      <c r="C209" t="s">
        <v>560</v>
      </c>
      <c r="D209" t="s">
        <v>661</v>
      </c>
      <c r="E209">
        <v>326700</v>
      </c>
      <c r="F209" t="s">
        <v>662</v>
      </c>
      <c r="G209">
        <v>166980</v>
      </c>
      <c r="H209">
        <v>228690</v>
      </c>
      <c r="I209">
        <v>0</v>
      </c>
      <c r="J209">
        <v>0</v>
      </c>
      <c r="K209" s="67">
        <v>722370</v>
      </c>
    </row>
    <row r="210" spans="1:11" x14ac:dyDescent="0.25">
      <c r="A210" t="s">
        <v>422</v>
      </c>
      <c r="B210" t="s">
        <v>423</v>
      </c>
      <c r="C210" t="s">
        <v>560</v>
      </c>
      <c r="D210" t="s">
        <v>587</v>
      </c>
      <c r="E210">
        <v>0</v>
      </c>
      <c r="F210" t="s">
        <v>588</v>
      </c>
      <c r="G210">
        <v>15326344</v>
      </c>
      <c r="H210">
        <v>2560844</v>
      </c>
      <c r="I210">
        <v>0</v>
      </c>
      <c r="J210">
        <v>0</v>
      </c>
      <c r="K210" s="67">
        <v>17887188</v>
      </c>
    </row>
    <row r="211" spans="1:11" x14ac:dyDescent="0.25">
      <c r="A211" t="s">
        <v>1154</v>
      </c>
      <c r="B211" t="s">
        <v>1155</v>
      </c>
      <c r="C211" t="s">
        <v>560</v>
      </c>
      <c r="D211" t="s">
        <v>589</v>
      </c>
      <c r="E211">
        <v>0</v>
      </c>
      <c r="F211" t="s">
        <v>590</v>
      </c>
      <c r="G211">
        <v>0</v>
      </c>
      <c r="H211">
        <v>0</v>
      </c>
      <c r="I211">
        <v>3360000</v>
      </c>
      <c r="J211">
        <v>0</v>
      </c>
      <c r="K211" s="67">
        <v>3360000</v>
      </c>
    </row>
    <row r="212" spans="1:11" x14ac:dyDescent="0.25">
      <c r="A212" t="s">
        <v>424</v>
      </c>
      <c r="B212" t="s">
        <v>425</v>
      </c>
      <c r="C212" t="s">
        <v>560</v>
      </c>
      <c r="D212" t="s">
        <v>709</v>
      </c>
      <c r="E212">
        <v>1554850</v>
      </c>
      <c r="F212" t="s">
        <v>710</v>
      </c>
      <c r="G212">
        <v>3551488.68</v>
      </c>
      <c r="H212">
        <v>0</v>
      </c>
      <c r="I212">
        <v>0</v>
      </c>
      <c r="J212">
        <v>0</v>
      </c>
      <c r="K212" s="67">
        <v>5106338.68</v>
      </c>
    </row>
    <row r="213" spans="1:11" x14ac:dyDescent="0.25">
      <c r="A213" t="s">
        <v>426</v>
      </c>
      <c r="B213" t="s">
        <v>427</v>
      </c>
      <c r="C213" t="s">
        <v>560</v>
      </c>
      <c r="D213" t="s">
        <v>581</v>
      </c>
      <c r="E213">
        <v>0</v>
      </c>
      <c r="F213" t="s">
        <v>582</v>
      </c>
      <c r="G213">
        <v>25545588.899999999</v>
      </c>
      <c r="H213">
        <v>0</v>
      </c>
      <c r="I213">
        <v>0</v>
      </c>
      <c r="J213">
        <v>0</v>
      </c>
      <c r="K213" s="67">
        <v>25545588.899999999</v>
      </c>
    </row>
    <row r="214" spans="1:11" x14ac:dyDescent="0.25">
      <c r="A214" t="s">
        <v>533</v>
      </c>
      <c r="B214" t="s">
        <v>534</v>
      </c>
      <c r="C214" t="s">
        <v>560</v>
      </c>
      <c r="D214" t="s">
        <v>721</v>
      </c>
      <c r="E214">
        <v>42200</v>
      </c>
      <c r="F214" t="s">
        <v>722</v>
      </c>
      <c r="G214">
        <v>144499.99</v>
      </c>
      <c r="H214">
        <v>0</v>
      </c>
      <c r="I214">
        <v>0</v>
      </c>
      <c r="J214">
        <v>0</v>
      </c>
      <c r="K214" s="67">
        <v>186699.99</v>
      </c>
    </row>
    <row r="215" spans="1:11" x14ac:dyDescent="0.25">
      <c r="A215" t="s">
        <v>1156</v>
      </c>
      <c r="B215" t="s">
        <v>1157</v>
      </c>
      <c r="C215" t="s">
        <v>560</v>
      </c>
      <c r="D215" t="s">
        <v>689</v>
      </c>
      <c r="E215">
        <v>146410</v>
      </c>
      <c r="F215" t="s">
        <v>690</v>
      </c>
      <c r="G215">
        <v>0</v>
      </c>
      <c r="H215">
        <v>0</v>
      </c>
      <c r="I215">
        <v>0</v>
      </c>
      <c r="J215">
        <v>0</v>
      </c>
      <c r="K215" s="67">
        <v>146410</v>
      </c>
    </row>
    <row r="216" spans="1:11" x14ac:dyDescent="0.25">
      <c r="A216" t="s">
        <v>428</v>
      </c>
      <c r="B216" t="s">
        <v>429</v>
      </c>
      <c r="C216" t="s">
        <v>560</v>
      </c>
      <c r="D216" t="s">
        <v>615</v>
      </c>
      <c r="E216">
        <v>1754984</v>
      </c>
      <c r="F216" t="s">
        <v>616</v>
      </c>
      <c r="G216">
        <v>6468021.1200000001</v>
      </c>
      <c r="H216">
        <v>0</v>
      </c>
      <c r="I216">
        <v>0</v>
      </c>
      <c r="J216">
        <v>0</v>
      </c>
      <c r="K216" s="67">
        <v>8223005.1200000001</v>
      </c>
    </row>
    <row r="217" spans="1:11" x14ac:dyDescent="0.25">
      <c r="A217" t="s">
        <v>1158</v>
      </c>
      <c r="B217" t="s">
        <v>1159</v>
      </c>
      <c r="C217" t="s">
        <v>560</v>
      </c>
      <c r="D217" t="s">
        <v>635</v>
      </c>
      <c r="E217">
        <v>580800</v>
      </c>
      <c r="F217" t="s">
        <v>636</v>
      </c>
      <c r="G217">
        <v>0</v>
      </c>
      <c r="H217">
        <v>0</v>
      </c>
      <c r="I217">
        <v>0</v>
      </c>
      <c r="J217">
        <v>0</v>
      </c>
      <c r="K217" s="67">
        <v>580800</v>
      </c>
    </row>
    <row r="218" spans="1:11" x14ac:dyDescent="0.25">
      <c r="A218" t="s">
        <v>430</v>
      </c>
      <c r="B218" t="s">
        <v>431</v>
      </c>
      <c r="C218" t="s">
        <v>560</v>
      </c>
      <c r="D218" t="s">
        <v>673</v>
      </c>
      <c r="E218">
        <v>320026.46000000002</v>
      </c>
      <c r="F218" t="s">
        <v>674</v>
      </c>
      <c r="G218">
        <v>1280105.83</v>
      </c>
      <c r="H218">
        <v>0</v>
      </c>
      <c r="I218">
        <v>0</v>
      </c>
      <c r="J218">
        <v>0</v>
      </c>
      <c r="K218" s="67">
        <v>1600132.29</v>
      </c>
    </row>
    <row r="219" spans="1:11" x14ac:dyDescent="0.25">
      <c r="A219" t="s">
        <v>432</v>
      </c>
      <c r="B219" t="s">
        <v>433</v>
      </c>
      <c r="C219" t="s">
        <v>560</v>
      </c>
      <c r="D219" t="s">
        <v>723</v>
      </c>
      <c r="E219">
        <v>0</v>
      </c>
      <c r="F219" t="s">
        <v>724</v>
      </c>
      <c r="G219">
        <v>0</v>
      </c>
      <c r="H219">
        <v>16855300</v>
      </c>
      <c r="I219">
        <v>0</v>
      </c>
      <c r="J219">
        <v>0</v>
      </c>
      <c r="K219" s="67">
        <v>16855300</v>
      </c>
    </row>
    <row r="220" spans="1:11" x14ac:dyDescent="0.25">
      <c r="A220" t="s">
        <v>434</v>
      </c>
      <c r="B220" t="s">
        <v>435</v>
      </c>
      <c r="C220" t="s">
        <v>560</v>
      </c>
      <c r="D220" t="s">
        <v>581</v>
      </c>
      <c r="E220">
        <v>0</v>
      </c>
      <c r="F220" t="s">
        <v>582</v>
      </c>
      <c r="G220">
        <v>933900</v>
      </c>
      <c r="H220">
        <v>593150</v>
      </c>
      <c r="I220">
        <v>0</v>
      </c>
      <c r="J220">
        <v>0</v>
      </c>
      <c r="K220" s="67">
        <v>1527050</v>
      </c>
    </row>
    <row r="221" spans="1:11" x14ac:dyDescent="0.25">
      <c r="A221" t="s">
        <v>725</v>
      </c>
      <c r="B221" t="s">
        <v>726</v>
      </c>
      <c r="C221" t="s">
        <v>560</v>
      </c>
      <c r="D221" t="s">
        <v>591</v>
      </c>
      <c r="E221">
        <v>1754539.78</v>
      </c>
      <c r="F221" t="s">
        <v>592</v>
      </c>
      <c r="G221">
        <v>0</v>
      </c>
      <c r="H221">
        <v>0</v>
      </c>
      <c r="I221">
        <v>0</v>
      </c>
      <c r="J221">
        <v>0</v>
      </c>
      <c r="K221" s="67">
        <v>1754539.78</v>
      </c>
    </row>
    <row r="222" spans="1:11" x14ac:dyDescent="0.25">
      <c r="A222" t="s">
        <v>436</v>
      </c>
      <c r="B222" t="s">
        <v>437</v>
      </c>
      <c r="C222" t="s">
        <v>560</v>
      </c>
      <c r="D222" t="s">
        <v>647</v>
      </c>
      <c r="E222">
        <v>0</v>
      </c>
      <c r="F222" t="s">
        <v>648</v>
      </c>
      <c r="G222">
        <v>9029998</v>
      </c>
      <c r="H222">
        <v>0</v>
      </c>
      <c r="I222">
        <v>0</v>
      </c>
      <c r="J222">
        <v>0</v>
      </c>
      <c r="K222" s="67">
        <v>9029998</v>
      </c>
    </row>
    <row r="223" spans="1:11" x14ac:dyDescent="0.25">
      <c r="A223" t="s">
        <v>438</v>
      </c>
      <c r="B223" t="s">
        <v>439</v>
      </c>
      <c r="C223" t="s">
        <v>560</v>
      </c>
      <c r="D223" t="s">
        <v>689</v>
      </c>
      <c r="E223">
        <v>0</v>
      </c>
      <c r="F223" t="s">
        <v>690</v>
      </c>
      <c r="G223">
        <v>1596554</v>
      </c>
      <c r="H223">
        <v>2796247.55</v>
      </c>
      <c r="I223">
        <v>0</v>
      </c>
      <c r="J223">
        <v>0</v>
      </c>
      <c r="K223" s="67">
        <v>4392801.55</v>
      </c>
    </row>
    <row r="224" spans="1:11" x14ac:dyDescent="0.25">
      <c r="A224" t="s">
        <v>440</v>
      </c>
      <c r="B224" t="s">
        <v>441</v>
      </c>
      <c r="C224" t="s">
        <v>560</v>
      </c>
      <c r="D224" t="s">
        <v>727</v>
      </c>
      <c r="E224">
        <v>0</v>
      </c>
      <c r="F224" t="s">
        <v>728</v>
      </c>
      <c r="G224">
        <v>1851080</v>
      </c>
      <c r="H224">
        <v>1851080</v>
      </c>
      <c r="I224">
        <v>0</v>
      </c>
      <c r="J224">
        <v>0</v>
      </c>
      <c r="K224" s="67">
        <v>3702160</v>
      </c>
    </row>
    <row r="225" spans="1:11" x14ac:dyDescent="0.25">
      <c r="A225" t="s">
        <v>442</v>
      </c>
      <c r="B225" t="s">
        <v>443</v>
      </c>
      <c r="C225" t="s">
        <v>560</v>
      </c>
      <c r="D225" t="s">
        <v>579</v>
      </c>
      <c r="E225">
        <v>0</v>
      </c>
      <c r="F225" t="s">
        <v>580</v>
      </c>
      <c r="G225">
        <v>0</v>
      </c>
      <c r="H225">
        <v>3978739.91</v>
      </c>
      <c r="I225">
        <v>0</v>
      </c>
      <c r="J225">
        <v>0</v>
      </c>
      <c r="K225" s="67">
        <v>3978739.91</v>
      </c>
    </row>
    <row r="226" spans="1:11" x14ac:dyDescent="0.25">
      <c r="A226" t="s">
        <v>444</v>
      </c>
      <c r="B226" t="s">
        <v>445</v>
      </c>
      <c r="C226" t="s">
        <v>560</v>
      </c>
      <c r="D226" t="s">
        <v>633</v>
      </c>
      <c r="E226">
        <v>0</v>
      </c>
      <c r="F226" t="s">
        <v>634</v>
      </c>
      <c r="G226">
        <v>0</v>
      </c>
      <c r="H226">
        <v>0</v>
      </c>
      <c r="I226">
        <v>0</v>
      </c>
      <c r="J226">
        <v>1074310</v>
      </c>
      <c r="K226" s="67">
        <v>1074310</v>
      </c>
    </row>
    <row r="227" spans="1:11" x14ac:dyDescent="0.25">
      <c r="A227" t="s">
        <v>446</v>
      </c>
      <c r="B227" t="s">
        <v>447</v>
      </c>
      <c r="C227" t="s">
        <v>560</v>
      </c>
      <c r="D227" t="s">
        <v>593</v>
      </c>
      <c r="E227">
        <v>0</v>
      </c>
      <c r="F227" t="s">
        <v>594</v>
      </c>
      <c r="G227">
        <v>0</v>
      </c>
      <c r="H227">
        <v>1271600</v>
      </c>
      <c r="I227">
        <v>0</v>
      </c>
      <c r="J227">
        <v>0</v>
      </c>
      <c r="K227" s="67">
        <v>1271600</v>
      </c>
    </row>
    <row r="228" spans="1:11" x14ac:dyDescent="0.25">
      <c r="A228" t="s">
        <v>1088</v>
      </c>
      <c r="B228" t="s">
        <v>1089</v>
      </c>
      <c r="C228" t="s">
        <v>560</v>
      </c>
      <c r="D228" t="s">
        <v>587</v>
      </c>
      <c r="E228">
        <v>139000.34</v>
      </c>
      <c r="F228" t="s">
        <v>588</v>
      </c>
      <c r="G228">
        <v>0</v>
      </c>
      <c r="H228">
        <v>0</v>
      </c>
      <c r="I228">
        <v>0</v>
      </c>
      <c r="J228">
        <v>0</v>
      </c>
      <c r="K228" s="67">
        <v>139000.34</v>
      </c>
    </row>
    <row r="229" spans="1:11" x14ac:dyDescent="0.25">
      <c r="A229" t="s">
        <v>1090</v>
      </c>
      <c r="B229" t="s">
        <v>1091</v>
      </c>
      <c r="C229" t="s">
        <v>560</v>
      </c>
      <c r="D229" t="s">
        <v>587</v>
      </c>
      <c r="E229">
        <v>24647700</v>
      </c>
      <c r="F229" t="s">
        <v>588</v>
      </c>
      <c r="G229">
        <v>0</v>
      </c>
      <c r="H229">
        <v>0</v>
      </c>
      <c r="I229">
        <v>0</v>
      </c>
      <c r="J229">
        <v>0</v>
      </c>
      <c r="K229" s="67">
        <v>24647700</v>
      </c>
    </row>
    <row r="230" spans="1:11" x14ac:dyDescent="0.25">
      <c r="A230" t="s">
        <v>535</v>
      </c>
      <c r="B230" t="s">
        <v>536</v>
      </c>
      <c r="C230" t="s">
        <v>560</v>
      </c>
      <c r="D230" t="s">
        <v>729</v>
      </c>
      <c r="E230">
        <v>0</v>
      </c>
      <c r="F230" t="s">
        <v>730</v>
      </c>
      <c r="G230">
        <v>3228555.27</v>
      </c>
      <c r="H230">
        <v>248261.75</v>
      </c>
      <c r="I230">
        <v>0</v>
      </c>
      <c r="J230">
        <v>0</v>
      </c>
      <c r="K230" s="67">
        <v>3476817.02</v>
      </c>
    </row>
    <row r="231" spans="1:11" x14ac:dyDescent="0.25">
      <c r="A231" t="s">
        <v>448</v>
      </c>
      <c r="B231" t="s">
        <v>449</v>
      </c>
      <c r="C231" t="s">
        <v>560</v>
      </c>
      <c r="D231" t="s">
        <v>653</v>
      </c>
      <c r="E231">
        <v>475204.92</v>
      </c>
      <c r="F231" t="s">
        <v>654</v>
      </c>
      <c r="G231">
        <v>332715.71999999997</v>
      </c>
      <c r="H231">
        <v>0</v>
      </c>
      <c r="I231">
        <v>0</v>
      </c>
      <c r="J231">
        <v>0</v>
      </c>
      <c r="K231" s="67">
        <v>807920.64000000001</v>
      </c>
    </row>
    <row r="232" spans="1:11" x14ac:dyDescent="0.25">
      <c r="A232" t="s">
        <v>450</v>
      </c>
      <c r="B232" t="s">
        <v>451</v>
      </c>
      <c r="C232" t="s">
        <v>560</v>
      </c>
      <c r="D232" t="s">
        <v>589</v>
      </c>
      <c r="E232">
        <v>4810000</v>
      </c>
      <c r="F232" t="s">
        <v>590</v>
      </c>
      <c r="G232">
        <v>43990000</v>
      </c>
      <c r="H232">
        <v>0</v>
      </c>
      <c r="I232">
        <v>0</v>
      </c>
      <c r="J232">
        <v>0</v>
      </c>
      <c r="K232" s="67">
        <v>48800000</v>
      </c>
    </row>
    <row r="233" spans="1:11" x14ac:dyDescent="0.25">
      <c r="A233" t="s">
        <v>452</v>
      </c>
      <c r="B233" t="s">
        <v>453</v>
      </c>
      <c r="C233" t="s">
        <v>560</v>
      </c>
      <c r="D233" t="s">
        <v>633</v>
      </c>
      <c r="E233">
        <v>0</v>
      </c>
      <c r="F233" t="s">
        <v>634</v>
      </c>
      <c r="G233">
        <v>0</v>
      </c>
      <c r="H233">
        <v>0</v>
      </c>
      <c r="I233">
        <v>0</v>
      </c>
      <c r="J233">
        <v>8115779.6100000003</v>
      </c>
      <c r="K233" s="67">
        <v>8115779.6100000003</v>
      </c>
    </row>
    <row r="234" spans="1:11" x14ac:dyDescent="0.25">
      <c r="A234" t="s">
        <v>454</v>
      </c>
      <c r="B234" t="s">
        <v>455</v>
      </c>
      <c r="C234" t="s">
        <v>560</v>
      </c>
      <c r="D234" t="s">
        <v>631</v>
      </c>
      <c r="E234">
        <v>0</v>
      </c>
      <c r="F234" t="s">
        <v>632</v>
      </c>
      <c r="G234">
        <v>8361100</v>
      </c>
      <c r="H234">
        <v>8034400</v>
      </c>
      <c r="I234">
        <v>0</v>
      </c>
      <c r="J234">
        <v>0</v>
      </c>
      <c r="K234" s="67">
        <v>16395500</v>
      </c>
    </row>
    <row r="235" spans="1:11" x14ac:dyDescent="0.25">
      <c r="A235" t="s">
        <v>456</v>
      </c>
      <c r="B235" t="s">
        <v>457</v>
      </c>
      <c r="C235" t="s">
        <v>560</v>
      </c>
      <c r="D235" t="s">
        <v>615</v>
      </c>
      <c r="E235">
        <v>0</v>
      </c>
      <c r="F235" t="s">
        <v>616</v>
      </c>
      <c r="G235">
        <v>0</v>
      </c>
      <c r="H235">
        <v>2998380</v>
      </c>
      <c r="I235">
        <v>0</v>
      </c>
      <c r="J235">
        <v>0</v>
      </c>
      <c r="K235" s="67">
        <v>2998380</v>
      </c>
    </row>
    <row r="236" spans="1:11" x14ac:dyDescent="0.25">
      <c r="A236" t="s">
        <v>537</v>
      </c>
      <c r="B236" t="s">
        <v>538</v>
      </c>
      <c r="C236" t="s">
        <v>560</v>
      </c>
      <c r="D236" t="s">
        <v>605</v>
      </c>
      <c r="E236">
        <v>0</v>
      </c>
      <c r="F236" t="s">
        <v>606</v>
      </c>
      <c r="G236">
        <v>33011550</v>
      </c>
      <c r="H236">
        <v>0</v>
      </c>
      <c r="I236">
        <v>0</v>
      </c>
      <c r="J236">
        <v>0</v>
      </c>
      <c r="K236" s="67">
        <v>33011550</v>
      </c>
    </row>
    <row r="237" spans="1:11" x14ac:dyDescent="0.25">
      <c r="A237" t="s">
        <v>458</v>
      </c>
      <c r="B237" t="s">
        <v>459</v>
      </c>
      <c r="C237" t="s">
        <v>560</v>
      </c>
      <c r="D237" t="s">
        <v>633</v>
      </c>
      <c r="E237">
        <v>0</v>
      </c>
      <c r="F237" t="s">
        <v>634</v>
      </c>
      <c r="G237">
        <v>0</v>
      </c>
      <c r="H237">
        <v>0</v>
      </c>
      <c r="I237">
        <v>0</v>
      </c>
      <c r="J237">
        <v>25876207.34</v>
      </c>
      <c r="K237" s="67">
        <v>25876207.34</v>
      </c>
    </row>
    <row r="238" spans="1:11" x14ac:dyDescent="0.25">
      <c r="A238" t="s">
        <v>539</v>
      </c>
      <c r="B238" t="s">
        <v>540</v>
      </c>
      <c r="C238" t="s">
        <v>560</v>
      </c>
      <c r="D238" t="s">
        <v>731</v>
      </c>
      <c r="E238">
        <v>0</v>
      </c>
      <c r="F238" t="s">
        <v>732</v>
      </c>
      <c r="G238">
        <v>3618300</v>
      </c>
      <c r="H238">
        <v>0</v>
      </c>
      <c r="I238">
        <v>0</v>
      </c>
      <c r="J238">
        <v>0</v>
      </c>
      <c r="K238" s="67">
        <v>3618300</v>
      </c>
    </row>
    <row r="239" spans="1:11" x14ac:dyDescent="0.25">
      <c r="A239" t="s">
        <v>460</v>
      </c>
      <c r="B239" t="s">
        <v>461</v>
      </c>
      <c r="C239" t="s">
        <v>560</v>
      </c>
      <c r="D239" t="s">
        <v>663</v>
      </c>
      <c r="E239">
        <v>0</v>
      </c>
      <c r="F239" t="s">
        <v>664</v>
      </c>
      <c r="G239">
        <v>0</v>
      </c>
      <c r="H239">
        <v>0</v>
      </c>
      <c r="I239">
        <v>0</v>
      </c>
      <c r="J239">
        <v>1331</v>
      </c>
      <c r="K239" s="67">
        <v>1331</v>
      </c>
    </row>
    <row r="240" spans="1:11" x14ac:dyDescent="0.25">
      <c r="A240" t="s">
        <v>1092</v>
      </c>
      <c r="B240" t="s">
        <v>1093</v>
      </c>
      <c r="C240" t="s">
        <v>560</v>
      </c>
      <c r="D240" t="s">
        <v>734</v>
      </c>
      <c r="E240">
        <v>411400</v>
      </c>
      <c r="F240" t="s">
        <v>735</v>
      </c>
      <c r="G240">
        <v>0</v>
      </c>
      <c r="H240">
        <v>0</v>
      </c>
      <c r="I240">
        <v>0</v>
      </c>
      <c r="J240">
        <v>0</v>
      </c>
      <c r="K240" s="67">
        <v>411400</v>
      </c>
    </row>
    <row r="241" spans="1:11" x14ac:dyDescent="0.25">
      <c r="A241" t="s">
        <v>462</v>
      </c>
      <c r="B241" t="s">
        <v>463</v>
      </c>
      <c r="C241" t="s">
        <v>560</v>
      </c>
      <c r="D241" t="s">
        <v>641</v>
      </c>
      <c r="E241">
        <v>644799.77</v>
      </c>
      <c r="F241" t="s">
        <v>642</v>
      </c>
      <c r="G241">
        <v>1174895.77</v>
      </c>
      <c r="H241">
        <v>109800.03</v>
      </c>
      <c r="I241">
        <v>0</v>
      </c>
      <c r="J241">
        <v>0</v>
      </c>
      <c r="K241" s="67">
        <v>1929495.57</v>
      </c>
    </row>
    <row r="242" spans="1:11" x14ac:dyDescent="0.25">
      <c r="A242" t="s">
        <v>1160</v>
      </c>
      <c r="B242" t="s">
        <v>1161</v>
      </c>
      <c r="C242" t="s">
        <v>560</v>
      </c>
      <c r="D242" t="s">
        <v>748</v>
      </c>
      <c r="E242">
        <v>12838737.470000001</v>
      </c>
      <c r="F242" t="s">
        <v>749</v>
      </c>
      <c r="G242">
        <v>0</v>
      </c>
      <c r="H242">
        <v>0</v>
      </c>
      <c r="I242">
        <v>0</v>
      </c>
      <c r="J242">
        <v>0</v>
      </c>
      <c r="K242" s="67">
        <v>12838737.470000001</v>
      </c>
    </row>
    <row r="243" spans="1:11" x14ac:dyDescent="0.25">
      <c r="A243" t="s">
        <v>464</v>
      </c>
      <c r="B243" t="s">
        <v>465</v>
      </c>
      <c r="C243" t="s">
        <v>560</v>
      </c>
      <c r="D243" t="s">
        <v>701</v>
      </c>
      <c r="E243">
        <v>1147080</v>
      </c>
      <c r="F243" t="s">
        <v>733</v>
      </c>
      <c r="G243">
        <v>4089800</v>
      </c>
      <c r="H243">
        <v>0</v>
      </c>
      <c r="I243">
        <v>0</v>
      </c>
      <c r="J243">
        <v>0</v>
      </c>
      <c r="K243" s="67">
        <v>5236880</v>
      </c>
    </row>
    <row r="244" spans="1:11" x14ac:dyDescent="0.25">
      <c r="A244" t="s">
        <v>466</v>
      </c>
      <c r="B244" t="s">
        <v>467</v>
      </c>
      <c r="C244" t="s">
        <v>560</v>
      </c>
      <c r="D244" t="s">
        <v>683</v>
      </c>
      <c r="E244">
        <v>0</v>
      </c>
      <c r="F244" t="s">
        <v>684</v>
      </c>
      <c r="G244">
        <v>16443900</v>
      </c>
      <c r="H244">
        <v>0</v>
      </c>
      <c r="I244">
        <v>0</v>
      </c>
      <c r="J244">
        <v>0</v>
      </c>
      <c r="K244" s="67">
        <v>16443900</v>
      </c>
    </row>
    <row r="245" spans="1:11" x14ac:dyDescent="0.25">
      <c r="A245" t="s">
        <v>1094</v>
      </c>
      <c r="B245" t="s">
        <v>1095</v>
      </c>
      <c r="C245" t="s">
        <v>560</v>
      </c>
      <c r="D245" t="s">
        <v>683</v>
      </c>
      <c r="E245">
        <v>1262028.42</v>
      </c>
      <c r="F245" t="s">
        <v>684</v>
      </c>
      <c r="G245">
        <v>0</v>
      </c>
      <c r="H245">
        <v>0</v>
      </c>
      <c r="I245">
        <v>0</v>
      </c>
      <c r="J245">
        <v>0</v>
      </c>
      <c r="K245" s="67">
        <v>1262028.42</v>
      </c>
    </row>
    <row r="246" spans="1:11" x14ac:dyDescent="0.25">
      <c r="A246" t="s">
        <v>1096</v>
      </c>
      <c r="B246" t="s">
        <v>1097</v>
      </c>
      <c r="C246" t="s">
        <v>560</v>
      </c>
      <c r="D246" t="s">
        <v>567</v>
      </c>
      <c r="E246">
        <v>195817.46</v>
      </c>
      <c r="F246" t="s">
        <v>568</v>
      </c>
      <c r="G246">
        <v>0</v>
      </c>
      <c r="H246">
        <v>0</v>
      </c>
      <c r="I246">
        <v>0</v>
      </c>
      <c r="J246">
        <v>0</v>
      </c>
      <c r="K246" s="67">
        <v>195817.46</v>
      </c>
    </row>
    <row r="247" spans="1:11" x14ac:dyDescent="0.25">
      <c r="A247" t="s">
        <v>541</v>
      </c>
      <c r="B247" t="s">
        <v>542</v>
      </c>
      <c r="C247" t="s">
        <v>560</v>
      </c>
      <c r="D247" t="s">
        <v>615</v>
      </c>
      <c r="E247">
        <v>0</v>
      </c>
      <c r="F247" t="s">
        <v>616</v>
      </c>
      <c r="G247">
        <v>4471155.84</v>
      </c>
      <c r="H247">
        <v>0</v>
      </c>
      <c r="I247">
        <v>0</v>
      </c>
      <c r="J247">
        <v>0</v>
      </c>
      <c r="K247" s="67">
        <v>4471155.84</v>
      </c>
    </row>
    <row r="248" spans="1:11" x14ac:dyDescent="0.25">
      <c r="A248" t="s">
        <v>468</v>
      </c>
      <c r="B248" t="s">
        <v>469</v>
      </c>
      <c r="C248" t="s">
        <v>560</v>
      </c>
      <c r="D248" t="s">
        <v>713</v>
      </c>
      <c r="E248">
        <v>63100</v>
      </c>
      <c r="F248" t="s">
        <v>714</v>
      </c>
      <c r="G248">
        <v>63100</v>
      </c>
      <c r="H248">
        <v>94650</v>
      </c>
      <c r="I248">
        <v>0</v>
      </c>
      <c r="J248">
        <v>0</v>
      </c>
      <c r="K248" s="67">
        <v>220850</v>
      </c>
    </row>
    <row r="249" spans="1:11" x14ac:dyDescent="0.25">
      <c r="A249" t="s">
        <v>470</v>
      </c>
      <c r="B249" t="s">
        <v>471</v>
      </c>
      <c r="C249" t="s">
        <v>560</v>
      </c>
      <c r="D249" t="s">
        <v>573</v>
      </c>
      <c r="E249">
        <v>0</v>
      </c>
      <c r="F249" t="s">
        <v>574</v>
      </c>
      <c r="G249">
        <v>5454380.2699999996</v>
      </c>
      <c r="H249">
        <v>0</v>
      </c>
      <c r="I249">
        <v>0</v>
      </c>
      <c r="J249">
        <v>0</v>
      </c>
      <c r="K249" s="67">
        <v>5454380.2699999996</v>
      </c>
    </row>
    <row r="250" spans="1:11" x14ac:dyDescent="0.25">
      <c r="A250" t="s">
        <v>472</v>
      </c>
      <c r="B250" t="s">
        <v>473</v>
      </c>
      <c r="C250" t="s">
        <v>560</v>
      </c>
      <c r="D250" t="s">
        <v>709</v>
      </c>
      <c r="E250">
        <v>10753280.289999999</v>
      </c>
      <c r="F250" t="s">
        <v>710</v>
      </c>
      <c r="G250">
        <v>263780</v>
      </c>
      <c r="H250">
        <v>7000000</v>
      </c>
      <c r="I250">
        <v>0</v>
      </c>
      <c r="J250">
        <v>0</v>
      </c>
      <c r="K250" s="67">
        <v>18017060.289999999</v>
      </c>
    </row>
    <row r="251" spans="1:11" x14ac:dyDescent="0.25">
      <c r="A251" t="s">
        <v>543</v>
      </c>
      <c r="B251" t="s">
        <v>544</v>
      </c>
      <c r="C251" t="s">
        <v>560</v>
      </c>
      <c r="D251" t="s">
        <v>583</v>
      </c>
      <c r="E251">
        <v>0</v>
      </c>
      <c r="F251" t="s">
        <v>584</v>
      </c>
      <c r="G251">
        <v>1445042.13</v>
      </c>
      <c r="H251">
        <v>0</v>
      </c>
      <c r="I251">
        <v>0</v>
      </c>
      <c r="J251">
        <v>0</v>
      </c>
      <c r="K251" s="67">
        <v>1445042.13</v>
      </c>
    </row>
    <row r="252" spans="1:11" x14ac:dyDescent="0.25">
      <c r="A252" t="s">
        <v>1098</v>
      </c>
      <c r="B252" t="s">
        <v>1099</v>
      </c>
      <c r="C252" t="s">
        <v>560</v>
      </c>
      <c r="D252" t="s">
        <v>583</v>
      </c>
      <c r="E252">
        <v>2147168.08</v>
      </c>
      <c r="F252" t="s">
        <v>584</v>
      </c>
      <c r="G252">
        <v>0</v>
      </c>
      <c r="H252">
        <v>0</v>
      </c>
      <c r="I252">
        <v>0</v>
      </c>
      <c r="J252">
        <v>0</v>
      </c>
      <c r="K252" s="67">
        <v>2147168.08</v>
      </c>
    </row>
    <row r="253" spans="1:11" x14ac:dyDescent="0.25">
      <c r="A253" t="s">
        <v>474</v>
      </c>
      <c r="B253" t="s">
        <v>475</v>
      </c>
      <c r="C253" t="s">
        <v>560</v>
      </c>
      <c r="D253" t="s">
        <v>587</v>
      </c>
      <c r="E253">
        <v>420000</v>
      </c>
      <c r="F253" t="s">
        <v>588</v>
      </c>
      <c r="G253">
        <v>0</v>
      </c>
      <c r="H253">
        <v>0</v>
      </c>
      <c r="I253">
        <v>0</v>
      </c>
      <c r="J253">
        <v>0</v>
      </c>
      <c r="K253" s="67">
        <v>420000</v>
      </c>
    </row>
    <row r="254" spans="1:11" x14ac:dyDescent="0.25">
      <c r="A254" t="s">
        <v>736</v>
      </c>
      <c r="B254" t="s">
        <v>737</v>
      </c>
      <c r="C254" t="s">
        <v>560</v>
      </c>
      <c r="D254" t="s">
        <v>619</v>
      </c>
      <c r="E254">
        <v>0</v>
      </c>
      <c r="F254" t="s">
        <v>620</v>
      </c>
      <c r="G254">
        <v>657417.41</v>
      </c>
      <c r="H254">
        <v>0</v>
      </c>
      <c r="I254">
        <v>0</v>
      </c>
      <c r="J254">
        <v>0</v>
      </c>
      <c r="K254" s="67">
        <v>657417.41</v>
      </c>
    </row>
    <row r="255" spans="1:11" x14ac:dyDescent="0.25">
      <c r="A255" t="s">
        <v>476</v>
      </c>
      <c r="B255" t="s">
        <v>477</v>
      </c>
      <c r="C255" t="s">
        <v>560</v>
      </c>
      <c r="D255" t="s">
        <v>738</v>
      </c>
      <c r="E255">
        <v>2125947.85</v>
      </c>
      <c r="F255" t="s">
        <v>739</v>
      </c>
      <c r="G255">
        <v>2669255.2400000002</v>
      </c>
      <c r="H255">
        <v>0</v>
      </c>
      <c r="I255">
        <v>0</v>
      </c>
      <c r="J255">
        <v>0</v>
      </c>
      <c r="K255" s="67">
        <v>4795203.09</v>
      </c>
    </row>
    <row r="256" spans="1:11" x14ac:dyDescent="0.25">
      <c r="A256" t="s">
        <v>478</v>
      </c>
      <c r="B256" t="s">
        <v>479</v>
      </c>
      <c r="C256" t="s">
        <v>560</v>
      </c>
      <c r="D256" t="s">
        <v>691</v>
      </c>
      <c r="E256">
        <v>6159394</v>
      </c>
      <c r="F256" t="s">
        <v>692</v>
      </c>
      <c r="G256">
        <v>0</v>
      </c>
      <c r="H256">
        <v>-0.01</v>
      </c>
      <c r="I256">
        <v>0</v>
      </c>
      <c r="J256">
        <v>0</v>
      </c>
      <c r="K256" s="67">
        <v>6159393.9900000002</v>
      </c>
    </row>
    <row r="257" spans="1:11" x14ac:dyDescent="0.25">
      <c r="A257" t="s">
        <v>480</v>
      </c>
      <c r="B257" t="s">
        <v>481</v>
      </c>
      <c r="C257" t="s">
        <v>560</v>
      </c>
      <c r="D257" t="s">
        <v>619</v>
      </c>
      <c r="E257">
        <v>856680</v>
      </c>
      <c r="F257" t="s">
        <v>620</v>
      </c>
      <c r="G257">
        <v>1098438</v>
      </c>
      <c r="H257">
        <v>0</v>
      </c>
      <c r="I257">
        <v>0</v>
      </c>
      <c r="J257">
        <v>0</v>
      </c>
      <c r="K257" s="67">
        <v>1955118</v>
      </c>
    </row>
    <row r="258" spans="1:11" x14ac:dyDescent="0.25">
      <c r="A258" t="s">
        <v>482</v>
      </c>
      <c r="B258" t="s">
        <v>483</v>
      </c>
      <c r="C258" t="s">
        <v>560</v>
      </c>
      <c r="D258" t="s">
        <v>591</v>
      </c>
      <c r="E258">
        <v>0</v>
      </c>
      <c r="F258" t="s">
        <v>592</v>
      </c>
      <c r="G258">
        <v>2595584.67</v>
      </c>
      <c r="H258">
        <v>0</v>
      </c>
      <c r="I258">
        <v>0</v>
      </c>
      <c r="J258">
        <v>0</v>
      </c>
      <c r="K258" s="67">
        <v>2595584.67</v>
      </c>
    </row>
    <row r="259" spans="1:11" x14ac:dyDescent="0.25">
      <c r="A259" t="s">
        <v>545</v>
      </c>
      <c r="B259" t="s">
        <v>546</v>
      </c>
      <c r="C259" t="s">
        <v>560</v>
      </c>
      <c r="D259" t="s">
        <v>581</v>
      </c>
      <c r="E259">
        <v>4290037.6900000004</v>
      </c>
      <c r="F259" t="s">
        <v>582</v>
      </c>
      <c r="G259">
        <v>0</v>
      </c>
      <c r="H259">
        <v>0</v>
      </c>
      <c r="I259">
        <v>0</v>
      </c>
      <c r="J259">
        <v>0</v>
      </c>
      <c r="K259" s="67">
        <v>4290037.6900000004</v>
      </c>
    </row>
    <row r="260" spans="1:11" x14ac:dyDescent="0.25">
      <c r="A260" t="s">
        <v>484</v>
      </c>
      <c r="B260" t="s">
        <v>485</v>
      </c>
      <c r="C260" t="s">
        <v>560</v>
      </c>
      <c r="D260" t="s">
        <v>637</v>
      </c>
      <c r="E260">
        <v>0</v>
      </c>
      <c r="F260" t="s">
        <v>638</v>
      </c>
      <c r="G260">
        <v>17500</v>
      </c>
      <c r="H260">
        <v>0</v>
      </c>
      <c r="I260">
        <v>0</v>
      </c>
      <c r="J260">
        <v>-671301.14</v>
      </c>
      <c r="K260" s="67">
        <v>-653801.14</v>
      </c>
    </row>
    <row r="261" spans="1:11" x14ac:dyDescent="0.25">
      <c r="A261" t="s">
        <v>547</v>
      </c>
      <c r="B261" t="s">
        <v>548</v>
      </c>
      <c r="C261" t="s">
        <v>560</v>
      </c>
      <c r="D261" t="s">
        <v>633</v>
      </c>
      <c r="E261">
        <v>1848700.12</v>
      </c>
      <c r="F261" t="s">
        <v>634</v>
      </c>
      <c r="G261">
        <v>0</v>
      </c>
      <c r="H261">
        <v>0</v>
      </c>
      <c r="I261">
        <v>0</v>
      </c>
      <c r="J261">
        <v>0</v>
      </c>
      <c r="K261" s="67">
        <v>1848700.12</v>
      </c>
    </row>
    <row r="262" spans="1:11" x14ac:dyDescent="0.25">
      <c r="A262" t="s">
        <v>486</v>
      </c>
      <c r="B262" t="s">
        <v>487</v>
      </c>
      <c r="C262" t="s">
        <v>560</v>
      </c>
      <c r="D262" t="s">
        <v>740</v>
      </c>
      <c r="E262">
        <v>3350076.18</v>
      </c>
      <c r="F262" t="s">
        <v>741</v>
      </c>
      <c r="G262">
        <v>1715262.12</v>
      </c>
      <c r="H262">
        <v>0</v>
      </c>
      <c r="I262">
        <v>0</v>
      </c>
      <c r="J262">
        <v>0</v>
      </c>
      <c r="K262" s="67">
        <v>5065338.3</v>
      </c>
    </row>
    <row r="263" spans="1:11" x14ac:dyDescent="0.25">
      <c r="A263" t="s">
        <v>1162</v>
      </c>
      <c r="B263" t="s">
        <v>1163</v>
      </c>
      <c r="C263" t="s">
        <v>560</v>
      </c>
      <c r="D263" t="s">
        <v>647</v>
      </c>
      <c r="E263">
        <v>1616456.16</v>
      </c>
      <c r="F263" t="s">
        <v>648</v>
      </c>
      <c r="G263">
        <v>0</v>
      </c>
      <c r="H263">
        <v>0</v>
      </c>
      <c r="I263">
        <v>0</v>
      </c>
      <c r="J263">
        <v>0</v>
      </c>
      <c r="K263" s="67">
        <v>1616456.16</v>
      </c>
    </row>
    <row r="264" spans="1:11" x14ac:dyDescent="0.25">
      <c r="A264" t="s">
        <v>488</v>
      </c>
      <c r="B264" t="s">
        <v>489</v>
      </c>
      <c r="C264" t="s">
        <v>560</v>
      </c>
      <c r="D264" t="s">
        <v>742</v>
      </c>
      <c r="E264">
        <v>44982025.560000002</v>
      </c>
      <c r="F264" t="s">
        <v>743</v>
      </c>
      <c r="G264">
        <v>0</v>
      </c>
      <c r="H264">
        <v>43200964.079999998</v>
      </c>
      <c r="I264">
        <v>0</v>
      </c>
      <c r="J264">
        <v>0</v>
      </c>
      <c r="K264" s="67">
        <v>88182989.640000001</v>
      </c>
    </row>
    <row r="265" spans="1:11" x14ac:dyDescent="0.25">
      <c r="A265" t="s">
        <v>744</v>
      </c>
      <c r="B265" t="s">
        <v>745</v>
      </c>
      <c r="C265" t="s">
        <v>560</v>
      </c>
      <c r="D265" t="s">
        <v>746</v>
      </c>
      <c r="E265">
        <v>0</v>
      </c>
      <c r="F265" t="s">
        <v>747</v>
      </c>
      <c r="G265">
        <v>7118732.5</v>
      </c>
      <c r="H265">
        <v>0</v>
      </c>
      <c r="I265">
        <v>0</v>
      </c>
      <c r="J265">
        <v>0</v>
      </c>
      <c r="K265" s="67">
        <v>7118732.5</v>
      </c>
    </row>
    <row r="266" spans="1:11" x14ac:dyDescent="0.25">
      <c r="A266" t="s">
        <v>1100</v>
      </c>
      <c r="B266" t="s">
        <v>1101</v>
      </c>
      <c r="C266" t="s">
        <v>560</v>
      </c>
      <c r="D266" t="s">
        <v>633</v>
      </c>
      <c r="E266">
        <v>2890206</v>
      </c>
      <c r="F266" t="s">
        <v>634</v>
      </c>
      <c r="G266">
        <v>0</v>
      </c>
      <c r="H266">
        <v>0</v>
      </c>
      <c r="I266">
        <v>0</v>
      </c>
      <c r="J266">
        <v>0</v>
      </c>
      <c r="K266" s="67">
        <v>2890206</v>
      </c>
    </row>
    <row r="267" spans="1:11" x14ac:dyDescent="0.25">
      <c r="A267" t="s">
        <v>1102</v>
      </c>
      <c r="B267" t="s">
        <v>1103</v>
      </c>
      <c r="C267" t="s">
        <v>560</v>
      </c>
      <c r="D267" t="s">
        <v>619</v>
      </c>
      <c r="E267">
        <v>182226</v>
      </c>
      <c r="F267" t="s">
        <v>620</v>
      </c>
      <c r="G267">
        <v>820340.43</v>
      </c>
      <c r="H267">
        <v>0</v>
      </c>
      <c r="I267">
        <v>0</v>
      </c>
      <c r="J267">
        <v>0</v>
      </c>
      <c r="K267" s="67">
        <v>1002566.43</v>
      </c>
    </row>
    <row r="268" spans="1:11" x14ac:dyDescent="0.25">
      <c r="A268" t="s">
        <v>490</v>
      </c>
      <c r="B268" t="s">
        <v>491</v>
      </c>
      <c r="C268" t="s">
        <v>560</v>
      </c>
      <c r="D268" t="s">
        <v>748</v>
      </c>
      <c r="E268">
        <v>107543306.72</v>
      </c>
      <c r="F268" t="s">
        <v>749</v>
      </c>
      <c r="G268">
        <v>0</v>
      </c>
      <c r="H268">
        <v>0</v>
      </c>
      <c r="I268">
        <v>0</v>
      </c>
      <c r="J268">
        <v>0</v>
      </c>
      <c r="K268" s="67">
        <v>107543306.72</v>
      </c>
    </row>
    <row r="269" spans="1:11" x14ac:dyDescent="0.25">
      <c r="A269" t="s">
        <v>492</v>
      </c>
      <c r="B269" t="s">
        <v>493</v>
      </c>
      <c r="C269" t="s">
        <v>560</v>
      </c>
      <c r="D269" t="s">
        <v>591</v>
      </c>
      <c r="E269">
        <v>30147304.530000001</v>
      </c>
      <c r="F269" t="s">
        <v>592</v>
      </c>
      <c r="G269">
        <v>0</v>
      </c>
      <c r="H269">
        <v>0</v>
      </c>
      <c r="I269">
        <v>0</v>
      </c>
      <c r="J269">
        <v>-1.1100000000000001</v>
      </c>
      <c r="K269" s="67">
        <v>30147303.420000002</v>
      </c>
    </row>
    <row r="270" spans="1:11" x14ac:dyDescent="0.25">
      <c r="A270" t="s">
        <v>494</v>
      </c>
      <c r="B270" t="s">
        <v>495</v>
      </c>
      <c r="C270" t="s">
        <v>560</v>
      </c>
      <c r="D270" t="s">
        <v>581</v>
      </c>
      <c r="E270">
        <v>172788</v>
      </c>
      <c r="F270" t="s">
        <v>582</v>
      </c>
      <c r="G270">
        <v>0</v>
      </c>
      <c r="H270">
        <v>0</v>
      </c>
      <c r="I270">
        <v>0</v>
      </c>
      <c r="J270">
        <v>0</v>
      </c>
      <c r="K270" s="67">
        <v>172788</v>
      </c>
    </row>
    <row r="271" spans="1:11" x14ac:dyDescent="0.25">
      <c r="A271" t="s">
        <v>549</v>
      </c>
      <c r="B271" t="s">
        <v>550</v>
      </c>
      <c r="C271" t="s">
        <v>560</v>
      </c>
      <c r="D271" t="s">
        <v>603</v>
      </c>
      <c r="E271">
        <v>0</v>
      </c>
      <c r="F271" t="s">
        <v>604</v>
      </c>
      <c r="G271">
        <v>1577601.83</v>
      </c>
      <c r="H271">
        <v>0</v>
      </c>
      <c r="I271">
        <v>0</v>
      </c>
      <c r="J271">
        <v>0</v>
      </c>
      <c r="K271" s="67">
        <v>1577601.83</v>
      </c>
    </row>
    <row r="272" spans="1:11" x14ac:dyDescent="0.25">
      <c r="A272" t="s">
        <v>496</v>
      </c>
      <c r="B272" t="s">
        <v>1164</v>
      </c>
      <c r="C272" t="s">
        <v>560</v>
      </c>
      <c r="D272" t="s">
        <v>709</v>
      </c>
      <c r="E272">
        <v>2447164.5</v>
      </c>
      <c r="F272" t="s">
        <v>710</v>
      </c>
      <c r="G272">
        <v>2280920.4</v>
      </c>
      <c r="H272">
        <v>1396896.6</v>
      </c>
      <c r="I272">
        <v>0</v>
      </c>
      <c r="J272">
        <v>0</v>
      </c>
      <c r="K272" s="67">
        <v>6124981.5</v>
      </c>
    </row>
    <row r="273" spans="1:11" x14ac:dyDescent="0.25">
      <c r="A273" t="s">
        <v>497</v>
      </c>
      <c r="B273" t="s">
        <v>498</v>
      </c>
      <c r="C273" t="s">
        <v>560</v>
      </c>
      <c r="D273" t="s">
        <v>663</v>
      </c>
      <c r="E273">
        <v>0</v>
      </c>
      <c r="F273" t="s">
        <v>664</v>
      </c>
      <c r="G273">
        <v>0</v>
      </c>
      <c r="H273">
        <v>1485120</v>
      </c>
      <c r="I273">
        <v>0</v>
      </c>
      <c r="J273">
        <v>0</v>
      </c>
      <c r="K273" s="67">
        <v>1485120</v>
      </c>
    </row>
    <row r="274" spans="1:11" x14ac:dyDescent="0.25">
      <c r="A274" t="s">
        <v>499</v>
      </c>
      <c r="B274" t="s">
        <v>500</v>
      </c>
      <c r="C274" t="s">
        <v>560</v>
      </c>
      <c r="D274" t="s">
        <v>713</v>
      </c>
      <c r="E274">
        <v>306213914.73000002</v>
      </c>
      <c r="F274" t="s">
        <v>714</v>
      </c>
      <c r="G274">
        <v>867391683.90999997</v>
      </c>
      <c r="H274">
        <v>0</v>
      </c>
      <c r="I274">
        <v>0</v>
      </c>
      <c r="J274">
        <v>0</v>
      </c>
      <c r="K274" s="67">
        <v>1173605598.6400001</v>
      </c>
    </row>
    <row r="275" spans="1:11" x14ac:dyDescent="0.25">
      <c r="A275" t="s">
        <v>501</v>
      </c>
      <c r="B275" t="s">
        <v>502</v>
      </c>
      <c r="C275" t="s">
        <v>560</v>
      </c>
      <c r="D275" t="s">
        <v>645</v>
      </c>
      <c r="E275">
        <v>2510695.19</v>
      </c>
      <c r="F275" t="s">
        <v>646</v>
      </c>
      <c r="G275">
        <v>0</v>
      </c>
      <c r="H275">
        <v>0</v>
      </c>
      <c r="I275">
        <v>0</v>
      </c>
      <c r="J275">
        <v>0</v>
      </c>
      <c r="K275" s="67">
        <v>2510695.19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54">
        <v>4.4999999999999998E-2</v>
      </c>
      <c r="D5" s="13">
        <v>46101</v>
      </c>
      <c r="E5" s="13">
        <v>46281</v>
      </c>
      <c r="F5" s="55">
        <f>IFERROR(E5-D5,0)</f>
        <v>180</v>
      </c>
      <c r="G5" s="56">
        <f>IFERROR(B5*(C5/365)*F5,0)</f>
        <v>22191.780821917808</v>
      </c>
      <c r="H5" s="57">
        <f>IFERROR(B5+G5,0)</f>
        <v>1022191.7808219178</v>
      </c>
      <c r="I5" s="58">
        <f ca="1">IFERROR(E5-TODAY(),"Vencido")</f>
        <v>91</v>
      </c>
      <c r="J5" s="52"/>
    </row>
    <row r="6" spans="1:10" ht="18" customHeight="1" x14ac:dyDescent="0.25">
      <c r="A6" s="53" t="s">
        <v>179</v>
      </c>
      <c r="B6" s="14">
        <v>1000000</v>
      </c>
      <c r="C6" s="54">
        <v>3.9E-2</v>
      </c>
      <c r="D6" s="13">
        <v>46118</v>
      </c>
      <c r="E6" s="13">
        <v>46297</v>
      </c>
      <c r="F6" s="55">
        <f>IFERROR(E6-D6,0)</f>
        <v>179</v>
      </c>
      <c r="G6" s="56">
        <f>IFERROR(B6*(C6/365)*F6,0)</f>
        <v>19126.027397260274</v>
      </c>
      <c r="H6" s="57">
        <f>IFERROR(B6+G6,0)</f>
        <v>1019126.0273972603</v>
      </c>
      <c r="I6" s="58">
        <f ca="1">IFERROR(E6-TODAY(),"Vencido")</f>
        <v>107</v>
      </c>
      <c r="J6" s="51"/>
    </row>
    <row r="7" spans="1:10" ht="18" customHeight="1" x14ac:dyDescent="0.25">
      <c r="A7" s="53" t="s">
        <v>179</v>
      </c>
      <c r="B7" s="14">
        <v>1000000</v>
      </c>
      <c r="C7" s="54">
        <v>5.9499999999999997E-2</v>
      </c>
      <c r="D7" s="13">
        <v>46079</v>
      </c>
      <c r="E7" s="13">
        <v>46259</v>
      </c>
      <c r="F7" s="55">
        <f>IFERROR(E7-D7,0)</f>
        <v>180</v>
      </c>
      <c r="G7" s="56">
        <f>IFERROR(B7*(C7/365)*F7,0)</f>
        <v>29342.465753424651</v>
      </c>
      <c r="H7" s="57">
        <f>IFERROR(B7+G7,0)</f>
        <v>1029342.4657534247</v>
      </c>
      <c r="I7" s="58">
        <f ca="1">IFERROR(E7-TODAY(),"Vencido")</f>
        <v>69</v>
      </c>
      <c r="J7" s="52"/>
    </row>
    <row r="8" spans="1:10" ht="18" customHeight="1" x14ac:dyDescent="0.25">
      <c r="A8" s="53" t="s">
        <v>181</v>
      </c>
      <c r="B8" s="14">
        <v>1000000</v>
      </c>
      <c r="C8" s="54">
        <v>0.05</v>
      </c>
      <c r="D8" s="13">
        <v>46048</v>
      </c>
      <c r="E8" s="13">
        <v>46227</v>
      </c>
      <c r="F8" s="55">
        <f t="shared" ref="F8:F14" si="0">IFERROR(E8-D8,0)</f>
        <v>179</v>
      </c>
      <c r="G8" s="56">
        <f t="shared" ref="G8:G14" si="1">IFERROR(B8*(C8/365)*F8,0)</f>
        <v>24520.547945205486</v>
      </c>
      <c r="H8" s="57">
        <f t="shared" ref="H8:H14" si="2">IFERROR(B8+G8,0)</f>
        <v>1024520.5479452055</v>
      </c>
      <c r="I8" s="58">
        <f t="shared" ref="I8:I14" ca="1" si="3">IFERROR(E8-TODAY(),"Vencido")</f>
        <v>37</v>
      </c>
      <c r="J8" s="52"/>
    </row>
    <row r="9" spans="1:10" ht="18" customHeight="1" x14ac:dyDescent="0.25">
      <c r="A9" s="53" t="s">
        <v>181</v>
      </c>
      <c r="B9" s="14">
        <v>1000000</v>
      </c>
      <c r="C9" s="54">
        <v>3.2500000000000001E-2</v>
      </c>
      <c r="D9" s="13">
        <v>45860</v>
      </c>
      <c r="E9" s="13">
        <v>46185</v>
      </c>
      <c r="F9" s="55">
        <f t="shared" si="0"/>
        <v>325</v>
      </c>
      <c r="G9" s="56">
        <f t="shared" si="1"/>
        <v>28938.35616438356</v>
      </c>
      <c r="H9" s="57">
        <f t="shared" si="2"/>
        <v>1028938.3561643836</v>
      </c>
      <c r="I9" s="58">
        <f t="shared" ca="1" si="3"/>
        <v>-5</v>
      </c>
      <c r="J9" s="52"/>
    </row>
    <row r="10" spans="1:10" ht="18" customHeight="1" x14ac:dyDescent="0.25">
      <c r="A10" s="53" t="s">
        <v>181</v>
      </c>
      <c r="B10" s="14">
        <v>1000000</v>
      </c>
      <c r="C10" s="54">
        <v>3.2500000000000001E-2</v>
      </c>
      <c r="D10" s="13">
        <v>45860</v>
      </c>
      <c r="E10" s="13">
        <v>46192</v>
      </c>
      <c r="F10" s="55">
        <f t="shared" si="0"/>
        <v>332</v>
      </c>
      <c r="G10" s="56">
        <f t="shared" si="1"/>
        <v>29561.643835616436</v>
      </c>
      <c r="H10" s="57">
        <f t="shared" si="2"/>
        <v>1029561.6438356164</v>
      </c>
      <c r="I10" s="58">
        <f t="shared" ca="1" si="3"/>
        <v>2</v>
      </c>
      <c r="J10" s="52"/>
    </row>
    <row r="11" spans="1:10" ht="18" customHeight="1" x14ac:dyDescent="0.25">
      <c r="A11" s="53" t="s">
        <v>181</v>
      </c>
      <c r="B11" s="14">
        <v>1000000</v>
      </c>
      <c r="C11" s="54">
        <v>0.04</v>
      </c>
      <c r="D11" s="13">
        <v>46136</v>
      </c>
      <c r="E11" s="13">
        <v>46255</v>
      </c>
      <c r="F11" s="55">
        <f t="shared" si="0"/>
        <v>119</v>
      </c>
      <c r="G11" s="56">
        <f t="shared" si="1"/>
        <v>13041.095890410959</v>
      </c>
      <c r="H11" s="57">
        <f t="shared" si="2"/>
        <v>1013041.0958904109</v>
      </c>
      <c r="I11" s="58">
        <f t="shared" ca="1" si="3"/>
        <v>65</v>
      </c>
      <c r="J11" s="52"/>
    </row>
    <row r="12" spans="1:10" ht="18" customHeight="1" x14ac:dyDescent="0.25">
      <c r="A12" s="53" t="s">
        <v>181</v>
      </c>
      <c r="B12" s="14">
        <v>1000000</v>
      </c>
      <c r="C12" s="54">
        <v>3.9E-2</v>
      </c>
      <c r="D12" s="13">
        <v>46090</v>
      </c>
      <c r="E12" s="13">
        <v>46269</v>
      </c>
      <c r="F12" s="55">
        <f t="shared" si="0"/>
        <v>179</v>
      </c>
      <c r="G12" s="56">
        <f t="shared" si="1"/>
        <v>19126.027397260274</v>
      </c>
      <c r="H12" s="57">
        <f t="shared" si="2"/>
        <v>1019126.0273972603</v>
      </c>
      <c r="I12" s="58">
        <f t="shared" ca="1" si="3"/>
        <v>79</v>
      </c>
      <c r="J12" s="52"/>
    </row>
    <row r="13" spans="1:10" ht="18" customHeight="1" x14ac:dyDescent="0.25">
      <c r="A13" s="53" t="s">
        <v>181</v>
      </c>
      <c r="B13" s="14">
        <v>1000000</v>
      </c>
      <c r="C13" s="54">
        <v>3.9E-2</v>
      </c>
      <c r="D13" s="13">
        <v>46153</v>
      </c>
      <c r="E13" s="13">
        <v>46333</v>
      </c>
      <c r="F13" s="55">
        <f t="shared" si="0"/>
        <v>180</v>
      </c>
      <c r="G13" s="56">
        <f t="shared" si="1"/>
        <v>19232.876712328769</v>
      </c>
      <c r="H13" s="57">
        <f t="shared" si="2"/>
        <v>1019232.8767123288</v>
      </c>
      <c r="I13" s="58">
        <f t="shared" ca="1" si="3"/>
        <v>143</v>
      </c>
      <c r="J13" s="52"/>
    </row>
    <row r="14" spans="1:10" ht="18" customHeight="1" x14ac:dyDescent="0.25">
      <c r="A14" s="53" t="s">
        <v>181</v>
      </c>
      <c r="B14" s="14">
        <v>1000000</v>
      </c>
      <c r="C14" s="54">
        <v>3.2300000000000002E-2</v>
      </c>
      <c r="D14" s="13">
        <v>46178</v>
      </c>
      <c r="E14" s="13">
        <v>46358</v>
      </c>
      <c r="F14" s="55">
        <f t="shared" si="0"/>
        <v>180</v>
      </c>
      <c r="G14" s="56">
        <f t="shared" si="1"/>
        <v>15928.767123287671</v>
      </c>
      <c r="H14" s="57">
        <f t="shared" si="2"/>
        <v>1015928.7671232877</v>
      </c>
      <c r="I14" s="58">
        <f t="shared" ca="1" si="3"/>
        <v>168</v>
      </c>
      <c r="J14" s="52"/>
    </row>
    <row r="15" spans="1:10" ht="19.5" customHeight="1" x14ac:dyDescent="0.25">
      <c r="A15" s="41" t="s">
        <v>155</v>
      </c>
      <c r="B15" s="59">
        <f>SUM(B5:B14)</f>
        <v>10000000</v>
      </c>
      <c r="C15" s="42"/>
      <c r="D15" s="42"/>
      <c r="E15" s="42"/>
      <c r="F15" s="42"/>
      <c r="G15" s="59">
        <f>SUM(G5:G14)</f>
        <v>221009.58904109587</v>
      </c>
      <c r="H15" s="59">
        <f>SUM(H5:H14)</f>
        <v>10221009.589041095</v>
      </c>
      <c r="I15" s="42"/>
      <c r="J15" s="42"/>
    </row>
    <row r="16" spans="1:10" ht="18" customHeight="1" x14ac:dyDescent="0.25">
      <c r="A16" s="44"/>
      <c r="B16" s="60"/>
      <c r="C16" s="61"/>
      <c r="D16" s="46"/>
      <c r="E16" s="46"/>
      <c r="F16" s="62">
        <f>IFERROR(E16-D16,0)</f>
        <v>0</v>
      </c>
      <c r="G16" s="63">
        <f>IFERROR(B16*(C16/365)*F16,0)</f>
        <v>0</v>
      </c>
      <c r="H16" s="63">
        <f>IFERROR(B16+G16,0)</f>
        <v>0</v>
      </c>
      <c r="I16" s="62">
        <f ca="1">IFERROR(E16-TODAY(),"")</f>
        <v>-46190</v>
      </c>
      <c r="J16" s="44"/>
    </row>
    <row r="17" spans="1:10" ht="18" customHeight="1" x14ac:dyDescent="0.25">
      <c r="A17" s="44"/>
      <c r="B17" s="60"/>
      <c r="C17" s="61"/>
      <c r="D17" s="46"/>
      <c r="E17" s="46"/>
      <c r="F17" s="62">
        <f>IFERROR(E17-D17,0)</f>
        <v>0</v>
      </c>
      <c r="G17" s="63">
        <f>IFERROR(B17*(C17/365)*F17,0)</f>
        <v>0</v>
      </c>
      <c r="H17" s="63">
        <f>IFERROR(B17+G17,0)</f>
        <v>0</v>
      </c>
      <c r="I17" s="62">
        <f ca="1">IFERROR(E17-TODAY(),"")</f>
        <v>-46190</v>
      </c>
      <c r="J17" s="44"/>
    </row>
    <row r="18" spans="1:10" ht="18" customHeight="1" x14ac:dyDescent="0.25">
      <c r="A18" s="44"/>
      <c r="B18" s="60"/>
      <c r="C18" s="61"/>
      <c r="D18" s="46"/>
      <c r="E18" s="46"/>
      <c r="F18" s="62">
        <f>IFERROR(E18-D18,0)</f>
        <v>0</v>
      </c>
      <c r="G18" s="63">
        <f>IFERROR(B18*(C18/365)*F18,0)</f>
        <v>0</v>
      </c>
      <c r="H18" s="63">
        <f>IFERROR(B18+G18,0)</f>
        <v>0</v>
      </c>
      <c r="I18" s="62">
        <f ca="1">IFERROR(E18-TODAY(),"")</f>
        <v>-46190</v>
      </c>
      <c r="J18" s="44"/>
    </row>
    <row r="19" spans="1:10" ht="18" customHeight="1" x14ac:dyDescent="0.25">
      <c r="A19" s="44"/>
      <c r="B19" s="60"/>
      <c r="C19" s="61"/>
      <c r="D19" s="46"/>
      <c r="E19" s="46"/>
      <c r="F19" s="62">
        <f>IFERROR(E19-D19,0)</f>
        <v>0</v>
      </c>
      <c r="G19" s="63">
        <f>IFERROR(B19*(C19/365)*F19,0)</f>
        <v>0</v>
      </c>
      <c r="H19" s="63">
        <f>IFERROR(B19+G19,0)</f>
        <v>0</v>
      </c>
      <c r="I19" s="62">
        <f ca="1">IFERROR(E19-TODAY(),"")</f>
        <v>-46190</v>
      </c>
      <c r="J19" s="44"/>
    </row>
    <row r="20" spans="1:10" ht="18" customHeight="1" x14ac:dyDescent="0.25">
      <c r="A20" s="44"/>
      <c r="B20" s="60"/>
      <c r="C20" s="61"/>
      <c r="D20" s="46"/>
      <c r="E20" s="46"/>
      <c r="F20" s="62">
        <f>IFERROR(E20-D20,0)</f>
        <v>0</v>
      </c>
      <c r="G20" s="63">
        <f>IFERROR(B20*(C20/365)*F20,0)</f>
        <v>0</v>
      </c>
      <c r="H20" s="63">
        <f>IFERROR(B20+G20,0)</f>
        <v>0</v>
      </c>
      <c r="I20" s="62">
        <f ca="1">IFERROR(E20-TODAY(),"")</f>
        <v>-46190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5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2026-06-17T13:53:58Z</dcterms:modified>
  <dc:language>en-US</dc:language>
</cp:coreProperties>
</file>