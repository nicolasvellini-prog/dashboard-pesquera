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B852BBE0-42A0-4E2A-AADC-8DB5C6A0E32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40" i="2" l="1"/>
  <c r="AI143" i="2"/>
  <c r="AI142" i="2"/>
  <c r="AI141" i="2"/>
  <c r="AI140" i="2"/>
  <c r="AH143" i="2"/>
  <c r="AH142" i="2"/>
  <c r="AH141" i="2"/>
  <c r="AH140" i="2"/>
  <c r="AG141" i="2"/>
  <c r="AG142" i="2" s="1"/>
  <c r="AG143" i="2" s="1"/>
  <c r="AG140" i="2"/>
  <c r="AD141" i="2"/>
  <c r="AD142" i="2" s="1"/>
  <c r="AD143" i="2" s="1"/>
  <c r="AD140" i="2"/>
  <c r="AB141" i="2"/>
  <c r="AB142" i="2" s="1"/>
  <c r="AB143" i="2" s="1"/>
  <c r="AB140" i="2"/>
  <c r="Z141" i="2"/>
  <c r="Z142" i="2" s="1"/>
  <c r="Z143" i="2" s="1"/>
  <c r="Z140" i="2"/>
  <c r="A140" i="2"/>
  <c r="A141" i="2" s="1"/>
  <c r="A142" i="2" s="1"/>
  <c r="F19" i="9"/>
  <c r="G19" i="9" s="1"/>
  <c r="H19" i="9" s="1"/>
  <c r="I19" i="9"/>
  <c r="B20" i="9"/>
  <c r="F18" i="9"/>
  <c r="G18" i="9" s="1"/>
  <c r="H18" i="9" s="1"/>
  <c r="I18" i="9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C302" i="8"/>
  <c r="C31" i="7"/>
  <c r="AH139" i="2"/>
  <c r="AI139" i="2"/>
  <c r="AG139" i="2"/>
  <c r="AF139" i="2"/>
  <c r="AE139" i="2"/>
  <c r="AD139" i="2"/>
  <c r="AB139" i="2"/>
  <c r="AA139" i="2"/>
  <c r="Z139" i="2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7" i="9"/>
  <c r="F17" i="9"/>
  <c r="G17" i="9" s="1"/>
  <c r="H17" i="9" s="1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F16" i="9"/>
  <c r="G16" i="9" s="1"/>
  <c r="H16" i="9" s="1"/>
  <c r="I16" i="9"/>
  <c r="F15" i="9"/>
  <c r="G15" i="9" s="1"/>
  <c r="I15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D162" i="8"/>
  <c r="D163" i="8"/>
  <c r="D164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5" i="8"/>
  <c r="F9" i="9"/>
  <c r="I9" i="9"/>
  <c r="I8" i="9"/>
  <c r="F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5" i="9" l="1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1" i="9"/>
  <c r="I11" i="9"/>
  <c r="I12" i="9"/>
  <c r="F12" i="9"/>
  <c r="G12" i="9" s="1"/>
  <c r="H12" i="9" s="1"/>
  <c r="I10" i="9"/>
  <c r="F10" i="9"/>
  <c r="G10" i="9" s="1"/>
  <c r="H10" i="9" s="1"/>
  <c r="F5" i="9"/>
  <c r="G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5" i="9" l="1"/>
  <c r="AG112" i="2"/>
  <c r="C112" i="6" s="1"/>
  <c r="AG113" i="2"/>
  <c r="D302" i="8"/>
  <c r="G11" i="9"/>
  <c r="H14" i="9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I22" i="9"/>
  <c r="F22" i="9"/>
  <c r="G22" i="9" s="1"/>
  <c r="H22" i="9" s="1"/>
  <c r="I21" i="9"/>
  <c r="F21" i="9"/>
  <c r="G21" i="9" s="1"/>
  <c r="H21" i="9" s="1"/>
  <c r="F36" i="7"/>
  <c r="F35" i="7"/>
  <c r="F34" i="7"/>
  <c r="F33" i="7"/>
  <c r="F32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43" i="6" l="1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1" i="9"/>
  <c r="H20" i="9" s="1"/>
  <c r="G2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C114" i="6" l="1"/>
  <c r="H114" i="6" s="1"/>
  <c r="AG115" i="2"/>
  <c r="E302" i="8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<sst xmlns="http://schemas.openxmlformats.org/spreadsheetml/2006/main" count="2952" uniqueCount="1030">
  <si>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</si>
  <si>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</si>
  <si>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</si>
  <si>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</si>
  <si>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</si>
  <si>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</si>
  <si>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</si>
  <si>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</si>
  <si>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</si>
  <si>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</si>
  <si>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</si>
  <si>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</si>
  <si>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</si>
  <si>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</si>
  <si>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</si>
  <si>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</si>
  <si>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</si>
  <si>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</si>
  <si>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</si>
  <si>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</si>
  <si>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</si>
  <si>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</si>
  <si>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</si>
  <si>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</si>
  <si>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</si>
  <si>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</si>
  <si>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</si>
  <si>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</si>
  <si>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</si>
  <si>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</si>
  <si>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</si>
  <si>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</si>
  <si>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</si>
  <si>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</si>
  <si>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</si>
  <si>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</si>
  <si>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</si>
  <si>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</si>
  <si>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</si>
  <si>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</si>
  <si>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</si>
  <si>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</si>
  <si>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</si>
  <si>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</si>
  <si>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</si>
  <si>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</si>
  <si>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</si>
  <si>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</si>
  <si>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</si>
  <si>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</si>
  <si>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</si>
  <si>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</si>
  <si>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</si>
  <si>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</si>
  <si>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</si>
  <si>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</si>
  <si>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</si>
  <si>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</si>
  <si>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</si>
  <si>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</si>
  <si>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</si>
  <si>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</si>
  <si>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</si>
  <si>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</si>
  <si>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</si>
  <si>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</si>
  <si>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</si>
  <si>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</si>
  <si>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</si>
  <si>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</si>
  <si>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</si>
  <si>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</si>
  <si>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</si>
  <si>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</si>
  <si>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</si>
  <si>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</si>
  <si>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</si>
  <si>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</si>
  <si>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</si>
  <si>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</si>
  <si>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</si>
  <si>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</si>
  <si>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</si>
  <si>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</si>
  <si>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</si>
  <si>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</si>
  <si>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</si>
  <si>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</si>
  <si>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</si>
  <si>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</si>
  <si>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</si>
  <si>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</si>
  <si>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</si>
  <si>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</si>
  <si>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</si>
  <si>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</si>
  <si>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</si>
  <si>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</si>
  <si>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</si>
  <si>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</si>
  <si>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</si>
  <si>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</si>
  <si>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</si>
  <si>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</si>
  <si>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</si>
  <si>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</si>
  <si>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</si>
  <si>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</si>
  <si>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</si>
  <si>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</si>
  <si>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</si>
  <si>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</si>
  <si>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</si>
  <si>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</si>
  <si>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</si>
  <si>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</si>
  <si>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</si>
  <si>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</si>
  <si>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</si>
  <si>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</si>
  <si>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</si>
  <si>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</si>
  <si>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</si>
  <si>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</si>
  <si>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</si>
  <si>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</si>
  <si>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</si>
  <si>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</si>
  <si>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</si>
  <si>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</si>
  <si>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</si>
  <si>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</si>
  <si>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</si>
  <si>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</si>
  <si>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</si>
  <si>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</si>
  <si>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</si>
  <si>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</si>
  <si>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</si>
  <si>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</si>
  <si>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</si>
  <si>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</si>
  <si>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</si>
  <si>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</si>
  <si>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</si>
  <si>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</si>
  <si>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</si>
  <si>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</si>
  <si>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</si>
  <si>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</si>
  <si>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</si>
  <si>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</si>
  <si>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</si>
  <si>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</si>
  <si>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</si>
  <si>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</si>
  <si>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</si>
  <si>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</si>
  <si>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</si>
  <si>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</si>
  <si>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</si>
  <si>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</si>
  <si>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</si>
  <si>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</si>
  <si>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</si>
  <si>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</si>
  <si>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</si>
  <si>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</si>
  <si>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</si>
  <si>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</si>
  <si>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</si>
  <si>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</si>
  <si>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</si>
  <si>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</si>
  <si>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</si>
  <si>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</si>
  <si>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</si>
  <si>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</si>
  <si>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</si>
  <si>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</si>
  <si>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</si>
  <si>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</si>
  <si>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</si>
  <si>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</si>
  <si>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</si>
  <si>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</si>
  <si>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</si>
  <si>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</si>
  <si>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</si>
  <si>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</si>
  <si>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</si>
  <si>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</si>
  <si>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</si>
  <si>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</si>
  <si>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</si>
  <si>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</si>
  <si>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</si>
  <si>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</si>
  <si>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</si>
  <si>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</si>
  <si>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</si>
  <si>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</si>
  <si>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</si>
  <si>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</si>
  <si>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</si>
  <si>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</si>
  <si>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</si>
  <si>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</si>
  <si>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</si>
  <si>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</si>
  <si>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</si>
  <si>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</si>
  <si>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</si>
  <si>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</si>
  <si>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</si>
  <si>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</si>
  <si>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</si>
  <si>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</si>
  <si>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</si>
  <si>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</si>
  <si>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</si>
  <si>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</si>
  <si>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</si>
  <si>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</si>
  <si>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</si>
  <si>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</si>
  <si>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</si>
  <si>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</si>
  <si>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</si>
  <si>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</si>
  <si>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</si>
  <si>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</si>
  <si>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</si>
  <si>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</si>
  <si>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</si>
  <si>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</si>
  <si>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</si>
  <si>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</si>
  <si>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</si>
  <si>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</si>
  <si>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</si>
  <si>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</si>
  <si>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</si>
  <si>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</si>
  <si>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</si>
  <si>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</si>
  <si>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</si>
  <si>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</si>
  <si>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</si>
  <si>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</si>
  <si>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</si>
  <si>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</si>
  <si>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</si>
  <si>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</si>
  <si>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</si>
  <si>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</si>
  <si>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</si>
  <si>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</si>
  <si>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</si>
  <si>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</si>
  <si>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</si>
  <si>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</si>
  <si>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</si>
  <si>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</si>
  <si>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</si>
  <si>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</si>
  <si>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</si>
  <si>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</si>
  <si>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</si>
  <si>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</si>
  <si>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</si>
  <si>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</si>
  <si>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</si>
  <si>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</si>
  <si>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</si>
  <si>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</si>
  <si>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</si>
  <si>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</si>
  <si>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</si>
  <si>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</si>
  <si>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</si>
  <si>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</si>
  <si>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</si>
  <si>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</si>
  <si>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</si>
  <si>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</si>
  <si>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</si>
  <si>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</si>
  <si>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</si>
  <si>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</si>
  <si>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</si>
  <si>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</si>
  <si>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</si>
  <si>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</si>
  <si>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</si>
  <si>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</si>
  <si>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</si>
  <si>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</si>
  <si>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</si>
  <si>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</si>
  <si>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</si>
  <si>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</si>
  <si>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</si>
  <si>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</si>
  <si>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</si>
  <si>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</si>
  <si>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</si>
  <si>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</si>
  <si>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</si>
  <si>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</si>
  <si>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</si>
  <si>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</si>
  <si>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</si>
  <si>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</si>
  <si>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</si>
  <si>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</si>
  <si>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</si>
  <si>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</si>
  <si>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</si>
  <si>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</si>
  <si>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</si>
  <si>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</si>
  <si>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</si>
  <si>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</si>
  <si>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</si>
  <si>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</si>
  <si>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</si>
  <si>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</si>
  <si>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</si>
  <si>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</si>
  <si>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</si>
  <si>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</si>
  <si>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</si>
  <si>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</si>
  <si>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</si>
  <si>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</si>
  <si>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</si>
  <si>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</si>
  <si>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</si>
  <si>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</si>
  <si>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</si>
  <si>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</si>
  <si>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</si>
  <si>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</si>
  <si>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</si>
  <si>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</si>
  <si>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</si>
  <si>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</si>
  <si>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</si>
  <si>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</si>
  <si>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</si>
  <si>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</si>
  <si>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</si>
  <si>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</si>
  <si>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</si>
  <si>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</si>
  <si>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</si>
  <si>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</si>
  <si>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</si>
  <si>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</si>
  <si>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</si>
  <si>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</si>
  <si>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</si>
  <si>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</si>
  <si>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</si>
  <si>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</si>
  <si>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</si>
  <si>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</si>
  <si>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</si>
  <si>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</si>
  <si>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</si>
  <si>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</si>
  <si>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</si>
  <si>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</si>
  <si>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</si>
  <si>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</si>
  <si>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</si>
  <si>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</si>
  <si>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</si>
  <si>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</si>
  <si>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</si>
  <si>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</si>
  <si>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</si>
  <si>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</si>
  <si>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</si>
  <si>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</si>
  <si>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</si>
  <si>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</si>
  <si>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</si>
  <si>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</si>
  <si>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</si>
  <si>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</si>
  <si>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</si>
  <si>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</si>
  <si>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</si>
  <si>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</si>
  <si>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</si>
  <si>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</si>
  <si>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</si>
  <si>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</si>
  <si>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</si>
  <si>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</si>
  <si>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</si>
  <si>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</si>
  <si>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</si>
  <si>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</si>
  <si>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</si>
  <si>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</si>
  <si>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</si>
  <si>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</si>
  <si>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</si>
  <si>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</si>
  <si>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</si>
  <si>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</si>
  <si>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</si>
  <si>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</si>
  <si>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</si>
  <si>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</si>
  <si>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</si>
  <si>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</si>
  <si>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</si>
  <si>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</si>
  <si>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</si>
  <si>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</si>
  <si>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</si>
  <si>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</si>
  <si>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</si>
  <si>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</si>
  <si>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</si>
  <si>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</si>
  <si>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</si>
  <si>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</si>
  <si>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</si>
  <si>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</si>
  <si>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</si>
  <si>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</si>
  <si>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</si>
  <si>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</si>
  <si>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</si>
  <si>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</si>
  <si>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</si>
  <si>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</si>
  <si>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</si>
  <si>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</si>
  <si>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</si>
  <si>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</si>
  <si>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</si>
  <si>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</si>
  <si>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</si>
  <si>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</si>
  <si>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</si>
  <si>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</si>
  <si>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</si>
  <si>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</si>
  <si>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</si>
  <si>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</si>
  <si>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</si>
  <si>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</si>
  <si>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</si>
  <si>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</si>
  <si>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</si>
  <si>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</si>
  <si>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</si>
  <si>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</si>
  <si>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</si>
  <si>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</si>
  <si>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</si>
  <si>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</si>
  <si>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</si>
  <si>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</si>
  <si>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</si>
  <si>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</si>
  <si>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</si>
  <si>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</si>
  <si>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</si>
  <si>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</si>
  <si>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</si>
  <si>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</si>
  <si>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</si>
  <si>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</si>
  <si>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</si>
  <si>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</si>
  <si>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</si>
  <si>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</si>
  <si>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</si>
  <si>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</si>
  <si>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</si>
  <si>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</si>
  <si>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</si>
  <si>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</si>
  <si>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</si>
  <si>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</si>
  <si>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</si>
  <si>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</si>
  <si>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</si>
  <si>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</si>
  <si>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</si>
  <si>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</si>
  <si>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</si>
  <si>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</si>
  <si>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</si>
  <si>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</si>
  <si>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</si>
  <si>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</si>
  <si>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</si>
  <si>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</si>
  <si>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</si>
  <si>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</si>
  <si>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</si>
  <si>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</si>
  <si>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</si>
  <si>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</si>
  <si>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</si>
  <si>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</si>
  <si>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</si>
  <si>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</si>
  <si>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</si>
  <si>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</si>
  <si>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</si>
  <si>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</si>
  <si>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</si>
  <si>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</si>
  <si>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</si>
  <si>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</si>
  <si>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</si>
  <si>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</si>
  <si>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</si>
  <si>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</si>
  <si>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</si>
  <si>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</si>
  <si>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</si>
  <si>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</si>
  <si>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</si>
  <si>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</si>
  <si>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</si>
  <si>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</si>
  <si>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</si>
  <si>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</si>
  <si>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</si>
  <si>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</si>
  <si>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</si>
  <si>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</si>
  <si>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</si>
  <si>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</si>
  <si>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</si>
  <si>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</si>
  <si>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</si>
  <si>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</si>
  <si>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</si>
  <si>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</si>
  <si>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</si>
  <si>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</si>
  <si>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</si>
  <si>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</si>
  <si>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</si>
  <si>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</si>
  <si>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</si>
  <si>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</si>
  <si>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</si>
  <si>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</si>
  <si>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</si>
  <si>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</si>
  <si>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</si>
  <si>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</si>
  <si>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</si>
  <si>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</si>
  <si>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</si>
  <si>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</si>
  <si>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</si>
  <si>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</si>
  <si>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</si>
  <si>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</si>
  <si>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</si>
  <si>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</si>
  <si>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</si>
  <si>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</si>
  <si>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</si>
  <si>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</si>
  <si>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</si>
  <si>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</si>
  <si>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</si>
  <si>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</si>
  <si>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</si>
  <si>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</si>
  <si>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</si>
  <si>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</si>
  <si>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</si>
  <si>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</si>
  <si>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</si>
  <si>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</si>
  <si>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</si>
  <si>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</si>
  <si>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</si>
  <si>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</si>
  <si>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</si>
  <si>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</si>
  <si>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</si>
  <si>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</si>
  <si>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</si>
  <si>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</si>
  <si>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</si>
  <si>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</si>
  <si>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</si>
  <si>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</si>
  <si>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</si>
  <si>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</si>
  <si>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</si>
  <si>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</si>
  <si>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</si>
  <si>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</si>
  <si>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</si>
  <si>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</si>
  <si>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</si>
  <si>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</si>
  <si>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</si>
  <si>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</si>
  <si>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</si>
  <si>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</si>
  <si>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</si>
  <si>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</si>
  <si>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</si>
  <si>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</si>
  <si>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</si>
  <si>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</si>
  <si>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</si>
  <si>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</si>
  <si>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</si>
  <si>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</si>
  <si>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</si>
  <si>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</si>
  <si>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</si>
  <si>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</si>
  <si>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</si>
  <si>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</si>
  <si>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</si>
  <si>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</si>
  <si>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</si>
  <si>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</si>
  <si>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</si>
  <si>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</si>
  <si>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</si>
  <si>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</si>
  <si>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</si>
  <si>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</si>
  <si>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</si>
  <si>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</si>
  <si>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</si>
  <si>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</si>
  <si>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</si>
  <si>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</si>
  <si>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</si>
  <si>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</si>
  <si>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</si>
  <si>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</si>
  <si>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</si>
  <si>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</si>
  <si>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</si>
  <si>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</si>
  <si>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</si>
  <si>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</si>
  <si>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</si>
  <si>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</si>
  <si>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</si>
  <si>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</si>
  <si>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</si>
  <si>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</si>
  <si>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</si>
  <si>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</si>
  <si>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</si>
  <si>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</si>
  <si>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</si>
  <si>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</si>
  <si>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</si>
  <si>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</si>
  <si>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</si>
  <si>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</si>
  <si>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</si>
  <si>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</si>
  <si>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</si>
  <si>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</si>
  <si>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</si>
  <si>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</si>
  <si>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</si>
  <si>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</si>
  <si>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</si>
  <si>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</si>
  <si>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</si>
  <si>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</si>
  <si>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</si>
  <si>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</si>
  <si>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</si>
  <si>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</si>
  <si>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</si>
  <si>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</si>
  <si>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</si>
  <si>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</si>
  <si>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</si>
  <si>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</si>
  <si>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</si>
  <si>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</si>
  <si>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</si>
  <si>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</si>
  <si>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</si>
  <si>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</si>
  <si>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</si>
  <si>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</si>
  <si>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</si>
  <si>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</si>
  <si>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</si>
  <si>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</si>
  <si>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</si>
  <si>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</si>
  <si>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</si>
  <si>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</si>
  <si>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</si>
  <si>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</si>
  <si>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</si>
  <si>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</si>
  <si>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</si>
  <si>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</si>
  <si>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</si>
  <si>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</si>
  <si>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</si>
  <si>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</si>
  <si>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</si>
  <si>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</si>
  <si>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</si>
  <si>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</si>
  <si>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</si>
  <si>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</si>
  <si>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</si>
  <si>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</si>
  <si>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</si>
  <si>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</si>
  <si>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</si>
  <si>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</si>
  <si>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</si>
  <si>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</si>
  <si>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</si>
  <si>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</si>
  <si>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</si>
  <si>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</si>
  <si>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</si>
  <si>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</si>
  <si>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</si>
  <si>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</si>
  <si>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</si>
  <si>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</si>
  <si>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</si>
  <si>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</si>
  <si>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</si>
  <si>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</si>
  <si>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</si>
  <si>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</si>
  <si>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</si>
  <si>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</si>
  <si>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</si>
  <si>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</si>
  <si>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</si>
  <si>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</si>
  <si>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</si>
  <si>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</si>
  <si>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</si>
  <si>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</si>
  <si>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</si>
  <si>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</si>
  <si>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</si>
  <si>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</si>
  <si>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</si>
  <si>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</si>
  <si>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</si>
  <si>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</si>
  <si>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</si>
  <si>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</si>
  <si>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</si>
  <si>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</si>
  <si>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</si>
  <si>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</si>
  <si>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</si>
  <si>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</si>
  <si>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</si>
  <si>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</si>
  <si>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</si>
  <si>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</si>
  <si>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</si>
  <si>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</si>
  <si>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</si>
  <si>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</si>
  <si>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</si>
  <si>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</si>
  <si>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</si>
  <si>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</si>
  <si>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</si>
  <si>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</si>
  <si>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</si>
  <si>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</si>
  <si>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</si>
  <si>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</si>
  <si>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</si>
  <si>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</si>
  <si>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</si>
  <si>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</si>
  <si>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</si>
  <si>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</si>
  <si>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</si>
  <si>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</si>
  <si>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</si>
  <si>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</si>
  <si>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</si>
  <si>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</si>
  <si>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</si>
  <si>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</si>
  <si>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</si>
  <si>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</si>
  <si>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</si>
  <si>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</si>
  <si>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</si>
  <si>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</si>
  <si>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</si>
  <si>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</si>
  <si>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</si>
  <si>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</si>
  <si>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</si>
  <si>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</si>
  <si>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</si>
  <si>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</si>
  <si>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</si>
  <si>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</si>
  <si>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</si>
  <si>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</si>
  <si>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</si>
  <si>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</si>
  <si>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</si>
  <si>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</si>
  <si>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</si>
  <si>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</si>
  <si>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</si>
  <si>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</si>
  <si>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</si>
  <si>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</si>
  <si>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</si>
  <si>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</si>
  <si>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</si>
  <si>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</si>
  <si>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</si>
  <si>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</si>
  <si>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</si>
  <si>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</si>
  <si>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</si>
  <si>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</si>
  <si>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</si>
  <si>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</si>
  <si>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</si>
  <si>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</si>
  <si>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</si>
  <si>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</si>
  <si>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</si>
  <si>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</si>
  <si>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</si>
  <si>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</si>
  <si>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</si>
  <si>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</si>
  <si>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</si>
  <si>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</si>
  <si>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</si>
  <si>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</si>
  <si>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</si>
  <si>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</si>
  <si>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</si>
  <si>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</si>
  <si>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</si>
  <si>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</si>
  <si>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</si>
  <si>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</si>
  <si>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</si>
  <si>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</si>
  <si>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</si>
  <si>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</si>
  <si>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</si>
  <si>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</si>
  <si>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</si>
  <si>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</si>
  <si>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</si>
  <si>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</si>
  <si>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</si>
  <si>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</si>
  <si>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</si>
  <si>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</si>
  <si>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</si>
  <si>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</si>
  <si>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</si>
  <si>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</si>
  <si>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</si>
  <si>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</si>
  <si>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</si>
  <si>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</si>
  <si>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</si>
  <si>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</si>
  <si>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</si>
  <si>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</si>
  <si>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</si>
  <si>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</si>
  <si>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</si>
  <si>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</si>
  <si>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</si>
  <si>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</si>
  <si>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</si>
  <si>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</si>
  <si>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</si>
  <si>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</si>
  <si>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</si>
  <si>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</si>
  <si>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</si>
  <si>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</si>
  <si>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</si>
  <si>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</si>
  <si>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</si>
  <si>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</si>
  <si>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</si>
  <si>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</si>
  <si>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</si>
  <si>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</si>
  <si>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</si>
  <si>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</si>
  <si>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</si>
  <si>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</si>
  <si>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</si>
  <si>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CONGELADOS ARTICO SA</t>
  </si>
  <si>
    <t>SAORI SA</t>
  </si>
  <si>
    <t>LUCRINO MARE SA</t>
  </si>
  <si>
    <t>NATUSUR SA</t>
  </si>
  <si>
    <t>ALIMENPES SA</t>
  </si>
  <si>
    <t>Cuenta corriente   valor: VAL01</t>
  </si>
  <si>
    <t>Vencimiento al   valor: 20280408</t>
  </si>
  <si>
    <t>Banco Galicia</t>
  </si>
  <si>
    <t>FRIO POLAR S.A</t>
  </si>
  <si>
    <t>LOGISTICA VIPAMAR S. A</t>
  </si>
  <si>
    <t> ARG SEAMAN ELECTRONICS S.A.</t>
  </si>
  <si>
    <t> BCMDP S.A.S</t>
  </si>
  <si>
    <t>ABB S.A.U.</t>
  </si>
  <si>
    <t>ALBERTO MALITO &amp; COMPAÑIA SRL</t>
  </si>
  <si>
    <t>ALPAHELI S.R.L.</t>
  </si>
  <si>
    <t>ANDRADE RICARDO ALBERTO</t>
  </si>
  <si>
    <t>ANGLADA ALFONSO</t>
  </si>
  <si>
    <t>ARCANGEL SAN MIGUEL S R L</t>
  </si>
  <si>
    <t>ASCENSORES ULTRA S R L</t>
  </si>
  <si>
    <t>ASOCIACION CAMARA DE LA INDUSTRIA PESQUERA ARGENTINA</t>
  </si>
  <si>
    <t>BAGGIARINI ALBERTO MARCELO</t>
  </si>
  <si>
    <t>BALIÑA GERARDO DANIEL</t>
  </si>
  <si>
    <t>BIRCHER DELIA MARISA</t>
  </si>
  <si>
    <t>BLOCK PABLO DANIEL Y BLOCK MIGUEL ANGEL S H</t>
  </si>
  <si>
    <t>BOSCH CESAR MARCELO</t>
  </si>
  <si>
    <t>BUIZ LEONARDO RAUL</t>
  </si>
  <si>
    <t>CAMARA DE ARMADORES DE PESQUEROS CONGELADORES DE LA ARGENTINA CAPECA</t>
  </si>
  <si>
    <t>CAMARA EMPRESARIA DEL TRANSPORTE AUTOMOTOR DE CARGAS DE MAR DEL PLATA</t>
  </si>
  <si>
    <t>CENTRO DE ATENCION TECNICA SOCIEDAD DE RESPONSABILIDAD LIMITADA</t>
  </si>
  <si>
    <t>CILENTO MECANIZADOS Y REPUESTOS</t>
  </si>
  <si>
    <t>CONFISER S.A.</t>
  </si>
  <si>
    <t>CONSEJO DE EMPRESAS PESQUERAS ARGENTINAS</t>
  </si>
  <si>
    <t>COOPERATIVA DE TRABAJO PROVISION DE SERVICIOS DE ESTIBAJE PUERTO MADRYN LTDA</t>
  </si>
  <si>
    <t>CURCI CLAUDIO OMAR</t>
  </si>
  <si>
    <t>DEBONI ALEJANDRO MARTIN</t>
  </si>
  <si>
    <t>DELBIAN SEGURIDAD INDUSTRIAL S.R.L.</t>
  </si>
  <si>
    <t>DI YORIO DIEGO GUILLERMO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</si>
  <si>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</si>
  <si>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</si>
  <si>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</si>
  <si>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</si>
  <si>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</si>
  <si>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FINANCIAL TRADE S.A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</si>
  <si>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</si>
  <si>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</si>
  <si>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</si>
  <si>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</si>
  <si>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</si>
  <si>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</si>
  <si>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</si>
  <si>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</si>
  <si>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GONZALEZ JORGE ANDRES</t>
  </si>
  <si>
    <t>GONZALEZ VICENTE OMAR</t>
  </si>
  <si>
    <t>GRAMAJO PABLO MARTIN</t>
  </si>
  <si>
    <t>GRUPO MELECSUR S.R.L.</t>
  </si>
  <si>
    <t>GUILLERMO SIMONE S A C I F Y A</t>
  </si>
  <si>
    <t>HERNANDEZ CORTES MIGUEL</t>
  </si>
  <si>
    <t>HOLMBACK JORGE EDUARDO</t>
  </si>
  <si>
    <t>INSTALACIONES COMERCIALES TISERA SA</t>
  </si>
  <si>
    <t>KUHN PALACIOS Y PEREZ S.R.L</t>
  </si>
  <si>
    <t>LA NUEVA ASTURIANA S.A.</t>
  </si>
  <si>
    <t>LLADO EDGARDO NORBERTO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</si>
  <si>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</si>
  <si>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</si>
  <si>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</si>
  <si>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</si>
  <si>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MENDOZA GASTON NICOLAS IGNACIO</t>
  </si>
  <si>
    <t>MOENS PABLO ENRIQUE</t>
  </si>
  <si>
    <t>MONTERO S.A.</t>
  </si>
  <si>
    <t>MOVERTEC S.R.L.</t>
  </si>
  <si>
    <t>NAUTIQ SERVICE S.A.</t>
  </si>
  <si>
    <t>NISENBAUM CARLOS DANIEL</t>
  </si>
  <si>
    <t>NSM FOODS &amp; LOG S.R.L</t>
  </si>
  <si>
    <t>ORREGO GUSTAVO JAVIER</t>
  </si>
  <si>
    <t>OSDE ORGANIZACION DE SERVICIOS DIRECTOS EMPRESARIOS</t>
  </si>
  <si>
    <t>OVERRUKA S.R.L.</t>
  </si>
  <si>
    <t>PAMPA Y NOVILLO SA</t>
  </si>
  <si>
    <t>PICCA GUSTAVO ANDRES</t>
  </si>
  <si>
    <t>PIJUAN JUAN IGNACIO</t>
  </si>
  <si>
    <t>PM REFRIGERACION INDUSTRIAL S.A</t>
  </si>
  <si>
    <t>RED HOTELERA IBEROAMERICANA SA</t>
  </si>
  <si>
    <t>RULEMANES PUERTO S A - (CAE)</t>
  </si>
  <si>
    <t>SAMLOG S.R.L.</t>
  </si>
  <si>
    <t>SEA FREEDOM SA</t>
  </si>
  <si>
    <t>SERVICIOS PORTUARIOS INTEGRADOS S.A.</t>
  </si>
  <si>
    <t>SGD SAN GREGORIO DISTRIBUCIONES S.A.</t>
  </si>
  <si>
    <t>STRUVAY NANCY VIVIANA</t>
  </si>
  <si>
    <t>SUCESION DE ARCAMONE ANA</t>
  </si>
  <si>
    <t>TECNOLOGIA INTEGRAL S.A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</si>
  <si>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</si>
  <si>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</si>
  <si>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</si>
  <si>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</si>
  <si>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</si>
  <si>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</si>
  <si>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TUBOS RENARD SA</t>
  </si>
  <si>
    <t>VILLAGRA DAVID ERNESTO</t>
  </si>
  <si>
    <t>VILLAMAGNA HNOS SRL</t>
  </si>
  <si>
    <t>VIVAS MARIA INES</t>
  </si>
  <si>
    <t>WEMAR S R L</t>
  </si>
  <si>
    <t>XYLEM WATER SOLUTIONS ARGENTINA SRL</t>
  </si>
  <si>
    <t>ZAGAS PROFESIONAL SA</t>
  </si>
  <si>
    <t>Banco Santander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</si>
</sst>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3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14032000</v>
          </cell>
          <cell r="CK97">
            <v>12508000</v>
          </cell>
          <cell r="CN97">
            <v>12869000</v>
          </cell>
          <cell r="CO97">
            <v>11683000</v>
          </cell>
          <cell r="CP97">
            <v>11470000</v>
          </cell>
          <cell r="CQ97">
            <v>11650000</v>
          </cell>
          <cell r="CR97">
            <v>11965000</v>
          </cell>
          <cell r="CS97">
            <v>11940000</v>
          </cell>
          <cell r="CT97">
            <v>11282000</v>
          </cell>
          <cell r="CU97">
            <v>13412000</v>
          </cell>
          <cell r="CV97">
            <v>14189000</v>
          </cell>
          <cell r="CW97">
            <v>14600000</v>
          </cell>
          <cell r="CX97">
            <v>14940000</v>
          </cell>
          <cell r="CY97">
            <v>16524000</v>
          </cell>
          <cell r="CZ97">
            <v>16524000</v>
          </cell>
          <cell r="DA97">
            <v>16245000</v>
          </cell>
          <cell r="DB97">
            <v>15249000</v>
          </cell>
          <cell r="DD97">
            <v>16796000</v>
          </cell>
          <cell r="DE97">
            <v>20306000</v>
          </cell>
          <cell r="DF97">
            <v>20828000</v>
          </cell>
          <cell r="DG97">
            <v>19081000</v>
          </cell>
          <cell r="DH97">
            <v>21739000</v>
          </cell>
          <cell r="DI97">
            <v>20627000</v>
          </cell>
          <cell r="DJ97">
            <v>21892000</v>
          </cell>
          <cell r="DK97">
            <v>21906000</v>
          </cell>
          <cell r="DO97">
            <v>28424000</v>
          </cell>
          <cell r="EK97">
            <v>39635286.865000002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30" activePane="bottomLeft" state="frozen"/>
      <selection activeCell="A3" sqref="A3"/>
      <selection pane="bottomLeft" activeCell="A140" sqref="A140:XFD14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1" width="13.7109375" bestFit="1" customWidth="1"/>
    <col min="22" max="22" width="12.7109375" bestFit="1" customWidth="1"/>
    <col min="23" max="23" width="6.5703125" bestFit="1" customWidth="1"/>
    <col min="24" max="25" width="17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7.140625" bestFit="1" customWidth="1"/>
    <col min="33" max="33" width="17.42578125" bestFit="1" customWidth="1"/>
    <col min="34" max="34" width="15.28515625" bestFit="1" customWidth="1"/>
    <col min="35" max="35" width="22" bestFit="1" customWidth="1"/>
    <col min="36" max="36" width="17.42578125" bestFit="1" customWidth="1"/>
    <col min="37" max="37" width="22" customWidth="1"/>
  </cols>
  <sheetData>
    <row r="1" spans="1:37" ht="27.75" hidden="1" customHeight="1" x14ac:dyDescent="0.25">
      <c r="A1" s="71" t="s">
        <v>54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37" ht="21.75" hidden="1" customHeight="1" x14ac:dyDescent="0.25">
      <c r="A2" s="5" t="s">
        <v>55</v>
      </c>
      <c r="B2" s="5" t="s">
        <v>56</v>
      </c>
      <c r="C2" s="77" t="s">
        <v>57</v>
      </c>
      <c r="D2" s="77"/>
      <c r="E2" s="77"/>
      <c r="F2" s="77"/>
      <c r="G2" s="77"/>
      <c r="H2" s="77"/>
      <c r="I2" s="77"/>
      <c r="J2" s="78" t="s">
        <v>58</v>
      </c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9" t="s">
        <v>59</v>
      </c>
      <c r="X2" s="79"/>
      <c r="Y2" s="79"/>
      <c r="Z2" s="79"/>
      <c r="AA2" s="79"/>
      <c r="AB2" s="79"/>
      <c r="AC2" s="79"/>
      <c r="AD2" s="79"/>
      <c r="AE2" s="79"/>
      <c r="AF2" s="1"/>
      <c r="AG2" s="80"/>
      <c r="AH2" s="80"/>
      <c r="AI2" s="80"/>
      <c r="AJ2" s="80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14032000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12508000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12869000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11683000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11470000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11650000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11965000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11940000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11282000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13412000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14189000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14600000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14940000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16524000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16524000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16245000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15249000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16796000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20306000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20828000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19081000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21739000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20627000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21892000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21906000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28424000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>+Z138</f>
        <v>179326122.93125013</v>
      </c>
      <c r="AA139" s="63">
        <f>+'[1]CF Dia V1'!$EK$102</f>
        <v>6084858000</v>
      </c>
      <c r="AB139" s="63">
        <f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39635286.865000002</v>
      </c>
      <c r="AG139" s="63">
        <f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>+Z139</f>
        <v>179326122.93125013</v>
      </c>
      <c r="AA140" s="63">
        <v>7767195087</v>
      </c>
      <c r="AB140" s="63">
        <f>+AB139</f>
        <v>1202455.9875649996</v>
      </c>
      <c r="AC140" s="63">
        <v>15000000</v>
      </c>
      <c r="AD140" s="63">
        <f>+AD139</f>
        <v>245288.76712328769</v>
      </c>
      <c r="AE140" s="63">
        <v>280000</v>
      </c>
      <c r="AF140" s="63">
        <v>37087543.392000005</v>
      </c>
      <c r="AG140" s="63">
        <f>+AG139</f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>+Z140</f>
        <v>179326122.93125013</v>
      </c>
      <c r="AA141" s="63">
        <v>8029413003</v>
      </c>
      <c r="AB141" s="63">
        <f>+AB140</f>
        <v>1202455.9875649996</v>
      </c>
      <c r="AC141" s="63">
        <v>15000000</v>
      </c>
      <c r="AD141" s="63">
        <f>+AD140</f>
        <v>245288.76712328769</v>
      </c>
      <c r="AE141" s="63">
        <v>280000</v>
      </c>
      <c r="AF141" s="63">
        <v>36888391.270000003</v>
      </c>
      <c r="AG141" s="63">
        <f>+AG140</f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>+Z141</f>
        <v>179326122.93125013</v>
      </c>
      <c r="AA142" s="63">
        <v>8081657101</v>
      </c>
      <c r="AB142" s="63">
        <f>+AB141</f>
        <v>1202455.9875649996</v>
      </c>
      <c r="AC142" s="63">
        <v>15000000</v>
      </c>
      <c r="AD142" s="63">
        <f>+AD141</f>
        <v>245288.76712328769</v>
      </c>
      <c r="AE142" s="63">
        <v>280000</v>
      </c>
      <c r="AF142" s="63">
        <v>33210575.07</v>
      </c>
      <c r="AG142" s="63">
        <f>+AG141</f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>+Z142</f>
        <v>179326122.93125013</v>
      </c>
      <c r="AA143" s="63">
        <v>8083336327</v>
      </c>
      <c r="AB143" s="63">
        <f>+AB142</f>
        <v>1202455.9875649996</v>
      </c>
      <c r="AC143" s="63">
        <v>16000000</v>
      </c>
      <c r="AD143" s="63">
        <f>+AD142</f>
        <v>245288.76712328769</v>
      </c>
      <c r="AE143" s="63">
        <v>280000</v>
      </c>
      <c r="AF143" s="63">
        <v>33904450.707000002</v>
      </c>
      <c r="AG143" s="63">
        <f>+AG142</f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1" t="s">
        <v>96</v>
      </c>
      <c r="B1" s="71"/>
      <c r="C1" s="71"/>
      <c r="D1" s="71"/>
      <c r="E1" s="71"/>
      <c r="F1" s="71"/>
      <c r="G1" s="71"/>
      <c r="H1" s="71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-87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-72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-61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-51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1" t="s">
        <v>115</v>
      </c>
      <c r="B1" s="71"/>
      <c r="C1" s="71"/>
      <c r="D1" s="71"/>
      <c r="E1" s="71"/>
      <c r="F1" s="71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1" t="s">
        <v>121</v>
      </c>
      <c r="B1" s="71"/>
      <c r="C1" s="71"/>
      <c r="D1" s="71"/>
      <c r="E1" s="71"/>
      <c r="F1" s="71"/>
      <c r="G1" s="71"/>
    </row>
    <row r="2" spans="1:7" ht="15.75" customHeight="1" x14ac:dyDescent="0.25">
      <c r="A2" s="81" t="s">
        <v>122</v>
      </c>
      <c r="B2" s="81"/>
      <c r="C2" s="81"/>
      <c r="D2" s="81"/>
      <c r="E2" s="81"/>
      <c r="F2" s="81"/>
      <c r="G2" s="81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1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1" t="s">
        <v>138</v>
      </c>
      <c r="B1" s="71"/>
      <c r="C1" s="71"/>
      <c r="D1" s="71"/>
      <c r="E1" s="71"/>
      <c r="F1" s="71"/>
      <c r="G1" s="71"/>
      <c r="H1" s="71"/>
    </row>
    <row r="2" spans="1:8" ht="18" customHeight="1" x14ac:dyDescent="0.25">
      <c r="A2" s="82" t="s">
        <v>139</v>
      </c>
      <c r="B2" s="82"/>
      <c r="C2" s="82"/>
      <c r="D2" s="82"/>
      <c r="E2" s="82"/>
      <c r="F2" s="82"/>
      <c r="G2" s="82"/>
      <c r="H2" s="82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28875161.186443001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10530809.475528121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27105900.798362069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8968222.0441152789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27664955.27164099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9052799.7779657356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26451235.161565747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7834661.36405674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25966327.004453234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7321916.2708365098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26917729.594640806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8792713.4451876953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26930527.571244664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9198165.5196236931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27023588.483757101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9784261.9465620965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25999846.532662638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9030751.3461877294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29489922.151472263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10729120.201663911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29755374.489069767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10705682.809253924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30334561.307746574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11437213.198676307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30857147.326762237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11961157.747683566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31843753.762615062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12962117.727265581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32255188.782361113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13441560.517722119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31715688.720748961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12682597.849351406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30274883.118483379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11244277.205027416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32046722.781904429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13258630.573434617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35055982.576587245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16407560.647195652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35099000.978241064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16325162.409746453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33150268.369986083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14388325.264128428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35222219.698197857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16787498.987017121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34183736.654506847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15619750.932704486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35061336.651058421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16683189.464437377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35291468.190006815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17209130.665981997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40924881.558458403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22471815.536946684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50850901.162315436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20615795.920424961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1"/>
  <sheetViews>
    <sheetView showGridLines="0" zoomScale="80" zoomScaleNormal="80" workbookViewId="0">
      <pane ySplit="3" topLeftCell="A4" activePane="bottomLeft" state="frozen"/>
      <selection pane="bottomLeft" activeCell="Q27" sqref="Q27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1" t="s">
        <v>147</v>
      </c>
      <c r="B1" s="71"/>
      <c r="C1" s="71"/>
      <c r="D1" s="71"/>
      <c r="E1" s="71"/>
      <c r="F1" s="71"/>
      <c r="G1" s="71"/>
    </row>
    <row r="2" spans="1:7" ht="15.75" customHeight="1" x14ac:dyDescent="0.25">
      <c r="A2" s="72" t="s">
        <v>148</v>
      </c>
      <c r="B2" s="72"/>
      <c r="C2" s="72"/>
      <c r="D2" s="72"/>
      <c r="E2" s="72"/>
      <c r="F2" s="72"/>
      <c r="G2" s="72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928</v>
      </c>
      <c r="B4">
        <v>24262</v>
      </c>
      <c r="C4" s="66">
        <v>3600000</v>
      </c>
      <c r="D4" s="13">
        <v>46169</v>
      </c>
      <c r="E4" s="65">
        <v>46231</v>
      </c>
      <c r="F4" s="40">
        <f t="shared" ref="F4:F29" si="0">+E4+2</f>
        <v>46233</v>
      </c>
      <c r="G4" s="27"/>
    </row>
    <row r="5" spans="1:7" ht="15.75" customHeight="1" x14ac:dyDescent="0.25">
      <c r="A5" t="s">
        <v>928</v>
      </c>
      <c r="B5">
        <v>24263</v>
      </c>
      <c r="C5" s="66">
        <v>3600000</v>
      </c>
      <c r="D5" s="13">
        <v>46170</v>
      </c>
      <c r="E5" s="65">
        <v>46232</v>
      </c>
      <c r="F5" s="40">
        <f t="shared" si="0"/>
        <v>46234</v>
      </c>
      <c r="G5" s="27"/>
    </row>
    <row r="6" spans="1:7" ht="15.75" customHeight="1" x14ac:dyDescent="0.25">
      <c r="A6" t="s">
        <v>929</v>
      </c>
      <c r="B6">
        <v>24265</v>
      </c>
      <c r="C6" s="66">
        <v>80128615</v>
      </c>
      <c r="D6" s="13">
        <v>46171</v>
      </c>
      <c r="E6" s="65">
        <v>46232</v>
      </c>
      <c r="F6" s="40">
        <f t="shared" si="0"/>
        <v>46234</v>
      </c>
      <c r="G6" s="27"/>
    </row>
    <row r="7" spans="1:7" ht="15.75" customHeight="1" x14ac:dyDescent="0.25">
      <c r="A7" t="s">
        <v>931</v>
      </c>
      <c r="B7">
        <v>24259</v>
      </c>
      <c r="C7" s="66">
        <v>2413732.2000000002</v>
      </c>
      <c r="D7" s="13">
        <v>46172</v>
      </c>
      <c r="E7" s="65">
        <v>46233</v>
      </c>
      <c r="F7" s="40">
        <f t="shared" si="0"/>
        <v>46235</v>
      </c>
      <c r="G7" s="27"/>
    </row>
    <row r="8" spans="1:7" ht="15.75" customHeight="1" x14ac:dyDescent="0.25">
      <c r="A8" t="s">
        <v>928</v>
      </c>
      <c r="B8">
        <v>24264</v>
      </c>
      <c r="C8" s="66">
        <v>3670200</v>
      </c>
      <c r="D8" s="13">
        <v>46173</v>
      </c>
      <c r="E8" s="65">
        <v>46233</v>
      </c>
      <c r="F8" s="40">
        <f t="shared" si="0"/>
        <v>46235</v>
      </c>
      <c r="G8" s="27"/>
    </row>
    <row r="9" spans="1:7" ht="15.75" customHeight="1" x14ac:dyDescent="0.25">
      <c r="A9" t="s">
        <v>935</v>
      </c>
      <c r="B9">
        <v>24247</v>
      </c>
      <c r="C9" s="66">
        <v>59801521.020000003</v>
      </c>
      <c r="D9" s="13">
        <v>46174</v>
      </c>
      <c r="E9" s="65">
        <v>46237</v>
      </c>
      <c r="F9" s="40">
        <f t="shared" si="0"/>
        <v>46239</v>
      </c>
      <c r="G9" s="27"/>
    </row>
    <row r="10" spans="1:7" ht="15.75" customHeight="1" x14ac:dyDescent="0.25">
      <c r="A10" t="s">
        <v>929</v>
      </c>
      <c r="B10">
        <v>24107</v>
      </c>
      <c r="C10" s="66">
        <v>10000000</v>
      </c>
      <c r="D10" s="13">
        <v>46175</v>
      </c>
      <c r="E10" s="65">
        <v>46238</v>
      </c>
      <c r="F10" s="40">
        <f t="shared" si="0"/>
        <v>46240</v>
      </c>
      <c r="G10" s="27"/>
    </row>
    <row r="11" spans="1:7" ht="15.75" customHeight="1" x14ac:dyDescent="0.25">
      <c r="A11" t="s">
        <v>929</v>
      </c>
      <c r="B11">
        <v>24110</v>
      </c>
      <c r="C11" s="66">
        <v>10000000</v>
      </c>
      <c r="D11" s="13">
        <v>46176</v>
      </c>
      <c r="E11" s="65">
        <v>46238</v>
      </c>
      <c r="F11" s="40">
        <f t="shared" si="0"/>
        <v>46240</v>
      </c>
      <c r="G11" s="27"/>
    </row>
    <row r="12" spans="1:7" ht="15.75" customHeight="1" x14ac:dyDescent="0.25">
      <c r="A12" t="s">
        <v>929</v>
      </c>
      <c r="B12">
        <v>24109</v>
      </c>
      <c r="C12" s="66">
        <v>10000000</v>
      </c>
      <c r="D12" s="13">
        <v>46177</v>
      </c>
      <c r="E12" s="65">
        <v>46239</v>
      </c>
      <c r="F12" s="40">
        <f t="shared" si="0"/>
        <v>46241</v>
      </c>
      <c r="G12" s="27"/>
    </row>
    <row r="13" spans="1:7" ht="15.75" customHeight="1" x14ac:dyDescent="0.25">
      <c r="A13" t="s">
        <v>929</v>
      </c>
      <c r="B13">
        <v>24111</v>
      </c>
      <c r="C13" s="66">
        <v>10000000</v>
      </c>
      <c r="D13" s="13">
        <v>46178</v>
      </c>
      <c r="E13" s="65">
        <v>46239</v>
      </c>
      <c r="F13" s="40">
        <f t="shared" si="0"/>
        <v>46241</v>
      </c>
      <c r="G13" s="27"/>
    </row>
    <row r="14" spans="1:7" ht="15.75" customHeight="1" x14ac:dyDescent="0.25">
      <c r="A14" t="s">
        <v>929</v>
      </c>
      <c r="B14">
        <v>24108</v>
      </c>
      <c r="C14" s="66">
        <v>10000000</v>
      </c>
      <c r="D14" s="13">
        <v>46179</v>
      </c>
      <c r="E14" s="65">
        <v>46240</v>
      </c>
      <c r="F14" s="40">
        <f t="shared" si="0"/>
        <v>46242</v>
      </c>
      <c r="G14" s="27"/>
    </row>
    <row r="15" spans="1:7" ht="15.75" customHeight="1" x14ac:dyDescent="0.25">
      <c r="A15" t="s">
        <v>929</v>
      </c>
      <c r="B15">
        <v>24113</v>
      </c>
      <c r="C15" s="66">
        <v>11758720</v>
      </c>
      <c r="D15" s="13">
        <v>46180</v>
      </c>
      <c r="E15" s="65">
        <v>46240</v>
      </c>
      <c r="F15" s="40">
        <f t="shared" si="0"/>
        <v>46242</v>
      </c>
      <c r="G15" s="27"/>
    </row>
    <row r="16" spans="1:7" ht="15.75" customHeight="1" x14ac:dyDescent="0.25">
      <c r="A16" t="s">
        <v>927</v>
      </c>
      <c r="B16">
        <v>24266</v>
      </c>
      <c r="C16" s="66">
        <v>7000000</v>
      </c>
      <c r="D16" s="13">
        <v>46181</v>
      </c>
      <c r="E16" s="65">
        <v>46241</v>
      </c>
      <c r="F16" s="40">
        <f t="shared" si="0"/>
        <v>46243</v>
      </c>
      <c r="G16" s="27"/>
    </row>
    <row r="17" spans="1:12" ht="15.75" customHeight="1" x14ac:dyDescent="0.25">
      <c r="A17" t="s">
        <v>927</v>
      </c>
      <c r="B17">
        <v>24268</v>
      </c>
      <c r="C17" s="66">
        <v>7000000</v>
      </c>
      <c r="D17" s="13">
        <v>46182</v>
      </c>
      <c r="E17" s="65">
        <v>46241</v>
      </c>
      <c r="F17" s="40">
        <f t="shared" si="0"/>
        <v>46243</v>
      </c>
      <c r="G17" s="27"/>
    </row>
    <row r="18" spans="1:12" ht="15.75" customHeight="1" x14ac:dyDescent="0.25">
      <c r="A18" t="s">
        <v>931</v>
      </c>
      <c r="B18">
        <v>24257</v>
      </c>
      <c r="C18" s="66">
        <v>1881324.8</v>
      </c>
      <c r="D18" s="13">
        <v>46183</v>
      </c>
      <c r="E18" s="65">
        <v>46244</v>
      </c>
      <c r="F18" s="40">
        <f t="shared" si="0"/>
        <v>46246</v>
      </c>
      <c r="G18" s="27"/>
    </row>
    <row r="19" spans="1:12" ht="15.75" customHeight="1" x14ac:dyDescent="0.25">
      <c r="A19" t="s">
        <v>930</v>
      </c>
      <c r="B19">
        <v>24249</v>
      </c>
      <c r="C19" s="66">
        <v>48000000</v>
      </c>
      <c r="D19" s="13">
        <v>46184</v>
      </c>
      <c r="E19" s="65">
        <v>46247</v>
      </c>
      <c r="F19" s="40">
        <f t="shared" si="0"/>
        <v>46249</v>
      </c>
      <c r="G19" s="27"/>
    </row>
    <row r="20" spans="1:12" ht="15.75" customHeight="1" x14ac:dyDescent="0.25">
      <c r="A20" t="s">
        <v>930</v>
      </c>
      <c r="B20">
        <v>24250</v>
      </c>
      <c r="C20" s="66">
        <v>49000000</v>
      </c>
      <c r="D20" s="13">
        <v>46185</v>
      </c>
      <c r="E20" s="65">
        <v>46248</v>
      </c>
      <c r="F20" s="40">
        <f t="shared" si="0"/>
        <v>46250</v>
      </c>
      <c r="G20" s="27"/>
    </row>
    <row r="21" spans="1:12" ht="15.75" customHeight="1" x14ac:dyDescent="0.25">
      <c r="A21" t="s">
        <v>930</v>
      </c>
      <c r="B21">
        <v>24251</v>
      </c>
      <c r="C21" s="66">
        <v>50000000</v>
      </c>
      <c r="D21" s="13">
        <v>46186</v>
      </c>
      <c r="E21" s="65">
        <v>46252</v>
      </c>
      <c r="F21" s="40">
        <f t="shared" si="0"/>
        <v>46254</v>
      </c>
      <c r="G21" s="27"/>
    </row>
    <row r="22" spans="1:12" ht="15.75" customHeight="1" x14ac:dyDescent="0.25">
      <c r="A22" t="s">
        <v>930</v>
      </c>
      <c r="B22">
        <v>24252</v>
      </c>
      <c r="C22" s="66">
        <v>50224240.310000002</v>
      </c>
      <c r="D22" s="13">
        <v>46187</v>
      </c>
      <c r="E22" s="65">
        <v>46253</v>
      </c>
      <c r="F22" s="40">
        <f t="shared" si="0"/>
        <v>46255</v>
      </c>
      <c r="G22" s="27"/>
    </row>
    <row r="23" spans="1:12" ht="15.75" customHeight="1" x14ac:dyDescent="0.25">
      <c r="A23" t="s">
        <v>931</v>
      </c>
      <c r="B23">
        <v>24261</v>
      </c>
      <c r="C23" s="66">
        <v>5569888.5999999996</v>
      </c>
      <c r="D23" s="13">
        <v>46188</v>
      </c>
      <c r="E23" s="65">
        <v>46255</v>
      </c>
      <c r="F23" s="40">
        <f t="shared" si="0"/>
        <v>46257</v>
      </c>
      <c r="G23" s="27"/>
    </row>
    <row r="24" spans="1:12" ht="15.75" customHeight="1" x14ac:dyDescent="0.25">
      <c r="A24" t="s">
        <v>927</v>
      </c>
      <c r="B24">
        <v>24267</v>
      </c>
      <c r="C24" s="66">
        <v>7000000</v>
      </c>
      <c r="D24" s="13">
        <v>46189</v>
      </c>
      <c r="E24" s="65">
        <v>46255</v>
      </c>
      <c r="F24" s="40">
        <f t="shared" si="0"/>
        <v>46257</v>
      </c>
      <c r="G24" s="27"/>
    </row>
    <row r="25" spans="1:12" ht="15.75" customHeight="1" x14ac:dyDescent="0.25">
      <c r="A25" t="s">
        <v>927</v>
      </c>
      <c r="B25">
        <v>24269</v>
      </c>
      <c r="C25" s="66">
        <v>3591243.16</v>
      </c>
      <c r="D25" s="13">
        <v>46190</v>
      </c>
      <c r="E25" s="65">
        <v>46255</v>
      </c>
      <c r="F25" s="40">
        <f t="shared" si="0"/>
        <v>46257</v>
      </c>
      <c r="G25" s="27"/>
    </row>
    <row r="26" spans="1:12" ht="15.75" customHeight="1" x14ac:dyDescent="0.25">
      <c r="A26" t="s">
        <v>927</v>
      </c>
      <c r="B26">
        <v>24270</v>
      </c>
      <c r="C26" s="66">
        <v>7000000</v>
      </c>
      <c r="D26" s="13">
        <v>46191</v>
      </c>
      <c r="E26" s="65">
        <v>46255</v>
      </c>
      <c r="F26" s="40">
        <f t="shared" si="0"/>
        <v>46257</v>
      </c>
      <c r="G26" s="27"/>
    </row>
    <row r="27" spans="1:12" ht="15.75" customHeight="1" x14ac:dyDescent="0.25">
      <c r="A27" t="s">
        <v>931</v>
      </c>
      <c r="B27">
        <v>24258</v>
      </c>
      <c r="C27" s="66">
        <v>3352241.9</v>
      </c>
      <c r="D27" s="13">
        <v>46192</v>
      </c>
      <c r="E27" s="65">
        <v>46259</v>
      </c>
      <c r="F27" s="40">
        <f t="shared" si="0"/>
        <v>46261</v>
      </c>
      <c r="G27" s="27"/>
    </row>
    <row r="28" spans="1:12" ht="15.75" customHeight="1" x14ac:dyDescent="0.25">
      <c r="A28" t="s">
        <v>936</v>
      </c>
      <c r="B28">
        <v>24124</v>
      </c>
      <c r="C28" s="66">
        <v>7500000</v>
      </c>
      <c r="D28" s="13">
        <v>46193</v>
      </c>
      <c r="E28" s="65">
        <v>46286</v>
      </c>
      <c r="F28" s="40">
        <f t="shared" si="0"/>
        <v>46288</v>
      </c>
      <c r="G28" s="27"/>
    </row>
    <row r="29" spans="1:12" ht="15.75" customHeight="1" x14ac:dyDescent="0.25">
      <c r="A29" t="s">
        <v>936</v>
      </c>
      <c r="B29">
        <v>24125</v>
      </c>
      <c r="C29" s="66">
        <v>7500000</v>
      </c>
      <c r="D29" s="13">
        <v>46194</v>
      </c>
      <c r="E29" s="65">
        <v>46286</v>
      </c>
      <c r="F29" s="40">
        <f t="shared" si="0"/>
        <v>46288</v>
      </c>
      <c r="G29" s="27"/>
    </row>
    <row r="30" spans="1:12" ht="15.75" customHeight="1" x14ac:dyDescent="0.25">
      <c r="C30" s="67"/>
      <c r="D30" s="13"/>
      <c r="E30" s="64"/>
      <c r="F30" s="40"/>
      <c r="G30" s="27"/>
      <c r="L30" s="65"/>
    </row>
    <row r="31" spans="1:12" ht="18" customHeight="1" x14ac:dyDescent="0.25">
      <c r="A31" s="41" t="s">
        <v>155</v>
      </c>
      <c r="B31" s="42"/>
      <c r="C31" s="43">
        <f>SUM(C4:C30)</f>
        <v>469591726.99000001</v>
      </c>
      <c r="D31" s="42"/>
      <c r="E31" s="42"/>
      <c r="F31" s="42"/>
      <c r="G31" s="42"/>
    </row>
    <row r="32" spans="1:12" ht="15.75" customHeight="1" x14ac:dyDescent="0.25">
      <c r="A32" s="44"/>
      <c r="B32" s="44"/>
      <c r="C32" s="45"/>
      <c r="D32" s="46"/>
      <c r="E32" s="46"/>
      <c r="F32" s="47" t="str">
        <f>IF(E32="","",E32+2)</f>
        <v/>
      </c>
      <c r="G32" s="44"/>
    </row>
    <row r="33" spans="1:7" ht="15.75" customHeight="1" x14ac:dyDescent="0.25">
      <c r="A33" s="44"/>
      <c r="B33" s="44"/>
      <c r="C33" s="45"/>
      <c r="D33" s="46"/>
      <c r="E33" s="46"/>
      <c r="F33" s="47" t="str">
        <f>IF(E33="","",E33+2)</f>
        <v/>
      </c>
      <c r="G33" s="44"/>
    </row>
    <row r="34" spans="1:7" ht="15.75" customHeight="1" x14ac:dyDescent="0.25">
      <c r="A34" s="44"/>
      <c r="B34" s="44"/>
      <c r="C34" s="45"/>
      <c r="D34" s="46"/>
      <c r="E34" s="46"/>
      <c r="F34" s="47" t="str">
        <f>IF(E34="","",E34+2)</f>
        <v/>
      </c>
      <c r="G34" s="44"/>
    </row>
    <row r="35" spans="1:7" ht="15.75" customHeight="1" x14ac:dyDescent="0.25">
      <c r="A35" s="44"/>
      <c r="B35" s="44"/>
      <c r="C35" s="45"/>
      <c r="D35" s="46"/>
      <c r="E35" s="46"/>
      <c r="F35" s="47" t="str">
        <f>IF(E35="","",E35+2)</f>
        <v/>
      </c>
      <c r="G35" s="44"/>
    </row>
    <row r="36" spans="1:7" ht="15.75" customHeight="1" x14ac:dyDescent="0.25">
      <c r="A36" s="44"/>
      <c r="B36" s="44"/>
      <c r="C36" s="45"/>
      <c r="D36" s="46"/>
      <c r="E36" s="46"/>
      <c r="F36" s="47" t="str">
        <f>IF(E36="","",E36+2)</f>
        <v/>
      </c>
      <c r="G36" s="44"/>
    </row>
    <row r="38" spans="1:7" ht="15" customHeight="1" x14ac:dyDescent="0.25">
      <c r="A38" s="73" t="s">
        <v>156</v>
      </c>
      <c r="B38" s="73"/>
      <c r="C38" s="73"/>
      <c r="D38" s="73"/>
      <c r="E38" s="73"/>
      <c r="F38" s="73"/>
      <c r="G38" s="73"/>
    </row>
    <row r="49" spans="3:3" x14ac:dyDescent="0.25">
      <c r="C49" s="65"/>
    </row>
    <row r="50" spans="3:3" x14ac:dyDescent="0.25">
      <c r="C50" s="65"/>
    </row>
    <row r="51" spans="3:3" x14ac:dyDescent="0.25">
      <c r="C51" s="65"/>
    </row>
    <row r="52" spans="3:3" x14ac:dyDescent="0.25">
      <c r="C52" s="65"/>
    </row>
    <row r="53" spans="3:3" x14ac:dyDescent="0.25">
      <c r="C53" s="65"/>
    </row>
    <row r="54" spans="3:3" x14ac:dyDescent="0.25">
      <c r="C54" s="65"/>
    </row>
    <row r="55" spans="3:3" x14ac:dyDescent="0.25">
      <c r="C55" s="65"/>
    </row>
    <row r="56" spans="3:3" x14ac:dyDescent="0.25">
      <c r="C56" s="65"/>
    </row>
    <row r="57" spans="3:3" x14ac:dyDescent="0.25">
      <c r="C57" s="65"/>
    </row>
    <row r="58" spans="3:3" x14ac:dyDescent="0.25">
      <c r="C58" s="65"/>
    </row>
    <row r="59" spans="3:3" x14ac:dyDescent="0.25">
      <c r="C59" s="65"/>
    </row>
    <row r="60" spans="3:3" x14ac:dyDescent="0.25">
      <c r="C60" s="65"/>
    </row>
    <row r="61" spans="3:3" x14ac:dyDescent="0.25">
      <c r="C61" s="65"/>
    </row>
    <row r="62" spans="3:3" x14ac:dyDescent="0.25">
      <c r="C62" s="65"/>
    </row>
    <row r="63" spans="3:3" x14ac:dyDescent="0.25">
      <c r="C63" s="65"/>
    </row>
    <row r="64" spans="3:3" x14ac:dyDescent="0.25">
      <c r="C64" s="65"/>
    </row>
    <row r="65" spans="3:3" x14ac:dyDescent="0.25">
      <c r="C65" s="65"/>
    </row>
    <row r="66" spans="3:3" x14ac:dyDescent="0.25">
      <c r="C66" s="65"/>
    </row>
    <row r="67" spans="3:3" x14ac:dyDescent="0.25">
      <c r="C67" s="65"/>
    </row>
    <row r="68" spans="3:3" x14ac:dyDescent="0.25">
      <c r="C68" s="65"/>
    </row>
    <row r="69" spans="3:3" x14ac:dyDescent="0.25">
      <c r="C69" s="65"/>
    </row>
    <row r="70" spans="3:3" x14ac:dyDescent="0.25">
      <c r="C70" s="65"/>
    </row>
    <row r="71" spans="3:3" x14ac:dyDescent="0.25">
      <c r="C71" s="65"/>
    </row>
    <row r="72" spans="3:3" x14ac:dyDescent="0.25">
      <c r="C72" s="65"/>
    </row>
    <row r="73" spans="3:3" x14ac:dyDescent="0.25">
      <c r="C73" s="65"/>
    </row>
    <row r="74" spans="3:3" x14ac:dyDescent="0.25">
      <c r="C74" s="65"/>
    </row>
    <row r="75" spans="3:3" x14ac:dyDescent="0.25">
      <c r="C75" s="65"/>
    </row>
    <row r="76" spans="3:3" x14ac:dyDescent="0.25">
      <c r="C76" s="65"/>
    </row>
    <row r="77" spans="3:3" x14ac:dyDescent="0.25">
      <c r="C77" s="65"/>
    </row>
    <row r="78" spans="3:3" x14ac:dyDescent="0.25">
      <c r="C78" s="65"/>
    </row>
    <row r="79" spans="3:3" x14ac:dyDescent="0.25">
      <c r="C79" s="65"/>
    </row>
    <row r="80" spans="3:3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1:3" x14ac:dyDescent="0.25">
      <c r="C497" s="65"/>
    </row>
    <row r="500" spans="1:3" x14ac:dyDescent="0.25">
      <c r="A500" t="s">
        <v>932</v>
      </c>
    </row>
    <row r="501" spans="1:3" x14ac:dyDescent="0.25">
      <c r="A501" t="s">
        <v>933</v>
      </c>
    </row>
  </sheetData>
  <mergeCells count="3">
    <mergeCell ref="A1:G1"/>
    <mergeCell ref="A2:G2"/>
    <mergeCell ref="A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4"/>
  <sheetViews>
    <sheetView showGridLines="0" zoomScaleNormal="100" workbookViewId="0">
      <pane ySplit="4" topLeftCell="A25" activePane="bottomLeft" state="frozen"/>
      <selection pane="bottomLeft" activeCell="A311" sqref="A311:XFD31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1" t="s">
        <v>157</v>
      </c>
      <c r="B1" s="71"/>
      <c r="C1" s="71"/>
      <c r="D1" s="71"/>
      <c r="E1" s="71"/>
      <c r="F1" s="71"/>
    </row>
    <row r="2" spans="1:6" ht="15.75" customHeight="1" x14ac:dyDescent="0.25">
      <c r="A2" s="72" t="s">
        <v>158</v>
      </c>
      <c r="B2" s="72"/>
      <c r="C2" s="72"/>
      <c r="D2" s="72"/>
      <c r="E2" s="72"/>
      <c r="F2" s="72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1490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937</v>
      </c>
      <c r="B5" t="str">
        <f>+Hoja1!A2</f>
        <v>09021</v>
      </c>
      <c r="C5" s="66">
        <v>515512.3</v>
      </c>
      <c r="D5" s="24">
        <f>+C5/$D$3</f>
        <v>345.98140939597317</v>
      </c>
      <c r="E5" s="50">
        <f t="shared" ref="E5:E68" si="0">+D5/$D$302</f>
        <v>9.3566781907537285E-5</v>
      </c>
      <c r="F5" s="51"/>
    </row>
    <row r="6" spans="1:6" ht="15.75" customHeight="1" x14ac:dyDescent="0.25">
      <c r="A6" t="s">
        <v>938</v>
      </c>
      <c r="B6" t="str">
        <f>+Hoja1!A3</f>
        <v>09007</v>
      </c>
      <c r="C6" s="66">
        <v>1367700.18</v>
      </c>
      <c r="D6" s="24">
        <f t="shared" ref="D6:D69" si="1">+C6/$D$3</f>
        <v>917.91958389261742</v>
      </c>
      <c r="E6" s="50">
        <f t="shared" si="0"/>
        <v>2.4824103024692032E-4</v>
      </c>
      <c r="F6" s="51"/>
    </row>
    <row r="7" spans="1:6" ht="15.75" customHeight="1" x14ac:dyDescent="0.25">
      <c r="A7" t="s">
        <v>183</v>
      </c>
      <c r="B7" t="str">
        <f>+Hoja1!A4</f>
        <v>08250</v>
      </c>
      <c r="C7" s="66">
        <v>0.01</v>
      </c>
      <c r="D7" s="24">
        <f t="shared" si="1"/>
        <v>6.7114093959731546E-6</v>
      </c>
      <c r="E7" s="50">
        <f t="shared" si="0"/>
        <v>1.8150252071102336E-12</v>
      </c>
      <c r="F7" s="51"/>
    </row>
    <row r="8" spans="1:6" ht="15.75" customHeight="1" x14ac:dyDescent="0.25">
      <c r="A8" t="s">
        <v>185</v>
      </c>
      <c r="B8" t="str">
        <f>+Hoja1!A5</f>
        <v>05594</v>
      </c>
      <c r="C8" s="66">
        <v>1.08</v>
      </c>
      <c r="D8" s="24">
        <f t="shared" si="1"/>
        <v>7.2483221476510068E-4</v>
      </c>
      <c r="E8" s="50">
        <f t="shared" si="0"/>
        <v>1.9602272236790522E-10</v>
      </c>
      <c r="F8" s="51"/>
    </row>
    <row r="9" spans="1:6" ht="15.75" customHeight="1" x14ac:dyDescent="0.25">
      <c r="A9" t="s">
        <v>187</v>
      </c>
      <c r="B9" t="str">
        <f>+Hoja1!A6</f>
        <v>07467</v>
      </c>
      <c r="C9" s="66">
        <v>3525516.5</v>
      </c>
      <c r="D9" s="24">
        <f t="shared" si="1"/>
        <v>2366.1184563758388</v>
      </c>
      <c r="E9" s="50">
        <f t="shared" si="0"/>
        <v>6.3989013155830445E-4</v>
      </c>
      <c r="F9" s="51"/>
    </row>
    <row r="10" spans="1:6" ht="15.75" customHeight="1" x14ac:dyDescent="0.25">
      <c r="A10" t="s">
        <v>189</v>
      </c>
      <c r="B10" t="str">
        <f>+Hoja1!A7</f>
        <v>00128</v>
      </c>
      <c r="C10" s="66">
        <v>87000</v>
      </c>
      <c r="D10" s="24">
        <f t="shared" si="1"/>
        <v>58.38926174496644</v>
      </c>
      <c r="E10" s="50">
        <f t="shared" si="0"/>
        <v>1.5790719301859029E-5</v>
      </c>
      <c r="F10" s="51"/>
    </row>
    <row r="11" spans="1:6" ht="15.75" customHeight="1" x14ac:dyDescent="0.25">
      <c r="A11" t="s">
        <v>939</v>
      </c>
      <c r="B11" t="str">
        <f>+Hoja1!A8</f>
        <v>07598</v>
      </c>
      <c r="C11" s="66">
        <v>51505594.18</v>
      </c>
      <c r="D11" s="24">
        <f t="shared" si="1"/>
        <v>34567.512872483225</v>
      </c>
      <c r="E11" s="50">
        <f t="shared" si="0"/>
        <v>9.3483951743890143E-3</v>
      </c>
      <c r="F11" s="51"/>
    </row>
    <row r="12" spans="1:6" ht="15.75" customHeight="1" x14ac:dyDescent="0.25">
      <c r="A12" t="s">
        <v>191</v>
      </c>
      <c r="B12" t="str">
        <f>+Hoja1!A9</f>
        <v>06732</v>
      </c>
      <c r="C12" s="66">
        <v>6225035.0700000003</v>
      </c>
      <c r="D12" s="24">
        <f t="shared" si="1"/>
        <v>4177.8758859060408</v>
      </c>
      <c r="E12" s="50">
        <f t="shared" si="0"/>
        <v>1.1298595567195218E-3</v>
      </c>
      <c r="F12" s="51"/>
    </row>
    <row r="13" spans="1:6" ht="15.75" customHeight="1" x14ac:dyDescent="0.25">
      <c r="A13" t="s">
        <v>713</v>
      </c>
      <c r="B13" t="str">
        <f>+Hoja1!A10</f>
        <v>08892</v>
      </c>
      <c r="C13" s="66">
        <v>1451854.8</v>
      </c>
      <c r="D13" s="24">
        <f t="shared" si="1"/>
        <v>974.39919463087256</v>
      </c>
      <c r="E13" s="50">
        <f t="shared" si="0"/>
        <v>2.6351530590639866E-4</v>
      </c>
      <c r="F13" s="51"/>
    </row>
    <row r="14" spans="1:6" ht="15.75" customHeight="1" x14ac:dyDescent="0.25">
      <c r="A14" t="s">
        <v>486</v>
      </c>
      <c r="B14" t="str">
        <f>+Hoja1!A11</f>
        <v>03315</v>
      </c>
      <c r="C14" s="66">
        <v>3403619.89</v>
      </c>
      <c r="D14" s="24">
        <f t="shared" si="1"/>
        <v>2284.3086510067114</v>
      </c>
      <c r="E14" s="50">
        <f t="shared" si="0"/>
        <v>6.1776558957717597E-4</v>
      </c>
      <c r="F14" s="51"/>
    </row>
    <row r="15" spans="1:6" ht="15.75" customHeight="1" x14ac:dyDescent="0.25">
      <c r="A15" t="s">
        <v>940</v>
      </c>
      <c r="B15" t="str">
        <f>+Hoja1!A12</f>
        <v>00504</v>
      </c>
      <c r="C15" s="66">
        <v>7523247.5999999996</v>
      </c>
      <c r="D15" s="24">
        <f t="shared" si="1"/>
        <v>5049.1594630872478</v>
      </c>
      <c r="E15" s="50">
        <f t="shared" si="0"/>
        <v>1.3654884033331566E-3</v>
      </c>
      <c r="F15" s="51"/>
    </row>
    <row r="16" spans="1:6" ht="15.75" customHeight="1" x14ac:dyDescent="0.25">
      <c r="A16" t="s">
        <v>941</v>
      </c>
      <c r="B16" t="str">
        <f>+Hoja1!A13</f>
        <v>05568</v>
      </c>
      <c r="C16" s="66">
        <v>1717000</v>
      </c>
      <c r="D16" s="24">
        <f t="shared" si="1"/>
        <v>1152.3489932885907</v>
      </c>
      <c r="E16" s="50">
        <f t="shared" si="0"/>
        <v>3.116398280608271E-4</v>
      </c>
      <c r="F16" s="51"/>
    </row>
    <row r="17" spans="1:6" ht="15.75" customHeight="1" x14ac:dyDescent="0.25">
      <c r="A17" t="s">
        <v>193</v>
      </c>
      <c r="B17" t="str">
        <f>+Hoja1!A14</f>
        <v>09524</v>
      </c>
      <c r="C17" s="66">
        <v>587238.80000000005</v>
      </c>
      <c r="D17" s="24">
        <f t="shared" si="1"/>
        <v>394.12</v>
      </c>
      <c r="E17" s="50">
        <f t="shared" si="0"/>
        <v>1.0658532245931649E-4</v>
      </c>
      <c r="F17" s="51"/>
    </row>
    <row r="18" spans="1:6" ht="15.75" customHeight="1" x14ac:dyDescent="0.25">
      <c r="A18" t="s">
        <v>721</v>
      </c>
      <c r="B18" t="str">
        <f>+Hoja1!A15</f>
        <v>06176</v>
      </c>
      <c r="C18" s="66">
        <v>470226.71</v>
      </c>
      <c r="D18" s="24">
        <f t="shared" si="1"/>
        <v>315.58839597315438</v>
      </c>
      <c r="E18" s="50">
        <f t="shared" si="0"/>
        <v>8.5347333170651368E-5</v>
      </c>
      <c r="F18" s="51"/>
    </row>
    <row r="19" spans="1:6" ht="15.75" customHeight="1" x14ac:dyDescent="0.25">
      <c r="A19" t="s">
        <v>195</v>
      </c>
      <c r="B19" t="str">
        <f>+Hoja1!A16</f>
        <v>07867</v>
      </c>
      <c r="C19" s="66">
        <v>262297.14</v>
      </c>
      <c r="D19" s="24">
        <f t="shared" si="1"/>
        <v>176.03834899328859</v>
      </c>
      <c r="E19" s="50">
        <f t="shared" si="0"/>
        <v>4.7607592085292192E-5</v>
      </c>
      <c r="F19" s="51"/>
    </row>
    <row r="20" spans="1:6" ht="15.75" customHeight="1" x14ac:dyDescent="0.25">
      <c r="A20" t="s">
        <v>942</v>
      </c>
      <c r="B20" t="str">
        <f>+Hoja1!A17</f>
        <v>06699</v>
      </c>
      <c r="C20" s="66">
        <v>3385000</v>
      </c>
      <c r="D20" s="24">
        <f t="shared" si="1"/>
        <v>2271.8120805369126</v>
      </c>
      <c r="E20" s="50">
        <f t="shared" si="0"/>
        <v>6.1438603260681392E-4</v>
      </c>
      <c r="F20" s="51"/>
    </row>
    <row r="21" spans="1:6" ht="15.75" customHeight="1" x14ac:dyDescent="0.25">
      <c r="A21" t="s">
        <v>943</v>
      </c>
      <c r="B21" t="str">
        <f>+Hoja1!A18</f>
        <v>00240</v>
      </c>
      <c r="C21" s="66">
        <v>4000000</v>
      </c>
      <c r="D21" s="24">
        <f t="shared" si="1"/>
        <v>2684.5637583892617</v>
      </c>
      <c r="E21" s="50">
        <f t="shared" si="0"/>
        <v>7.2601008284409337E-4</v>
      </c>
      <c r="F21" s="51"/>
    </row>
    <row r="22" spans="1:6" ht="15.75" customHeight="1" x14ac:dyDescent="0.25">
      <c r="A22" t="s">
        <v>944</v>
      </c>
      <c r="B22" t="str">
        <f>+Hoja1!A19</f>
        <v>07039</v>
      </c>
      <c r="C22" s="66">
        <v>60016000</v>
      </c>
      <c r="D22" s="24">
        <f t="shared" si="1"/>
        <v>40279.19463087248</v>
      </c>
      <c r="E22" s="50">
        <f t="shared" si="0"/>
        <v>1.0893055282992775E-2</v>
      </c>
      <c r="F22" s="51"/>
    </row>
    <row r="23" spans="1:6" ht="15.75" customHeight="1" x14ac:dyDescent="0.25">
      <c r="A23" t="s">
        <v>945</v>
      </c>
      <c r="B23" t="str">
        <f>+Hoja1!A20</f>
        <v>09617</v>
      </c>
      <c r="C23" s="66">
        <v>169552.2</v>
      </c>
      <c r="D23" s="24">
        <f t="shared" si="1"/>
        <v>113.79342281879195</v>
      </c>
      <c r="E23" s="50">
        <f t="shared" si="0"/>
        <v>3.0774151692099576E-5</v>
      </c>
      <c r="F23" s="51"/>
    </row>
    <row r="24" spans="1:6" ht="15.75" customHeight="1" x14ac:dyDescent="0.25">
      <c r="A24" t="s">
        <v>946</v>
      </c>
      <c r="B24" t="str">
        <f>+Hoja1!A21</f>
        <v>04288</v>
      </c>
      <c r="C24" s="66">
        <v>2560000</v>
      </c>
      <c r="D24" s="24">
        <f t="shared" si="1"/>
        <v>1718.1208053691275</v>
      </c>
      <c r="E24" s="50">
        <f t="shared" si="0"/>
        <v>4.6464645302021974E-4</v>
      </c>
      <c r="F24" s="51"/>
    </row>
    <row r="25" spans="1:6" ht="15.75" customHeight="1" x14ac:dyDescent="0.25">
      <c r="A25" t="s">
        <v>488</v>
      </c>
      <c r="B25" t="str">
        <f>+Hoja1!A22</f>
        <v>05763</v>
      </c>
      <c r="C25" s="66">
        <v>367356</v>
      </c>
      <c r="D25" s="24">
        <f t="shared" si="1"/>
        <v>246.54765100671142</v>
      </c>
      <c r="E25" s="50">
        <f t="shared" si="0"/>
        <v>6.6676039998318686E-5</v>
      </c>
      <c r="F25" s="51"/>
    </row>
    <row r="26" spans="1:6" ht="15.75" customHeight="1" x14ac:dyDescent="0.25">
      <c r="A26" t="s">
        <v>846</v>
      </c>
      <c r="B26" t="str">
        <f>+Hoja1!A23</f>
        <v>09607</v>
      </c>
      <c r="C26" s="66">
        <v>112000</v>
      </c>
      <c r="D26" s="24">
        <f t="shared" si="1"/>
        <v>75.167785234899327</v>
      </c>
      <c r="E26" s="50">
        <f t="shared" si="0"/>
        <v>2.0328282319634612E-5</v>
      </c>
      <c r="F26" s="51"/>
    </row>
    <row r="27" spans="1:6" ht="15.75" customHeight="1" x14ac:dyDescent="0.25">
      <c r="A27" t="s">
        <v>199</v>
      </c>
      <c r="B27" t="str">
        <f>+Hoja1!A24</f>
        <v>08001</v>
      </c>
      <c r="C27" s="66">
        <v>35975116.960000001</v>
      </c>
      <c r="D27" s="24">
        <f t="shared" si="1"/>
        <v>24144.373798657718</v>
      </c>
      <c r="E27" s="50">
        <f t="shared" si="0"/>
        <v>6.5295744111138867E-3</v>
      </c>
      <c r="F27" s="51"/>
    </row>
    <row r="28" spans="1:6" ht="15.75" customHeight="1" x14ac:dyDescent="0.25">
      <c r="A28" t="s">
        <v>723</v>
      </c>
      <c r="B28" t="str">
        <f>+Hoja1!A25</f>
        <v>07846</v>
      </c>
      <c r="C28" s="66">
        <v>980100</v>
      </c>
      <c r="D28" s="24">
        <f t="shared" si="1"/>
        <v>657.78523489932888</v>
      </c>
      <c r="E28" s="50">
        <f t="shared" si="0"/>
        <v>1.7789062054887397E-4</v>
      </c>
      <c r="F28" s="51"/>
    </row>
    <row r="29" spans="1:6" ht="15.75" customHeight="1" x14ac:dyDescent="0.25">
      <c r="A29" t="s">
        <v>947</v>
      </c>
      <c r="B29" t="str">
        <f>+Hoja1!A26</f>
        <v>00943</v>
      </c>
      <c r="C29" s="66">
        <v>3430000</v>
      </c>
      <c r="D29" s="24">
        <f t="shared" si="1"/>
        <v>2302.0134228187922</v>
      </c>
      <c r="E29" s="50">
        <f t="shared" si="0"/>
        <v>6.225536460388101E-4</v>
      </c>
      <c r="F29" s="51"/>
    </row>
    <row r="30" spans="1:6" ht="15.75" customHeight="1" x14ac:dyDescent="0.25">
      <c r="A30" t="s">
        <v>948</v>
      </c>
      <c r="B30" t="str">
        <f>+Hoja1!A27</f>
        <v>09093</v>
      </c>
      <c r="C30" s="66">
        <v>6035000.1100000003</v>
      </c>
      <c r="D30" s="24">
        <f t="shared" si="1"/>
        <v>4050.3356442953022</v>
      </c>
      <c r="E30" s="50">
        <f t="shared" si="0"/>
        <v>1.0953677324563032E-3</v>
      </c>
      <c r="F30" s="51"/>
    </row>
    <row r="31" spans="1:6" ht="15.75" customHeight="1" x14ac:dyDescent="0.25">
      <c r="A31" t="s">
        <v>948</v>
      </c>
      <c r="B31" t="str">
        <f>+Hoja1!A28</f>
        <v>05727</v>
      </c>
      <c r="C31" s="66">
        <v>25000</v>
      </c>
      <c r="D31" s="24">
        <f t="shared" si="1"/>
        <v>16.778523489932887</v>
      </c>
      <c r="E31" s="50">
        <f t="shared" si="0"/>
        <v>4.5375630177755836E-6</v>
      </c>
      <c r="F31" s="51"/>
    </row>
    <row r="32" spans="1:6" ht="15.75" customHeight="1" x14ac:dyDescent="0.25">
      <c r="A32" t="s">
        <v>803</v>
      </c>
      <c r="B32" t="str">
        <f>+Hoja1!A29</f>
        <v>06080</v>
      </c>
      <c r="C32" s="66">
        <v>394245.59</v>
      </c>
      <c r="D32" s="24">
        <f t="shared" si="1"/>
        <v>264.59435570469799</v>
      </c>
      <c r="E32" s="50">
        <f t="shared" si="0"/>
        <v>7.1556568364204622E-5</v>
      </c>
      <c r="F32" s="51"/>
    </row>
    <row r="33" spans="1:6" ht="15.75" customHeight="1" x14ac:dyDescent="0.25">
      <c r="A33" t="s">
        <v>201</v>
      </c>
      <c r="B33" t="str">
        <f>+Hoja1!A30</f>
        <v>08997</v>
      </c>
      <c r="C33" s="66">
        <v>15185500</v>
      </c>
      <c r="D33" s="24">
        <f t="shared" si="1"/>
        <v>10191.610738255034</v>
      </c>
      <c r="E33" s="50">
        <f t="shared" si="0"/>
        <v>2.756206528257245E-3</v>
      </c>
      <c r="F33" s="51"/>
    </row>
    <row r="34" spans="1:6" ht="15.75" customHeight="1" x14ac:dyDescent="0.25">
      <c r="A34" t="s">
        <v>727</v>
      </c>
      <c r="B34" t="str">
        <f>+Hoja1!A31</f>
        <v>03774</v>
      </c>
      <c r="C34" s="66">
        <v>1673971.23</v>
      </c>
      <c r="D34" s="24">
        <f t="shared" si="1"/>
        <v>1123.4706241610738</v>
      </c>
      <c r="E34" s="50">
        <f t="shared" si="0"/>
        <v>3.038299978427322E-4</v>
      </c>
      <c r="F34" s="51"/>
    </row>
    <row r="35" spans="1:6" ht="15.75" customHeight="1" x14ac:dyDescent="0.25">
      <c r="A35" t="s">
        <v>203</v>
      </c>
      <c r="B35" t="str">
        <f>+Hoja1!A32</f>
        <v>05738</v>
      </c>
      <c r="C35" s="66">
        <v>2687652</v>
      </c>
      <c r="D35" s="24">
        <f t="shared" si="1"/>
        <v>1803.7932885906041</v>
      </c>
      <c r="E35" s="50">
        <f t="shared" si="0"/>
        <v>4.8781561279402332E-4</v>
      </c>
      <c r="F35" s="51"/>
    </row>
    <row r="36" spans="1:6" ht="15.75" customHeight="1" x14ac:dyDescent="0.25">
      <c r="A36" t="s">
        <v>205</v>
      </c>
      <c r="B36" t="str">
        <f>+Hoja1!A33</f>
        <v>07931</v>
      </c>
      <c r="C36" s="66">
        <v>1453603.5</v>
      </c>
      <c r="D36" s="24">
        <f t="shared" si="1"/>
        <v>975.57281879194636</v>
      </c>
      <c r="E36" s="50">
        <f t="shared" si="0"/>
        <v>2.6383269936436604E-4</v>
      </c>
      <c r="F36" s="51"/>
    </row>
    <row r="37" spans="1:6" ht="15.75" customHeight="1" x14ac:dyDescent="0.25">
      <c r="A37" t="s">
        <v>949</v>
      </c>
      <c r="B37" t="str">
        <f>+Hoja1!A34</f>
        <v>08399</v>
      </c>
      <c r="C37" s="66">
        <v>2666840</v>
      </c>
      <c r="D37" s="24">
        <f t="shared" si="1"/>
        <v>1789.8255033557048</v>
      </c>
      <c r="E37" s="50">
        <f t="shared" si="0"/>
        <v>4.8403818233298552E-4</v>
      </c>
      <c r="F37" s="51"/>
    </row>
    <row r="38" spans="1:6" ht="15.75" customHeight="1" x14ac:dyDescent="0.25">
      <c r="A38" t="s">
        <v>950</v>
      </c>
      <c r="B38" t="str">
        <f>+Hoja1!A35</f>
        <v>09060</v>
      </c>
      <c r="C38" s="66">
        <v>47232362.100000001</v>
      </c>
      <c r="D38" s="24">
        <f t="shared" si="1"/>
        <v>31699.571879194631</v>
      </c>
      <c r="E38" s="50">
        <f t="shared" si="0"/>
        <v>8.5727927802858039E-3</v>
      </c>
      <c r="F38" s="51"/>
    </row>
    <row r="39" spans="1:6" ht="15.75" customHeight="1" x14ac:dyDescent="0.25">
      <c r="A39" t="s">
        <v>951</v>
      </c>
      <c r="B39" t="str">
        <f>+Hoja1!A36</f>
        <v>08035</v>
      </c>
      <c r="C39" s="66">
        <v>500000</v>
      </c>
      <c r="D39" s="24">
        <f t="shared" si="1"/>
        <v>335.57046979865771</v>
      </c>
      <c r="E39" s="50">
        <f t="shared" si="0"/>
        <v>9.0751260355511671E-5</v>
      </c>
      <c r="F39" s="51"/>
    </row>
    <row r="40" spans="1:6" ht="15.75" customHeight="1" x14ac:dyDescent="0.25">
      <c r="A40" t="s">
        <v>729</v>
      </c>
      <c r="B40" t="str">
        <f>+Hoja1!A37</f>
        <v>07597</v>
      </c>
      <c r="C40" s="66">
        <v>505206</v>
      </c>
      <c r="D40" s="24">
        <f t="shared" si="1"/>
        <v>339.06442953020132</v>
      </c>
      <c r="E40" s="50">
        <f t="shared" si="0"/>
        <v>9.1696162478333248E-5</v>
      </c>
      <c r="F40" s="51"/>
    </row>
    <row r="41" spans="1:6" ht="15.75" customHeight="1" x14ac:dyDescent="0.25">
      <c r="A41" t="s">
        <v>207</v>
      </c>
      <c r="B41" t="str">
        <f>+Hoja1!A38</f>
        <v>00532</v>
      </c>
      <c r="C41" s="66">
        <v>3000000</v>
      </c>
      <c r="D41" s="24">
        <f t="shared" si="1"/>
        <v>2013.4228187919464</v>
      </c>
      <c r="E41" s="50">
        <f t="shared" si="0"/>
        <v>5.4450756213307008E-4</v>
      </c>
      <c r="F41" s="51"/>
    </row>
    <row r="42" spans="1:6" ht="15.75" customHeight="1" x14ac:dyDescent="0.25">
      <c r="A42" t="s">
        <v>490</v>
      </c>
      <c r="B42" t="str">
        <f>+Hoja1!A39</f>
        <v>08594</v>
      </c>
      <c r="C42" s="66">
        <v>168240.04</v>
      </c>
      <c r="D42" s="24">
        <f t="shared" si="1"/>
        <v>112.91277852348993</v>
      </c>
      <c r="E42" s="50">
        <f t="shared" si="0"/>
        <v>3.0535991344523396E-5</v>
      </c>
      <c r="F42" s="51"/>
    </row>
    <row r="43" spans="1:6" ht="15.75" customHeight="1" x14ac:dyDescent="0.25">
      <c r="A43" t="s">
        <v>952</v>
      </c>
      <c r="B43" t="str">
        <f>+Hoja1!A40</f>
        <v>06728</v>
      </c>
      <c r="C43" s="66">
        <v>7190921.0999999996</v>
      </c>
      <c r="D43" s="24">
        <f t="shared" si="1"/>
        <v>4826.1215436241609</v>
      </c>
      <c r="E43" s="50">
        <f t="shared" si="0"/>
        <v>1.3051703058840848E-3</v>
      </c>
      <c r="F43" s="51"/>
    </row>
    <row r="44" spans="1:6" ht="15.75" customHeight="1" x14ac:dyDescent="0.25">
      <c r="A44" t="s">
        <v>209</v>
      </c>
      <c r="B44" t="str">
        <f>+Hoja1!A41</f>
        <v>09170</v>
      </c>
      <c r="C44" s="66">
        <v>18563265.800000001</v>
      </c>
      <c r="D44" s="24">
        <f t="shared" si="1"/>
        <v>12458.567651006711</v>
      </c>
      <c r="E44" s="50">
        <f t="shared" si="0"/>
        <v>3.3692795353287312E-3</v>
      </c>
      <c r="F44" s="51"/>
    </row>
    <row r="45" spans="1:6" ht="15.75" customHeight="1" x14ac:dyDescent="0.25">
      <c r="A45" t="s">
        <v>211</v>
      </c>
      <c r="B45" t="str">
        <f>+Hoja1!A42</f>
        <v>01006</v>
      </c>
      <c r="C45" s="66">
        <v>2260494.17</v>
      </c>
      <c r="D45" s="24">
        <f t="shared" si="1"/>
        <v>1517.1101812080537</v>
      </c>
      <c r="E45" s="50">
        <f t="shared" si="0"/>
        <v>4.1028538990757252E-4</v>
      </c>
      <c r="F45" s="51"/>
    </row>
    <row r="46" spans="1:6" ht="15.75" customHeight="1" x14ac:dyDescent="0.25">
      <c r="A46" t="s">
        <v>953</v>
      </c>
      <c r="B46" t="str">
        <f>+Hoja1!A43</f>
        <v>00073</v>
      </c>
      <c r="C46" s="66">
        <v>302561.40000000002</v>
      </c>
      <c r="D46" s="24">
        <f t="shared" si="1"/>
        <v>203.06134228187921</v>
      </c>
      <c r="E46" s="50">
        <f t="shared" si="0"/>
        <v>5.4915656769856218E-5</v>
      </c>
      <c r="F46" s="51"/>
    </row>
    <row r="47" spans="1:6" ht="15.75" customHeight="1" x14ac:dyDescent="0.25">
      <c r="A47" t="s">
        <v>954</v>
      </c>
      <c r="B47" t="str">
        <f>+Hoja1!A44</f>
        <v>01849</v>
      </c>
      <c r="C47" s="66">
        <v>61421</v>
      </c>
      <c r="D47" s="24">
        <f t="shared" si="1"/>
        <v>41.222147651006715</v>
      </c>
      <c r="E47" s="50">
        <f t="shared" si="0"/>
        <v>1.1148066324591766E-5</v>
      </c>
      <c r="F47" s="51"/>
    </row>
    <row r="48" spans="1:6" ht="15.75" customHeight="1" x14ac:dyDescent="0.25">
      <c r="A48" t="s">
        <v>213</v>
      </c>
      <c r="B48" t="str">
        <f>+Hoja1!A45</f>
        <v>07593</v>
      </c>
      <c r="C48" s="66">
        <v>9410536.7200000007</v>
      </c>
      <c r="D48" s="24">
        <f t="shared" si="1"/>
        <v>6315.7964563758396</v>
      </c>
      <c r="E48" s="50">
        <f t="shared" si="0"/>
        <v>1.7080361359236458E-3</v>
      </c>
      <c r="F48" s="51"/>
    </row>
    <row r="49" spans="1:6" ht="15.75" customHeight="1" x14ac:dyDescent="0.25">
      <c r="A49" t="s">
        <v>215</v>
      </c>
      <c r="B49" t="str">
        <f>+Hoja1!A46</f>
        <v>08143</v>
      </c>
      <c r="C49" s="66">
        <v>3483454.88</v>
      </c>
      <c r="D49" s="24">
        <f t="shared" si="1"/>
        <v>2337.8891812080537</v>
      </c>
      <c r="E49" s="50">
        <f t="shared" si="0"/>
        <v>6.3225584150311531E-4</v>
      </c>
      <c r="F49" s="51"/>
    </row>
    <row r="50" spans="1:6" ht="15.75" customHeight="1" x14ac:dyDescent="0.25">
      <c r="A50" t="s">
        <v>731</v>
      </c>
      <c r="B50" t="str">
        <f>+Hoja1!A47</f>
        <v>05707</v>
      </c>
      <c r="C50" s="66">
        <v>32100989.469999999</v>
      </c>
      <c r="D50" s="24">
        <f t="shared" si="1"/>
        <v>21544.28823489933</v>
      </c>
      <c r="E50" s="50">
        <f t="shared" si="0"/>
        <v>5.8264105061230174E-3</v>
      </c>
      <c r="F50" s="51"/>
    </row>
    <row r="51" spans="1:6" ht="15.75" customHeight="1" x14ac:dyDescent="0.25">
      <c r="A51" t="s">
        <v>217</v>
      </c>
      <c r="B51" t="str">
        <f>+Hoja1!A48</f>
        <v>04214</v>
      </c>
      <c r="C51" s="66">
        <v>8051223.1600000001</v>
      </c>
      <c r="D51" s="24">
        <f t="shared" si="1"/>
        <v>5403.5054765100676</v>
      </c>
      <c r="E51" s="50">
        <f t="shared" si="0"/>
        <v>1.461317298346971E-3</v>
      </c>
      <c r="F51" s="51"/>
    </row>
    <row r="52" spans="1:6" ht="15.75" customHeight="1" x14ac:dyDescent="0.25">
      <c r="A52" t="s">
        <v>584</v>
      </c>
      <c r="B52" t="str">
        <f>+Hoja1!A49</f>
        <v>08210</v>
      </c>
      <c r="C52" s="66">
        <v>148648.5</v>
      </c>
      <c r="D52" s="24">
        <f t="shared" si="1"/>
        <v>99.764093959731539</v>
      </c>
      <c r="E52" s="50">
        <f t="shared" si="0"/>
        <v>2.6980077449912551E-5</v>
      </c>
      <c r="F52" s="51"/>
    </row>
    <row r="53" spans="1:6" ht="15.75" customHeight="1" x14ac:dyDescent="0.25">
      <c r="A53" t="s">
        <v>955</v>
      </c>
      <c r="B53" t="str">
        <f>+Hoja1!A50</f>
        <v>00448</v>
      </c>
      <c r="C53" s="66">
        <v>5263500</v>
      </c>
      <c r="D53" s="24">
        <f t="shared" si="1"/>
        <v>3532.55033557047</v>
      </c>
      <c r="E53" s="50">
        <f t="shared" si="0"/>
        <v>9.5533851776247137E-4</v>
      </c>
      <c r="F53" s="51"/>
    </row>
    <row r="54" spans="1:6" ht="15.75" customHeight="1" x14ac:dyDescent="0.25">
      <c r="A54" t="s">
        <v>956</v>
      </c>
      <c r="B54" t="str">
        <f>+Hoja1!A51</f>
        <v>03848</v>
      </c>
      <c r="C54" s="66">
        <v>10103426.220000001</v>
      </c>
      <c r="D54" s="24">
        <f t="shared" si="1"/>
        <v>6780.8229664429537</v>
      </c>
      <c r="E54" s="50">
        <f t="shared" si="0"/>
        <v>1.8337973267478465E-3</v>
      </c>
      <c r="F54" s="51"/>
    </row>
    <row r="55" spans="1:6" ht="15.75" customHeight="1" x14ac:dyDescent="0.25">
      <c r="A55" t="s">
        <v>854</v>
      </c>
      <c r="B55" t="str">
        <f>+Hoja1!A52</f>
        <v>08526</v>
      </c>
      <c r="C55" s="66">
        <v>105008.62</v>
      </c>
      <c r="D55" s="24">
        <f t="shared" si="1"/>
        <v>70.47558389261745</v>
      </c>
      <c r="E55" s="50">
        <f t="shared" si="0"/>
        <v>1.9059329226385979E-5</v>
      </c>
      <c r="F55" s="51"/>
    </row>
    <row r="56" spans="1:6" ht="15.75" customHeight="1" x14ac:dyDescent="0.25">
      <c r="A56" t="s">
        <v>854</v>
      </c>
      <c r="B56" t="str">
        <f>+Hoja1!A53</f>
        <v>05924</v>
      </c>
      <c r="C56" s="66">
        <v>667055.06999999995</v>
      </c>
      <c r="D56" s="24">
        <f t="shared" si="1"/>
        <v>447.68796644295298</v>
      </c>
      <c r="E56" s="50">
        <f t="shared" si="0"/>
        <v>1.2107217665806812E-4</v>
      </c>
      <c r="F56" s="51"/>
    </row>
    <row r="57" spans="1:6" ht="15.75" customHeight="1" x14ac:dyDescent="0.25">
      <c r="A57" t="s">
        <v>219</v>
      </c>
      <c r="B57" t="str">
        <f>+Hoja1!A54</f>
        <v>03950</v>
      </c>
      <c r="C57" s="66">
        <v>217</v>
      </c>
      <c r="D57" s="24">
        <f t="shared" si="1"/>
        <v>0.14563758389261744</v>
      </c>
      <c r="E57" s="50">
        <f t="shared" si="0"/>
        <v>3.9386046994292061E-8</v>
      </c>
      <c r="F57" s="51"/>
    </row>
    <row r="58" spans="1:6" ht="15.75" customHeight="1" x14ac:dyDescent="0.25">
      <c r="A58" t="s">
        <v>221</v>
      </c>
      <c r="B58" t="str">
        <f>+Hoja1!A55</f>
        <v>00350</v>
      </c>
      <c r="C58" s="66">
        <v>5373097.9299999997</v>
      </c>
      <c r="D58" s="24">
        <f t="shared" si="1"/>
        <v>3606.1059932885905</v>
      </c>
      <c r="E58" s="50">
        <f t="shared" si="0"/>
        <v>9.7523081832218161E-4</v>
      </c>
      <c r="F58" s="51"/>
    </row>
    <row r="59" spans="1:6" ht="15.75" customHeight="1" x14ac:dyDescent="0.25">
      <c r="A59" t="s">
        <v>957</v>
      </c>
      <c r="B59" t="str">
        <f>+Hoja1!A56</f>
        <v>03951</v>
      </c>
      <c r="C59" s="66">
        <v>375100</v>
      </c>
      <c r="D59" s="24">
        <f t="shared" si="1"/>
        <v>251.74496644295303</v>
      </c>
      <c r="E59" s="50">
        <f t="shared" si="0"/>
        <v>6.8081595518704852E-5</v>
      </c>
      <c r="F59" s="51"/>
    </row>
    <row r="60" spans="1:6" ht="15.75" customHeight="1" x14ac:dyDescent="0.25">
      <c r="A60" t="s">
        <v>958</v>
      </c>
      <c r="B60" t="str">
        <f>+Hoja1!A57</f>
        <v>04331</v>
      </c>
      <c r="C60" s="66">
        <v>560000</v>
      </c>
      <c r="D60" s="24">
        <f t="shared" si="1"/>
        <v>375.83892617449663</v>
      </c>
      <c r="E60" s="50">
        <f t="shared" si="0"/>
        <v>1.0164141159817306E-4</v>
      </c>
      <c r="F60" s="51"/>
    </row>
    <row r="61" spans="1:6" ht="15.75" customHeight="1" x14ac:dyDescent="0.25">
      <c r="A61" t="s">
        <v>223</v>
      </c>
      <c r="B61" t="str">
        <f>+Hoja1!A58</f>
        <v>06380</v>
      </c>
      <c r="C61" s="66">
        <v>34799141.979999997</v>
      </c>
      <c r="D61" s="24">
        <f t="shared" si="1"/>
        <v>23355.128845637581</v>
      </c>
      <c r="E61" s="50">
        <f t="shared" si="0"/>
        <v>6.3161319879507906E-3</v>
      </c>
      <c r="F61" s="51"/>
    </row>
    <row r="62" spans="1:6" ht="15.75" customHeight="1" x14ac:dyDescent="0.25">
      <c r="A62" t="s">
        <v>733</v>
      </c>
      <c r="B62" t="str">
        <f>+Hoja1!A59</f>
        <v>05786</v>
      </c>
      <c r="C62" s="66">
        <v>1817783</v>
      </c>
      <c r="D62" s="24">
        <f t="shared" si="1"/>
        <v>1219.9885906040267</v>
      </c>
      <c r="E62" s="50">
        <f t="shared" si="0"/>
        <v>3.2993219660564611E-4</v>
      </c>
      <c r="F62" s="51"/>
    </row>
    <row r="63" spans="1:6" ht="15.75" customHeight="1" x14ac:dyDescent="0.25">
      <c r="A63" t="s">
        <v>225</v>
      </c>
      <c r="B63" t="str">
        <f>+Hoja1!A60</f>
        <v>01118</v>
      </c>
      <c r="C63" s="66">
        <v>172404000</v>
      </c>
      <c r="D63" s="24">
        <f t="shared" si="1"/>
        <v>115707.38255033558</v>
      </c>
      <c r="E63" s="50">
        <f t="shared" si="0"/>
        <v>3.1291760580663269E-2</v>
      </c>
      <c r="F63" s="51"/>
    </row>
    <row r="64" spans="1:6" ht="15.75" customHeight="1" x14ac:dyDescent="0.25">
      <c r="A64" t="s">
        <v>227</v>
      </c>
      <c r="B64" t="str">
        <f>+Hoja1!A61</f>
        <v>08135</v>
      </c>
      <c r="C64" s="66">
        <v>217229052.78999999</v>
      </c>
      <c r="D64" s="24">
        <f t="shared" si="1"/>
        <v>145791.31059731543</v>
      </c>
      <c r="E64" s="50">
        <f t="shared" si="0"/>
        <v>3.9427620653052955E-2</v>
      </c>
      <c r="F64" s="51"/>
    </row>
    <row r="65" spans="1:6" ht="15.75" customHeight="1" x14ac:dyDescent="0.25">
      <c r="A65" t="s">
        <v>227</v>
      </c>
      <c r="B65" t="str">
        <f>+Hoja1!A62</f>
        <v>07289</v>
      </c>
      <c r="C65" s="66">
        <v>88961917.319999993</v>
      </c>
      <c r="D65" s="24">
        <f t="shared" si="1"/>
        <v>59705.984778523482</v>
      </c>
      <c r="E65" s="50">
        <f t="shared" si="0"/>
        <v>1.6146812240865643E-2</v>
      </c>
      <c r="F65" s="51"/>
    </row>
    <row r="66" spans="1:6" ht="15.75" customHeight="1" x14ac:dyDescent="0.25">
      <c r="A66" t="s">
        <v>227</v>
      </c>
      <c r="B66" t="str">
        <f>+Hoja1!A63</f>
        <v>09027</v>
      </c>
      <c r="C66" s="66">
        <v>165328386.62</v>
      </c>
      <c r="D66" s="24">
        <f t="shared" si="1"/>
        <v>110958.64873825504</v>
      </c>
      <c r="E66" s="50">
        <f t="shared" si="0"/>
        <v>3.0007518916616627E-2</v>
      </c>
      <c r="F66" s="51"/>
    </row>
    <row r="67" spans="1:6" ht="15.75" customHeight="1" x14ac:dyDescent="0.25">
      <c r="A67" t="s">
        <v>231</v>
      </c>
      <c r="B67" t="str">
        <f>+Hoja1!A64</f>
        <v>04109</v>
      </c>
      <c r="C67" s="66">
        <v>4157535.95</v>
      </c>
      <c r="D67" s="24">
        <f t="shared" si="1"/>
        <v>2790.2925838926176</v>
      </c>
      <c r="E67" s="50">
        <f t="shared" si="0"/>
        <v>7.5460325487169912E-4</v>
      </c>
      <c r="F67" s="51"/>
    </row>
    <row r="68" spans="1:6" ht="15.75" customHeight="1" x14ac:dyDescent="0.25">
      <c r="A68" t="s">
        <v>735</v>
      </c>
      <c r="B68" t="str">
        <f>+Hoja1!A65</f>
        <v>00271</v>
      </c>
      <c r="C68" s="66">
        <v>157300</v>
      </c>
      <c r="D68" s="24">
        <f t="shared" si="1"/>
        <v>105.57046979865771</v>
      </c>
      <c r="E68" s="50">
        <f t="shared" si="0"/>
        <v>2.855034650784397E-5</v>
      </c>
      <c r="F68" s="51"/>
    </row>
    <row r="69" spans="1:6" ht="15.75" customHeight="1" x14ac:dyDescent="0.25">
      <c r="A69" t="s">
        <v>959</v>
      </c>
      <c r="B69" t="str">
        <f>+Hoja1!A66</f>
        <v>05657</v>
      </c>
      <c r="C69" s="66">
        <v>6514876.9299999997</v>
      </c>
      <c r="D69" s="24">
        <f t="shared" si="1"/>
        <v>4372.4006241610732</v>
      </c>
      <c r="E69" s="50">
        <f t="shared" ref="E69:E132" si="2">+D69/$D$302</f>
        <v>1.1824665849170929E-3</v>
      </c>
      <c r="F69" s="51"/>
    </row>
    <row r="70" spans="1:6" ht="15.75" customHeight="1" x14ac:dyDescent="0.25">
      <c r="A70" t="s">
        <v>862</v>
      </c>
      <c r="B70" t="str">
        <f>+Hoja1!A67</f>
        <v>07644</v>
      </c>
      <c r="C70" s="66">
        <v>74510364.349999994</v>
      </c>
      <c r="D70" s="24">
        <f t="shared" ref="D70:D133" si="3">+C70/$D$3</f>
        <v>50006.955939597312</v>
      </c>
      <c r="E70" s="50">
        <f t="shared" si="2"/>
        <v>1.352381894862177E-2</v>
      </c>
      <c r="F70" s="51"/>
    </row>
    <row r="71" spans="1:6" ht="15.75" customHeight="1" x14ac:dyDescent="0.25">
      <c r="A71" t="s">
        <v>233</v>
      </c>
      <c r="B71" t="str">
        <f>+Hoja1!A68</f>
        <v>04590</v>
      </c>
      <c r="C71" s="66">
        <v>1455605.8</v>
      </c>
      <c r="D71" s="24">
        <f t="shared" si="3"/>
        <v>976.91664429530204</v>
      </c>
      <c r="E71" s="50">
        <f t="shared" si="2"/>
        <v>2.6419612186158573E-4</v>
      </c>
      <c r="F71" s="51"/>
    </row>
    <row r="72" spans="1:6" ht="15.75" customHeight="1" x14ac:dyDescent="0.25">
      <c r="A72" t="s">
        <v>960</v>
      </c>
      <c r="B72" t="str">
        <f>+Hoja1!A69</f>
        <v>05593</v>
      </c>
      <c r="C72" s="66">
        <v>1500400</v>
      </c>
      <c r="D72" s="24">
        <f t="shared" si="3"/>
        <v>1006.9798657718121</v>
      </c>
      <c r="E72" s="50">
        <f t="shared" si="2"/>
        <v>2.7232638207481941E-4</v>
      </c>
      <c r="F72" s="51"/>
    </row>
    <row r="73" spans="1:6" ht="15.75" customHeight="1" x14ac:dyDescent="0.25">
      <c r="A73" t="s">
        <v>235</v>
      </c>
      <c r="B73" t="str">
        <f>+Hoja1!A70</f>
        <v>03739</v>
      </c>
      <c r="C73" s="66">
        <v>-204.43</v>
      </c>
      <c r="D73" s="24">
        <f t="shared" si="3"/>
        <v>-0.13720134228187919</v>
      </c>
      <c r="E73" s="50">
        <f t="shared" si="2"/>
        <v>-3.7104560308954499E-8</v>
      </c>
      <c r="F73" s="51"/>
    </row>
    <row r="74" spans="1:6" ht="15.75" customHeight="1" x14ac:dyDescent="0.25">
      <c r="A74" t="s">
        <v>237</v>
      </c>
      <c r="B74" t="str">
        <f>+Hoja1!A71</f>
        <v>01355</v>
      </c>
      <c r="C74" s="66">
        <v>14124784.619999999</v>
      </c>
      <c r="D74" s="24">
        <f t="shared" si="3"/>
        <v>9479.7212214765095</v>
      </c>
      <c r="E74" s="50">
        <f t="shared" si="2"/>
        <v>2.563684013030294E-3</v>
      </c>
      <c r="F74" s="51"/>
    </row>
    <row r="75" spans="1:6" ht="15.75" customHeight="1" x14ac:dyDescent="0.25">
      <c r="A75" t="s">
        <v>239</v>
      </c>
      <c r="B75" t="str">
        <f>+Hoja1!A72</f>
        <v>07319</v>
      </c>
      <c r="C75" s="66">
        <v>4180753.72</v>
      </c>
      <c r="D75" s="24">
        <f t="shared" si="3"/>
        <v>2805.8749798657718</v>
      </c>
      <c r="E75" s="50">
        <f t="shared" si="2"/>
        <v>7.5881733865198792E-4</v>
      </c>
      <c r="F75" s="51"/>
    </row>
    <row r="76" spans="1:6" ht="15.75" customHeight="1" x14ac:dyDescent="0.25">
      <c r="A76" t="s">
        <v>961</v>
      </c>
      <c r="B76" t="str">
        <f>+Hoja1!A73</f>
        <v>09355</v>
      </c>
      <c r="C76" s="66">
        <v>3900000</v>
      </c>
      <c r="D76" s="24">
        <f t="shared" si="3"/>
        <v>2617.44966442953</v>
      </c>
      <c r="E76" s="50">
        <f t="shared" si="2"/>
        <v>7.0785983077299101E-4</v>
      </c>
      <c r="F76" s="51"/>
    </row>
    <row r="77" spans="1:6" ht="15.75" customHeight="1" x14ac:dyDescent="0.25">
      <c r="A77" t="s">
        <v>962</v>
      </c>
      <c r="B77" t="str">
        <f>+Hoja1!A74</f>
        <v>03119</v>
      </c>
      <c r="C77" s="66">
        <v>6543252.7199999997</v>
      </c>
      <c r="D77" s="24">
        <f t="shared" si="3"/>
        <v>4391.4447785234897</v>
      </c>
      <c r="E77" s="50">
        <f t="shared" si="2"/>
        <v>1.1876168623292597E-3</v>
      </c>
      <c r="F77" s="51"/>
    </row>
    <row r="78" spans="1:6" ht="15.75" customHeight="1" x14ac:dyDescent="0.25">
      <c r="A78" t="s">
        <v>241</v>
      </c>
      <c r="B78" t="str">
        <f>+Hoja1!A75</f>
        <v>09331</v>
      </c>
      <c r="C78" s="66">
        <v>2045940.78</v>
      </c>
      <c r="D78" s="24">
        <f t="shared" si="3"/>
        <v>1373.1146174496644</v>
      </c>
      <c r="E78" s="50">
        <f t="shared" si="2"/>
        <v>3.7134340879547723E-4</v>
      </c>
      <c r="F78" s="51"/>
    </row>
    <row r="79" spans="1:6" ht="15.75" customHeight="1" x14ac:dyDescent="0.25">
      <c r="A79" t="s">
        <v>243</v>
      </c>
      <c r="B79" t="str">
        <f>+Hoja1!A76</f>
        <v>06713</v>
      </c>
      <c r="C79" s="66">
        <v>4524996.97</v>
      </c>
      <c r="D79" s="24">
        <f t="shared" si="3"/>
        <v>3036.9107181208051</v>
      </c>
      <c r="E79" s="50">
        <f t="shared" si="2"/>
        <v>8.2129835626474279E-4</v>
      </c>
      <c r="F79" s="51"/>
    </row>
    <row r="80" spans="1:6" ht="15.75" customHeight="1" x14ac:dyDescent="0.25">
      <c r="A80" t="s">
        <v>805</v>
      </c>
      <c r="B80" t="str">
        <f>+Hoja1!A77</f>
        <v>04475</v>
      </c>
      <c r="C80" s="66">
        <v>8027165.4100000001</v>
      </c>
      <c r="D80" s="24">
        <f t="shared" si="3"/>
        <v>5387.3593355704697</v>
      </c>
      <c r="E80" s="50">
        <f t="shared" si="2"/>
        <v>1.4569507560793352E-3</v>
      </c>
      <c r="F80" s="51"/>
    </row>
    <row r="81" spans="1:6" ht="15.75" customHeight="1" x14ac:dyDescent="0.25">
      <c r="A81" t="s">
        <v>963</v>
      </c>
      <c r="B81" t="str">
        <f>+Hoja1!A78</f>
        <v>03905</v>
      </c>
      <c r="C81" s="66">
        <v>15004000</v>
      </c>
      <c r="D81" s="24">
        <f t="shared" si="3"/>
        <v>10069.79865771812</v>
      </c>
      <c r="E81" s="50">
        <f t="shared" si="2"/>
        <v>2.7232638207481939E-3</v>
      </c>
      <c r="F81" s="51"/>
    </row>
    <row r="82" spans="1:6" ht="15.75" customHeight="1" x14ac:dyDescent="0.25">
      <c r="A82" t="s">
        <v>245</v>
      </c>
      <c r="B82" t="str">
        <f>+Hoja1!A79</f>
        <v>09448</v>
      </c>
      <c r="C82" s="66">
        <v>1300476.19</v>
      </c>
      <c r="D82" s="24">
        <f t="shared" si="3"/>
        <v>872.80281208053691</v>
      </c>
      <c r="E82" s="50">
        <f t="shared" si="2"/>
        <v>2.3603970660966773E-4</v>
      </c>
      <c r="F82" s="51"/>
    </row>
    <row r="83" spans="1:6" ht="15.75" customHeight="1" x14ac:dyDescent="0.25">
      <c r="A83" t="s">
        <v>494</v>
      </c>
      <c r="B83" t="str">
        <f>+Hoja1!A80</f>
        <v>04911</v>
      </c>
      <c r="C83" s="66">
        <v>64299.4</v>
      </c>
      <c r="D83" s="24">
        <f t="shared" si="3"/>
        <v>43.153959731543623</v>
      </c>
      <c r="E83" s="50">
        <f t="shared" si="2"/>
        <v>1.1670503180206374E-5</v>
      </c>
      <c r="F83" s="51"/>
    </row>
    <row r="84" spans="1:6" ht="15.75" customHeight="1" x14ac:dyDescent="0.25">
      <c r="A84" t="s">
        <v>247</v>
      </c>
      <c r="B84" t="str">
        <f>+Hoja1!A81</f>
        <v>07602</v>
      </c>
      <c r="C84" s="66">
        <v>3334347.62</v>
      </c>
      <c r="D84" s="24">
        <f t="shared" si="3"/>
        <v>2237.8171946308726</v>
      </c>
      <c r="E84" s="50">
        <f t="shared" si="2"/>
        <v>6.0519249795680139E-4</v>
      </c>
      <c r="F84" s="51"/>
    </row>
    <row r="85" spans="1:6" ht="15.75" customHeight="1" x14ac:dyDescent="0.25">
      <c r="A85" t="s">
        <v>249</v>
      </c>
      <c r="B85" t="str">
        <f>+Hoja1!A82</f>
        <v>00103</v>
      </c>
      <c r="C85" s="66">
        <v>5167373.17</v>
      </c>
      <c r="D85" s="24">
        <f t="shared" si="3"/>
        <v>3468.0356845637584</v>
      </c>
      <c r="E85" s="50">
        <f t="shared" si="2"/>
        <v>9.3789125580951132E-4</v>
      </c>
      <c r="F85" s="51"/>
    </row>
    <row r="86" spans="1:6" ht="15.75" customHeight="1" x14ac:dyDescent="0.25">
      <c r="A86" t="s">
        <v>737</v>
      </c>
      <c r="B86" t="str">
        <f>+Hoja1!A83</f>
        <v>06807</v>
      </c>
      <c r="C86" s="66">
        <v>-123670.72</v>
      </c>
      <c r="D86" s="24">
        <f t="shared" si="3"/>
        <v>-83.000483221476514</v>
      </c>
      <c r="E86" s="50">
        <f t="shared" si="2"/>
        <v>-2.244654741814717E-5</v>
      </c>
      <c r="F86" s="51"/>
    </row>
    <row r="87" spans="1:6" ht="15.75" customHeight="1" x14ac:dyDescent="0.25">
      <c r="A87" t="s">
        <v>964</v>
      </c>
      <c r="B87" t="str">
        <f>+Hoja1!A84</f>
        <v>01337</v>
      </c>
      <c r="C87" s="66">
        <v>4124965</v>
      </c>
      <c r="D87" s="24">
        <f t="shared" si="3"/>
        <v>2768.4328859060402</v>
      </c>
      <c r="E87" s="50">
        <f t="shared" si="2"/>
        <v>7.4869154534474636E-4</v>
      </c>
      <c r="F87" s="51"/>
    </row>
    <row r="88" spans="1:6" ht="15.75" customHeight="1" x14ac:dyDescent="0.25">
      <c r="A88" t="s">
        <v>614</v>
      </c>
      <c r="B88" t="str">
        <f>+Hoja1!A85</f>
        <v>00007</v>
      </c>
      <c r="C88" s="66">
        <v>10098400</v>
      </c>
      <c r="D88" s="24">
        <f t="shared" si="3"/>
        <v>6777.4496644295305</v>
      </c>
      <c r="E88" s="50">
        <f t="shared" si="2"/>
        <v>1.8328850551481981E-3</v>
      </c>
      <c r="F88" s="51"/>
    </row>
    <row r="89" spans="1:6" ht="15.75" customHeight="1" x14ac:dyDescent="0.25">
      <c r="A89" t="s">
        <v>251</v>
      </c>
      <c r="B89" t="str">
        <f>+Hoja1!A86</f>
        <v>05997</v>
      </c>
      <c r="C89" s="66">
        <v>54162269.939999998</v>
      </c>
      <c r="D89" s="24">
        <f t="shared" si="3"/>
        <v>36350.516738255035</v>
      </c>
      <c r="E89" s="50">
        <f t="shared" si="2"/>
        <v>9.8305885215408881E-3</v>
      </c>
      <c r="F89" s="51"/>
    </row>
    <row r="90" spans="1:6" ht="15.75" customHeight="1" x14ac:dyDescent="0.25">
      <c r="A90" t="s">
        <v>253</v>
      </c>
      <c r="B90" t="str">
        <f>+Hoja1!A87</f>
        <v>06004</v>
      </c>
      <c r="C90" s="66">
        <v>2125000</v>
      </c>
      <c r="D90" s="24">
        <f t="shared" si="3"/>
        <v>1426.1744966442952</v>
      </c>
      <c r="E90" s="50">
        <f t="shared" si="2"/>
        <v>3.8569285651092456E-4</v>
      </c>
      <c r="F90" s="51"/>
    </row>
    <row r="91" spans="1:6" ht="15.75" customHeight="1" x14ac:dyDescent="0.25">
      <c r="A91" t="s">
        <v>739</v>
      </c>
      <c r="B91" t="str">
        <f>+Hoja1!A88</f>
        <v>08813</v>
      </c>
      <c r="C91" s="66">
        <v>976220.9</v>
      </c>
      <c r="D91" s="24">
        <f t="shared" si="3"/>
        <v>655.18181208053693</v>
      </c>
      <c r="E91" s="50">
        <f t="shared" si="2"/>
        <v>1.7718655412078384E-4</v>
      </c>
      <c r="F91" s="51"/>
    </row>
    <row r="92" spans="1:6" ht="15.75" customHeight="1" x14ac:dyDescent="0.25">
      <c r="A92" t="s">
        <v>257</v>
      </c>
      <c r="B92" t="str">
        <f>+Hoja1!A89</f>
        <v>01551</v>
      </c>
      <c r="C92" s="66">
        <v>28828879.199999999</v>
      </c>
      <c r="D92" s="24">
        <f t="shared" si="3"/>
        <v>19348.241073825502</v>
      </c>
      <c r="E92" s="50">
        <f t="shared" si="2"/>
        <v>5.2325142440735901E-3</v>
      </c>
      <c r="F92" s="51"/>
    </row>
    <row r="93" spans="1:6" ht="15.75" customHeight="1" x14ac:dyDescent="0.25">
      <c r="A93" t="s">
        <v>965</v>
      </c>
      <c r="B93" t="str">
        <f>+Hoja1!A90</f>
        <v>07452</v>
      </c>
      <c r="C93" s="66">
        <v>4392303.99</v>
      </c>
      <c r="D93" s="24">
        <f t="shared" si="3"/>
        <v>2947.8550268456379</v>
      </c>
      <c r="E93" s="50">
        <f t="shared" si="2"/>
        <v>7.9721424591408551E-4</v>
      </c>
      <c r="F93" s="51"/>
    </row>
    <row r="94" spans="1:6" ht="15.75" customHeight="1" x14ac:dyDescent="0.25">
      <c r="A94" t="s">
        <v>259</v>
      </c>
      <c r="B94" t="str">
        <f>+Hoja1!A91</f>
        <v>07599</v>
      </c>
      <c r="C94" s="66">
        <v>3300000</v>
      </c>
      <c r="D94" s="24">
        <f t="shared" si="3"/>
        <v>2214.7651006711408</v>
      </c>
      <c r="E94" s="50">
        <f t="shared" si="2"/>
        <v>5.9895831834637695E-4</v>
      </c>
      <c r="F94" s="51"/>
    </row>
    <row r="95" spans="1:6" ht="15.75" customHeight="1" x14ac:dyDescent="0.25">
      <c r="A95" t="s">
        <v>261</v>
      </c>
      <c r="B95" t="str">
        <f>+Hoja1!A92</f>
        <v>05124</v>
      </c>
      <c r="C95" s="66">
        <v>11030003.050000001</v>
      </c>
      <c r="D95" s="24">
        <f t="shared" si="3"/>
        <v>7402.6866107382557</v>
      </c>
      <c r="E95" s="50">
        <f t="shared" si="2"/>
        <v>2.0019733570252759E-3</v>
      </c>
      <c r="F95" s="51"/>
    </row>
    <row r="96" spans="1:6" ht="15.75" customHeight="1" x14ac:dyDescent="0.25">
      <c r="A96" t="s">
        <v>263</v>
      </c>
      <c r="B96" t="str">
        <f>+Hoja1!A93</f>
        <v>01965</v>
      </c>
      <c r="C96" s="66">
        <v>14577177.65</v>
      </c>
      <c r="D96" s="24">
        <f t="shared" si="3"/>
        <v>9783.3407046979864</v>
      </c>
      <c r="E96" s="50">
        <f t="shared" si="2"/>
        <v>2.6457944883273915E-3</v>
      </c>
      <c r="F96" s="51"/>
    </row>
    <row r="97" spans="1:6" ht="15.75" customHeight="1" x14ac:dyDescent="0.25">
      <c r="A97" t="s">
        <v>265</v>
      </c>
      <c r="B97" t="str">
        <f>+Hoja1!A94</f>
        <v>08599</v>
      </c>
      <c r="C97" s="66">
        <v>23725336.609999999</v>
      </c>
      <c r="D97" s="24">
        <f t="shared" si="3"/>
        <v>15923.044704697986</v>
      </c>
      <c r="E97" s="50">
        <f t="shared" si="2"/>
        <v>4.306208399432525E-3</v>
      </c>
      <c r="F97" s="51"/>
    </row>
    <row r="98" spans="1:6" ht="15.75" customHeight="1" x14ac:dyDescent="0.25">
      <c r="A98" t="s">
        <v>267</v>
      </c>
      <c r="B98" t="str">
        <f>+Hoja1!A95</f>
        <v>05520</v>
      </c>
      <c r="C98" s="66">
        <v>1171903.78</v>
      </c>
      <c r="D98" s="24">
        <f t="shared" si="3"/>
        <v>786.51260402684568</v>
      </c>
      <c r="E98" s="50">
        <f t="shared" si="2"/>
        <v>2.1270349010077654E-4</v>
      </c>
      <c r="F98" s="51"/>
    </row>
    <row r="99" spans="1:6" ht="15.75" customHeight="1" x14ac:dyDescent="0.25">
      <c r="A99" t="s">
        <v>966</v>
      </c>
      <c r="B99" t="str">
        <f>+Hoja1!A96</f>
        <v>08724</v>
      </c>
      <c r="C99" s="66">
        <v>1415700</v>
      </c>
      <c r="D99" s="24">
        <f t="shared" si="3"/>
        <v>950.13422818791946</v>
      </c>
      <c r="E99" s="50">
        <f t="shared" si="2"/>
        <v>2.5695311857059576E-4</v>
      </c>
      <c r="F99" s="51"/>
    </row>
    <row r="100" spans="1:6" ht="15.75" customHeight="1" x14ac:dyDescent="0.25">
      <c r="A100" t="s">
        <v>269</v>
      </c>
      <c r="B100" t="str">
        <f>+Hoja1!A97</f>
        <v>06675</v>
      </c>
      <c r="C100" s="66">
        <v>775513.2</v>
      </c>
      <c r="D100" s="24">
        <f t="shared" si="3"/>
        <v>520.47865771812076</v>
      </c>
      <c r="E100" s="50">
        <f t="shared" si="2"/>
        <v>1.4075760064467197E-4</v>
      </c>
      <c r="F100" s="51"/>
    </row>
    <row r="101" spans="1:6" ht="15.75" customHeight="1" x14ac:dyDescent="0.25">
      <c r="A101" t="s">
        <v>271</v>
      </c>
      <c r="B101" t="str">
        <f>+Hoja1!A98</f>
        <v>08709</v>
      </c>
      <c r="C101" s="66">
        <v>290181.01</v>
      </c>
      <c r="D101" s="24">
        <f t="shared" si="3"/>
        <v>194.752355704698</v>
      </c>
      <c r="E101" s="50">
        <f t="shared" si="2"/>
        <v>5.2668584777470674E-5</v>
      </c>
      <c r="F101" s="51"/>
    </row>
    <row r="102" spans="1:6" ht="15.75" customHeight="1" x14ac:dyDescent="0.25">
      <c r="A102" t="s">
        <v>275</v>
      </c>
      <c r="B102" t="str">
        <f>+Hoja1!A99</f>
        <v>03927</v>
      </c>
      <c r="C102" s="66">
        <v>2687273.09</v>
      </c>
      <c r="D102" s="24">
        <f t="shared" si="3"/>
        <v>1803.538986577181</v>
      </c>
      <c r="E102" s="50">
        <f t="shared" si="2"/>
        <v>4.8774683967390067E-4</v>
      </c>
      <c r="F102" s="51"/>
    </row>
    <row r="103" spans="1:6" ht="15.75" customHeight="1" x14ac:dyDescent="0.25">
      <c r="A103" t="s">
        <v>277</v>
      </c>
      <c r="B103" t="str">
        <f>+Hoja1!A100</f>
        <v>09332</v>
      </c>
      <c r="C103" s="66">
        <v>108788575.40000001</v>
      </c>
      <c r="D103" s="24">
        <f t="shared" si="3"/>
        <v>73012.466711409405</v>
      </c>
      <c r="E103" s="50">
        <f t="shared" si="2"/>
        <v>1.9745400659661228E-2</v>
      </c>
      <c r="F103" s="51"/>
    </row>
    <row r="104" spans="1:6" ht="15.75" customHeight="1" x14ac:dyDescent="0.25">
      <c r="A104" t="s">
        <v>811</v>
      </c>
      <c r="B104" t="str">
        <f>+Hoja1!A101</f>
        <v>09495</v>
      </c>
      <c r="C104" s="66">
        <v>3024389.28</v>
      </c>
      <c r="D104" s="24">
        <f t="shared" si="3"/>
        <v>2029.7914630872481</v>
      </c>
      <c r="E104" s="50">
        <f t="shared" si="2"/>
        <v>5.4893427793139692E-4</v>
      </c>
      <c r="F104" s="51"/>
    </row>
    <row r="105" spans="1:6" ht="15.75" customHeight="1" x14ac:dyDescent="0.25">
      <c r="A105" t="s">
        <v>743</v>
      </c>
      <c r="B105" t="str">
        <f>+Hoja1!A102</f>
        <v>04542</v>
      </c>
      <c r="C105" s="66">
        <v>4875887.26</v>
      </c>
      <c r="D105" s="24">
        <f t="shared" si="3"/>
        <v>3272.4075570469795</v>
      </c>
      <c r="E105" s="50">
        <f t="shared" si="2"/>
        <v>8.8498582839276478E-4</v>
      </c>
      <c r="F105" s="51"/>
    </row>
    <row r="106" spans="1:6" ht="15.75" customHeight="1" x14ac:dyDescent="0.25">
      <c r="A106" t="s">
        <v>967</v>
      </c>
      <c r="B106" t="str">
        <f>+Hoja1!A103</f>
        <v>08913</v>
      </c>
      <c r="C106" s="66">
        <v>145393.60000000001</v>
      </c>
      <c r="D106" s="24">
        <f t="shared" si="3"/>
        <v>97.579597315436246</v>
      </c>
      <c r="E106" s="50">
        <f t="shared" si="2"/>
        <v>2.6389304895250243E-5</v>
      </c>
      <c r="F106" s="51"/>
    </row>
    <row r="107" spans="1:6" ht="15.75" customHeight="1" x14ac:dyDescent="0.25">
      <c r="A107" t="s">
        <v>281</v>
      </c>
      <c r="B107" t="str">
        <f>+Hoja1!A104</f>
        <v>06040</v>
      </c>
      <c r="C107" s="66">
        <v>780000</v>
      </c>
      <c r="D107" s="24">
        <f t="shared" si="3"/>
        <v>523.489932885906</v>
      </c>
      <c r="E107" s="50">
        <f t="shared" si="2"/>
        <v>1.415719661545982E-4</v>
      </c>
      <c r="F107" s="51"/>
    </row>
    <row r="108" spans="1:6" ht="15.75" customHeight="1" x14ac:dyDescent="0.25">
      <c r="A108" t="s">
        <v>968</v>
      </c>
      <c r="B108" t="str">
        <f>+Hoja1!A105</f>
        <v>04036</v>
      </c>
      <c r="C108" s="66">
        <v>2571368.9900000002</v>
      </c>
      <c r="D108" s="24">
        <f t="shared" si="3"/>
        <v>1725.7510000000002</v>
      </c>
      <c r="E108" s="50">
        <f t="shared" si="2"/>
        <v>4.6670995336315821E-4</v>
      </c>
      <c r="F108" s="51"/>
    </row>
    <row r="109" spans="1:6" ht="15.75" customHeight="1" x14ac:dyDescent="0.25">
      <c r="A109" t="s">
        <v>285</v>
      </c>
      <c r="B109" t="str">
        <f>+Hoja1!A106</f>
        <v>05885</v>
      </c>
      <c r="C109" s="66">
        <v>0.02</v>
      </c>
      <c r="D109" s="24">
        <f t="shared" si="3"/>
        <v>1.3422818791946309E-5</v>
      </c>
      <c r="E109" s="50">
        <f t="shared" si="2"/>
        <v>3.6300504142204671E-12</v>
      </c>
      <c r="F109" s="51"/>
    </row>
    <row r="110" spans="1:6" ht="15.75" customHeight="1" x14ac:dyDescent="0.25">
      <c r="A110" t="s">
        <v>287</v>
      </c>
      <c r="B110" t="str">
        <f>+Hoja1!A107</f>
        <v>07281</v>
      </c>
      <c r="C110" s="66">
        <v>4570170</v>
      </c>
      <c r="D110" s="24">
        <f t="shared" si="3"/>
        <v>3067.2281879194629</v>
      </c>
      <c r="E110" s="50">
        <f t="shared" si="2"/>
        <v>8.2949737507789746E-4</v>
      </c>
      <c r="F110" s="51"/>
    </row>
    <row r="111" spans="1:6" ht="15.75" customHeight="1" x14ac:dyDescent="0.25">
      <c r="A111" t="s">
        <v>289</v>
      </c>
      <c r="B111" t="str">
        <f>+Hoja1!A108</f>
        <v>03756</v>
      </c>
      <c r="C111" s="66">
        <v>2102254.0099999998</v>
      </c>
      <c r="D111" s="24">
        <f t="shared" si="3"/>
        <v>1410.9087315436241</v>
      </c>
      <c r="E111" s="50">
        <f t="shared" si="2"/>
        <v>3.8156440198985686E-4</v>
      </c>
      <c r="F111" s="51"/>
    </row>
    <row r="112" spans="1:6" ht="15.75" customHeight="1" x14ac:dyDescent="0.25">
      <c r="A112" t="s">
        <v>291</v>
      </c>
      <c r="B112" t="str">
        <f>+Hoja1!A109</f>
        <v>08596</v>
      </c>
      <c r="C112" s="66">
        <v>3137174.59</v>
      </c>
      <c r="D112" s="24">
        <f t="shared" si="3"/>
        <v>2105.4863020134226</v>
      </c>
      <c r="E112" s="50">
        <f t="shared" si="2"/>
        <v>5.6940509599557113E-4</v>
      </c>
      <c r="F112" s="51"/>
    </row>
    <row r="113" spans="1:6" ht="15.75" customHeight="1" x14ac:dyDescent="0.25">
      <c r="A113" t="s">
        <v>747</v>
      </c>
      <c r="B113" t="str">
        <f>+Hoja1!A110</f>
        <v>04685</v>
      </c>
      <c r="C113" s="66">
        <v>8403620.2200000007</v>
      </c>
      <c r="D113" s="24">
        <f t="shared" si="3"/>
        <v>5640.0135704697996</v>
      </c>
      <c r="E113" s="50">
        <f t="shared" si="2"/>
        <v>1.5252782530281248E-3</v>
      </c>
      <c r="F113" s="51"/>
    </row>
    <row r="114" spans="1:6" ht="15.75" customHeight="1" x14ac:dyDescent="0.25">
      <c r="A114" t="s">
        <v>293</v>
      </c>
      <c r="B114" t="str">
        <f>+Hoja1!A111</f>
        <v>08161</v>
      </c>
      <c r="C114" s="66">
        <v>4656443</v>
      </c>
      <c r="D114" s="24">
        <f t="shared" si="3"/>
        <v>3125.1295302013423</v>
      </c>
      <c r="E114" s="50">
        <f t="shared" si="2"/>
        <v>8.4515614204719964E-4</v>
      </c>
      <c r="F114" s="51"/>
    </row>
    <row r="115" spans="1:6" ht="15.75" customHeight="1" x14ac:dyDescent="0.25">
      <c r="A115" t="s">
        <v>969</v>
      </c>
      <c r="B115" t="str">
        <f>+Hoja1!A112</f>
        <v>09091</v>
      </c>
      <c r="C115" s="66">
        <v>3497275.16</v>
      </c>
      <c r="D115" s="24">
        <f t="shared" si="3"/>
        <v>2347.1645369127518</v>
      </c>
      <c r="E115" s="50">
        <f t="shared" si="2"/>
        <v>6.347642571600475E-4</v>
      </c>
      <c r="F115" s="51"/>
    </row>
    <row r="116" spans="1:6" ht="15.75" customHeight="1" x14ac:dyDescent="0.25">
      <c r="A116" t="s">
        <v>295</v>
      </c>
      <c r="B116" t="str">
        <f>+Hoja1!A113</f>
        <v>03189</v>
      </c>
      <c r="C116" s="66">
        <v>-3904.38</v>
      </c>
      <c r="D116" s="24">
        <f t="shared" si="3"/>
        <v>-2.6203892617449664</v>
      </c>
      <c r="E116" s="50">
        <f t="shared" si="2"/>
        <v>-7.0865481181370534E-7</v>
      </c>
      <c r="F116" s="51"/>
    </row>
    <row r="117" spans="1:6" ht="15.75" customHeight="1" x14ac:dyDescent="0.25">
      <c r="A117" t="s">
        <v>970</v>
      </c>
      <c r="B117" t="str">
        <f>+Hoja1!A114</f>
        <v>09383</v>
      </c>
      <c r="C117" s="66">
        <v>620488</v>
      </c>
      <c r="D117" s="24">
        <f t="shared" si="3"/>
        <v>416.43489932885905</v>
      </c>
      <c r="E117" s="50">
        <f t="shared" si="2"/>
        <v>1.1262013607094145E-4</v>
      </c>
      <c r="F117" s="51"/>
    </row>
    <row r="118" spans="1:6" ht="15.75" customHeight="1" x14ac:dyDescent="0.25">
      <c r="A118" t="s">
        <v>971</v>
      </c>
      <c r="B118" t="str">
        <f>+Hoja1!A115</f>
        <v>08170</v>
      </c>
      <c r="C118" s="66">
        <v>238590.8</v>
      </c>
      <c r="D118" s="24">
        <f t="shared" si="3"/>
        <v>160.12805369127517</v>
      </c>
      <c r="E118" s="50">
        <f t="shared" si="2"/>
        <v>4.3304831618459626E-5</v>
      </c>
      <c r="F118" s="51"/>
    </row>
    <row r="119" spans="1:6" ht="15.75" customHeight="1" x14ac:dyDescent="0.25">
      <c r="A119" t="s">
        <v>301</v>
      </c>
      <c r="B119" t="str">
        <f>+Hoja1!A116</f>
        <v>06584</v>
      </c>
      <c r="C119" s="66">
        <v>40367.35</v>
      </c>
      <c r="D119" s="24">
        <f t="shared" si="3"/>
        <v>27.092181208053692</v>
      </c>
      <c r="E119" s="50">
        <f t="shared" si="2"/>
        <v>7.3267757794241283E-6</v>
      </c>
      <c r="F119" s="51"/>
    </row>
    <row r="120" spans="1:6" ht="15.75" customHeight="1" x14ac:dyDescent="0.25">
      <c r="A120" t="s">
        <v>972</v>
      </c>
      <c r="B120" t="str">
        <f>+Hoja1!A117</f>
        <v>07680</v>
      </c>
      <c r="C120" s="66">
        <v>128077.24</v>
      </c>
      <c r="D120" s="24">
        <f t="shared" si="3"/>
        <v>85.957879194630877</v>
      </c>
      <c r="E120" s="50">
        <f t="shared" si="2"/>
        <v>2.3246341905710708E-5</v>
      </c>
      <c r="F120" s="51"/>
    </row>
    <row r="121" spans="1:6" ht="15.75" customHeight="1" x14ac:dyDescent="0.25">
      <c r="A121" t="s">
        <v>973</v>
      </c>
      <c r="B121" t="str">
        <f>+Hoja1!A118</f>
        <v>07430</v>
      </c>
      <c r="C121" s="66">
        <v>405000</v>
      </c>
      <c r="D121" s="24">
        <f t="shared" si="3"/>
        <v>271.81208053691273</v>
      </c>
      <c r="E121" s="50">
        <f t="shared" si="2"/>
        <v>7.350852088796445E-5</v>
      </c>
      <c r="F121" s="51"/>
    </row>
    <row r="122" spans="1:6" ht="15.75" customHeight="1" x14ac:dyDescent="0.25">
      <c r="A122" t="s">
        <v>974</v>
      </c>
      <c r="B122" t="str">
        <f>+Hoja1!A119</f>
        <v>08661</v>
      </c>
      <c r="C122" s="66">
        <v>5955741</v>
      </c>
      <c r="D122" s="24">
        <f t="shared" si="3"/>
        <v>3997.1416107382552</v>
      </c>
      <c r="E122" s="50">
        <f t="shared" si="2"/>
        <v>1.0809820042019908E-3</v>
      </c>
      <c r="F122" s="51"/>
    </row>
    <row r="123" spans="1:6" ht="15.75" customHeight="1" x14ac:dyDescent="0.25">
      <c r="A123" t="s">
        <v>975</v>
      </c>
      <c r="B123" t="str">
        <f>+Hoja1!A120</f>
        <v>05137</v>
      </c>
      <c r="C123" s="66">
        <v>8349000</v>
      </c>
      <c r="D123" s="24">
        <f t="shared" si="3"/>
        <v>5603.3557046979868</v>
      </c>
      <c r="E123" s="50">
        <f t="shared" si="2"/>
        <v>1.515364545416334E-3</v>
      </c>
      <c r="F123" s="51"/>
    </row>
    <row r="124" spans="1:6" ht="15.75" customHeight="1" x14ac:dyDescent="0.25">
      <c r="A124" t="s">
        <v>303</v>
      </c>
      <c r="B124" t="str">
        <f>+Hoja1!A121</f>
        <v>09184</v>
      </c>
      <c r="C124" s="66">
        <v>4841301.3099999996</v>
      </c>
      <c r="D124" s="24">
        <f t="shared" si="3"/>
        <v>3249.1955100671139</v>
      </c>
      <c r="E124" s="50">
        <f t="shared" si="2"/>
        <v>8.7870839128657938E-4</v>
      </c>
      <c r="F124" s="51"/>
    </row>
    <row r="125" spans="1:6" ht="15.75" customHeight="1" x14ac:dyDescent="0.25">
      <c r="A125" t="s">
        <v>305</v>
      </c>
      <c r="B125" t="str">
        <f>+Hoja1!A122</f>
        <v>01451</v>
      </c>
      <c r="C125" s="66">
        <v>1881934.78</v>
      </c>
      <c r="D125" s="24">
        <f t="shared" si="3"/>
        <v>1263.0434765100672</v>
      </c>
      <c r="E125" s="50">
        <f t="shared" si="2"/>
        <v>3.4157590638374518E-4</v>
      </c>
      <c r="F125" s="51"/>
    </row>
    <row r="126" spans="1:6" ht="15.75" customHeight="1" x14ac:dyDescent="0.25">
      <c r="A126" t="s">
        <v>307</v>
      </c>
      <c r="B126" t="str">
        <f>+Hoja1!A123</f>
        <v>06070</v>
      </c>
      <c r="C126" s="66">
        <v>-387219.15</v>
      </c>
      <c r="D126" s="24">
        <f t="shared" si="3"/>
        <v>-259.87862416107384</v>
      </c>
      <c r="E126" s="50">
        <f t="shared" si="2"/>
        <v>-7.0281251792579855E-5</v>
      </c>
      <c r="F126" s="51"/>
    </row>
    <row r="127" spans="1:6" ht="15.75" customHeight="1" x14ac:dyDescent="0.25">
      <c r="A127" t="s">
        <v>309</v>
      </c>
      <c r="B127" t="str">
        <f>+Hoja1!A124</f>
        <v>08576</v>
      </c>
      <c r="C127" s="66">
        <v>4198186.96</v>
      </c>
      <c r="D127" s="24">
        <f t="shared" si="3"/>
        <v>2817.5751409395971</v>
      </c>
      <c r="E127" s="50">
        <f t="shared" si="2"/>
        <v>7.61981515656148E-4</v>
      </c>
      <c r="F127" s="51"/>
    </row>
    <row r="128" spans="1:6" ht="15.75" customHeight="1" x14ac:dyDescent="0.25">
      <c r="A128" t="s">
        <v>976</v>
      </c>
      <c r="B128" t="str">
        <f>+Hoja1!A125</f>
        <v>08190</v>
      </c>
      <c r="C128" s="66">
        <v>96345897.010000005</v>
      </c>
      <c r="D128" s="24">
        <f t="shared" si="3"/>
        <v>64661.67584563759</v>
      </c>
      <c r="E128" s="50">
        <f t="shared" si="2"/>
        <v>1.7487023167479649E-2</v>
      </c>
      <c r="F128" s="51"/>
    </row>
    <row r="129" spans="1:6" ht="15.75" customHeight="1" x14ac:dyDescent="0.25">
      <c r="A129" t="s">
        <v>313</v>
      </c>
      <c r="B129" t="str">
        <f>+Hoja1!A126</f>
        <v>04686</v>
      </c>
      <c r="C129" s="66">
        <v>5578493.6399999997</v>
      </c>
      <c r="D129" s="24">
        <f t="shared" si="3"/>
        <v>3743.9554630872481</v>
      </c>
      <c r="E129" s="50">
        <f t="shared" si="2"/>
        <v>1.0125106574304119E-3</v>
      </c>
      <c r="F129" s="51"/>
    </row>
    <row r="130" spans="1:6" ht="15.75" customHeight="1" x14ac:dyDescent="0.25">
      <c r="A130" t="s">
        <v>977</v>
      </c>
      <c r="B130" t="str">
        <f>+Hoja1!A127</f>
        <v>02968</v>
      </c>
      <c r="C130" s="66">
        <v>1224087.73</v>
      </c>
      <c r="D130" s="24">
        <f t="shared" si="3"/>
        <v>821.53538926174497</v>
      </c>
      <c r="E130" s="50">
        <f t="shared" si="2"/>
        <v>2.2217500856643456E-4</v>
      </c>
      <c r="F130" s="51"/>
    </row>
    <row r="131" spans="1:6" ht="15.75" customHeight="1" x14ac:dyDescent="0.25">
      <c r="A131" t="s">
        <v>813</v>
      </c>
      <c r="B131" t="str">
        <f>+Hoja1!A128</f>
        <v>01967</v>
      </c>
      <c r="C131" s="66">
        <v>456625.14</v>
      </c>
      <c r="D131" s="24">
        <f t="shared" si="3"/>
        <v>306.45982550335572</v>
      </c>
      <c r="E131" s="50">
        <f t="shared" si="2"/>
        <v>8.287861393002394E-5</v>
      </c>
      <c r="F131" s="51"/>
    </row>
    <row r="132" spans="1:6" ht="15.75" customHeight="1" x14ac:dyDescent="0.25">
      <c r="A132" t="s">
        <v>978</v>
      </c>
      <c r="B132" t="str">
        <f>+Hoja1!A129</f>
        <v>06767</v>
      </c>
      <c r="C132" s="66">
        <v>1400000</v>
      </c>
      <c r="D132" s="24">
        <f t="shared" si="3"/>
        <v>939.59731543624162</v>
      </c>
      <c r="E132" s="50">
        <f t="shared" si="2"/>
        <v>2.5410352899543268E-4</v>
      </c>
      <c r="F132" s="51"/>
    </row>
    <row r="133" spans="1:6" ht="15.75" customHeight="1" x14ac:dyDescent="0.25">
      <c r="A133" t="s">
        <v>979</v>
      </c>
      <c r="B133" t="str">
        <f>+Hoja1!A130</f>
        <v>01255</v>
      </c>
      <c r="C133" s="66">
        <v>150000</v>
      </c>
      <c r="D133" s="24">
        <f t="shared" si="3"/>
        <v>100.67114093959732</v>
      </c>
      <c r="E133" s="50">
        <f t="shared" ref="E133:E196" si="4">+D133/$D$302</f>
        <v>2.7225378106653501E-5</v>
      </c>
      <c r="F133" s="51"/>
    </row>
    <row r="134" spans="1:6" ht="15.75" customHeight="1" x14ac:dyDescent="0.25">
      <c r="A134" t="s">
        <v>980</v>
      </c>
      <c r="B134" t="str">
        <f>+Hoja1!A131</f>
        <v>06159</v>
      </c>
      <c r="C134" s="66">
        <v>833500</v>
      </c>
      <c r="D134" s="24">
        <f t="shared" ref="D134:D197" si="5">+C134/$D$3</f>
        <v>559.39597315436242</v>
      </c>
      <c r="E134" s="50">
        <f t="shared" si="4"/>
        <v>1.5128235101263796E-4</v>
      </c>
      <c r="F134" s="51"/>
    </row>
    <row r="135" spans="1:6" ht="15.75" customHeight="1" x14ac:dyDescent="0.25">
      <c r="A135" t="s">
        <v>315</v>
      </c>
      <c r="B135" t="str">
        <f>+Hoja1!A132</f>
        <v>07146</v>
      </c>
      <c r="C135" s="66">
        <v>395000</v>
      </c>
      <c r="D135" s="24">
        <f t="shared" si="5"/>
        <v>265.1006711409396</v>
      </c>
      <c r="E135" s="50">
        <f t="shared" si="4"/>
        <v>7.1693495680854224E-5</v>
      </c>
      <c r="F135" s="51"/>
    </row>
    <row r="136" spans="1:6" ht="15.75" customHeight="1" x14ac:dyDescent="0.25">
      <c r="A136" t="s">
        <v>317</v>
      </c>
      <c r="B136" t="str">
        <f>+Hoja1!A133</f>
        <v>08688</v>
      </c>
      <c r="C136" s="66">
        <v>695882.59</v>
      </c>
      <c r="D136" s="24">
        <f t="shared" si="5"/>
        <v>467.03529530201342</v>
      </c>
      <c r="E136" s="50">
        <f t="shared" si="4"/>
        <v>1.2630444420391556E-4</v>
      </c>
      <c r="F136" s="51"/>
    </row>
    <row r="137" spans="1:6" ht="15.75" customHeight="1" x14ac:dyDescent="0.25">
      <c r="A137" t="s">
        <v>981</v>
      </c>
      <c r="B137" t="str">
        <f>+Hoja1!A134</f>
        <v>07587</v>
      </c>
      <c r="C137" s="66">
        <v>142838.15</v>
      </c>
      <c r="D137" s="24">
        <f t="shared" si="5"/>
        <v>95.864530201342276</v>
      </c>
      <c r="E137" s="50">
        <f t="shared" si="4"/>
        <v>2.5925484278699258E-5</v>
      </c>
      <c r="F137" s="51"/>
    </row>
    <row r="138" spans="1:6" ht="15.75" customHeight="1" x14ac:dyDescent="0.25">
      <c r="A138" t="s">
        <v>319</v>
      </c>
      <c r="B138" t="str">
        <f>+Hoja1!A135</f>
        <v>03311</v>
      </c>
      <c r="C138" s="66">
        <v>7450722.7800000003</v>
      </c>
      <c r="D138" s="24">
        <f t="shared" si="5"/>
        <v>5000.4850872483221</v>
      </c>
      <c r="E138" s="50">
        <f t="shared" si="4"/>
        <v>1.3523249656890433E-3</v>
      </c>
      <c r="F138" s="51"/>
    </row>
    <row r="139" spans="1:6" ht="15.75" customHeight="1" x14ac:dyDescent="0.25">
      <c r="A139" t="s">
        <v>751</v>
      </c>
      <c r="B139" t="str">
        <f>+Hoja1!A136</f>
        <v>09359</v>
      </c>
      <c r="C139" s="66">
        <v>314744437.35000002</v>
      </c>
      <c r="D139" s="24">
        <f t="shared" si="5"/>
        <v>211237.8774161074</v>
      </c>
      <c r="E139" s="50">
        <f t="shared" si="4"/>
        <v>5.7126908758797765E-2</v>
      </c>
      <c r="F139" s="51"/>
    </row>
    <row r="140" spans="1:6" ht="15.75" customHeight="1" x14ac:dyDescent="0.25">
      <c r="A140" t="s">
        <v>982</v>
      </c>
      <c r="B140" t="str">
        <f>+Hoja1!A137</f>
        <v>08689</v>
      </c>
      <c r="C140" s="66">
        <v>1090727.3500000001</v>
      </c>
      <c r="D140" s="24">
        <f t="shared" si="5"/>
        <v>732.03177852348995</v>
      </c>
      <c r="E140" s="50">
        <f t="shared" si="4"/>
        <v>1.979697634334546E-4</v>
      </c>
      <c r="F140" s="51"/>
    </row>
    <row r="141" spans="1:6" ht="15.75" customHeight="1" x14ac:dyDescent="0.25">
      <c r="A141" t="s">
        <v>652</v>
      </c>
      <c r="B141" t="str">
        <f>+Hoja1!A138</f>
        <v>07734</v>
      </c>
      <c r="C141" s="66">
        <v>8993535.8100000005</v>
      </c>
      <c r="D141" s="24">
        <f t="shared" si="5"/>
        <v>6035.9300738255033</v>
      </c>
      <c r="E141" s="50">
        <f t="shared" si="4"/>
        <v>1.6323494196198551E-3</v>
      </c>
      <c r="F141" s="51"/>
    </row>
    <row r="142" spans="1:6" ht="15.75" customHeight="1" x14ac:dyDescent="0.25">
      <c r="A142" t="s">
        <v>504</v>
      </c>
      <c r="B142" t="str">
        <f>+Hoja1!A139</f>
        <v>03154</v>
      </c>
      <c r="C142" s="66">
        <v>4640043.9000000004</v>
      </c>
      <c r="D142" s="24">
        <f t="shared" si="5"/>
        <v>3114.1234228187923</v>
      </c>
      <c r="E142" s="50">
        <f t="shared" si="4"/>
        <v>8.4217966405980755E-4</v>
      </c>
      <c r="F142" s="51"/>
    </row>
    <row r="143" spans="1:6" ht="15.75" customHeight="1" x14ac:dyDescent="0.25">
      <c r="A143" t="s">
        <v>321</v>
      </c>
      <c r="B143" t="str">
        <f>+Hoja1!A140</f>
        <v>05350</v>
      </c>
      <c r="C143" s="66">
        <v>2049440.85</v>
      </c>
      <c r="D143" s="24">
        <f t="shared" si="5"/>
        <v>1375.4636577181209</v>
      </c>
      <c r="E143" s="50">
        <f t="shared" si="4"/>
        <v>3.719786803231423E-4</v>
      </c>
      <c r="F143" s="51"/>
    </row>
    <row r="144" spans="1:6" ht="15.75" customHeight="1" x14ac:dyDescent="0.25">
      <c r="A144" t="s">
        <v>983</v>
      </c>
      <c r="B144" t="str">
        <f>+Hoja1!A141</f>
        <v>07396</v>
      </c>
      <c r="C144" s="66">
        <v>5447000</v>
      </c>
      <c r="D144" s="24">
        <f t="shared" si="5"/>
        <v>3655.7046979865772</v>
      </c>
      <c r="E144" s="50">
        <f t="shared" si="4"/>
        <v>9.8864423031294417E-4</v>
      </c>
      <c r="F144" s="51"/>
    </row>
    <row r="145" spans="1:6" ht="15.75" customHeight="1" x14ac:dyDescent="0.25">
      <c r="A145" t="s">
        <v>323</v>
      </c>
      <c r="B145" t="str">
        <f>+Hoja1!A142</f>
        <v>07021</v>
      </c>
      <c r="C145" s="66">
        <v>3774241.93</v>
      </c>
      <c r="D145" s="24">
        <f t="shared" si="5"/>
        <v>2533.0482751677855</v>
      </c>
      <c r="E145" s="50">
        <f t="shared" si="4"/>
        <v>6.8503442406823783E-4</v>
      </c>
      <c r="F145" s="51"/>
    </row>
    <row r="146" spans="1:6" ht="15.75" customHeight="1" x14ac:dyDescent="0.25">
      <c r="A146" t="s">
        <v>325</v>
      </c>
      <c r="B146" t="str">
        <f>+Hoja1!A143</f>
        <v>09469</v>
      </c>
      <c r="C146" s="66">
        <v>-258135.9</v>
      </c>
      <c r="D146" s="24">
        <f t="shared" si="5"/>
        <v>-173.24557046979865</v>
      </c>
      <c r="E146" s="50">
        <f t="shared" si="4"/>
        <v>-4.6852316536008645E-5</v>
      </c>
      <c r="F146" s="51"/>
    </row>
    <row r="147" spans="1:6" ht="15.75" customHeight="1" x14ac:dyDescent="0.25">
      <c r="A147" t="s">
        <v>327</v>
      </c>
      <c r="B147" t="str">
        <f>+Hoja1!A144</f>
        <v>01874</v>
      </c>
      <c r="C147" s="66">
        <v>20805615.289999999</v>
      </c>
      <c r="D147" s="24">
        <f t="shared" si="5"/>
        <v>13963.500194630871</v>
      </c>
      <c r="E147" s="50">
        <f t="shared" si="4"/>
        <v>3.7762716200788085E-3</v>
      </c>
      <c r="F147" s="51"/>
    </row>
    <row r="148" spans="1:6" ht="15.75" customHeight="1" x14ac:dyDescent="0.25">
      <c r="A148" t="s">
        <v>984</v>
      </c>
      <c r="B148" t="str">
        <f>+Hoja1!A145</f>
        <v>05961</v>
      </c>
      <c r="C148" s="66">
        <v>63472</v>
      </c>
      <c r="D148" s="24">
        <f t="shared" si="5"/>
        <v>42.598657718120805</v>
      </c>
      <c r="E148" s="50">
        <f t="shared" si="4"/>
        <v>1.1520327994570074E-5</v>
      </c>
      <c r="F148" s="51"/>
    </row>
    <row r="149" spans="1:6" ht="15.75" customHeight="1" x14ac:dyDescent="0.25">
      <c r="A149" t="s">
        <v>874</v>
      </c>
      <c r="B149" t="str">
        <f>+Hoja1!A146</f>
        <v>04843</v>
      </c>
      <c r="C149" s="66">
        <v>1095627.3799999999</v>
      </c>
      <c r="D149" s="24">
        <f t="shared" si="5"/>
        <v>735.32038926174494</v>
      </c>
      <c r="E149" s="50">
        <f t="shared" si="4"/>
        <v>1.9885913123001423E-4</v>
      </c>
      <c r="F149" s="51"/>
    </row>
    <row r="150" spans="1:6" ht="15.75" customHeight="1" x14ac:dyDescent="0.25">
      <c r="A150" t="s">
        <v>331</v>
      </c>
      <c r="B150" t="str">
        <f>+Hoja1!A147</f>
        <v>00051</v>
      </c>
      <c r="C150" s="66">
        <v>88538261.290000007</v>
      </c>
      <c r="D150" s="24">
        <f t="shared" si="5"/>
        <v>59421.651872483228</v>
      </c>
      <c r="E150" s="50">
        <f t="shared" si="4"/>
        <v>1.6069917603506224E-2</v>
      </c>
      <c r="F150" s="51"/>
    </row>
    <row r="151" spans="1:6" ht="15.75" customHeight="1" x14ac:dyDescent="0.25">
      <c r="A151" t="s">
        <v>658</v>
      </c>
      <c r="B151" t="str">
        <f>+Hoja1!A148</f>
        <v>08704</v>
      </c>
      <c r="C151" s="66">
        <v>3345054.85</v>
      </c>
      <c r="D151" s="24">
        <f t="shared" si="5"/>
        <v>2245.0032550335573</v>
      </c>
      <c r="E151" s="50">
        <f t="shared" si="4"/>
        <v>6.0713588719163414E-4</v>
      </c>
      <c r="F151" s="51"/>
    </row>
    <row r="152" spans="1:6" ht="15.75" customHeight="1" x14ac:dyDescent="0.25">
      <c r="A152" t="s">
        <v>333</v>
      </c>
      <c r="B152" t="str">
        <f>+Hoja1!A149</f>
        <v>08706</v>
      </c>
      <c r="C152" s="66">
        <v>5896891</v>
      </c>
      <c r="D152" s="24">
        <f t="shared" si="5"/>
        <v>3957.6449664429529</v>
      </c>
      <c r="E152" s="50">
        <f t="shared" si="4"/>
        <v>1.0703005808581471E-3</v>
      </c>
      <c r="F152" s="51"/>
    </row>
    <row r="153" spans="1:6" ht="15.75" customHeight="1" x14ac:dyDescent="0.25">
      <c r="A153" t="s">
        <v>878</v>
      </c>
      <c r="B153" t="str">
        <f>+Hoja1!A150</f>
        <v>07378</v>
      </c>
      <c r="C153" s="66">
        <v>84431.97</v>
      </c>
      <c r="D153" s="24">
        <f t="shared" si="5"/>
        <v>56.665751677852349</v>
      </c>
      <c r="E153" s="50">
        <f t="shared" si="4"/>
        <v>1.5324615383597501E-5</v>
      </c>
      <c r="F153" s="51"/>
    </row>
    <row r="154" spans="1:6" ht="15.75" customHeight="1" x14ac:dyDescent="0.25">
      <c r="A154" t="s">
        <v>753</v>
      </c>
      <c r="B154" t="str">
        <f>+Hoja1!A151</f>
        <v>00030</v>
      </c>
      <c r="C154" s="66">
        <v>71091009</v>
      </c>
      <c r="D154" s="24">
        <f t="shared" si="5"/>
        <v>47712.08657718121</v>
      </c>
      <c r="E154" s="50">
        <f t="shared" si="4"/>
        <v>1.2903197333390046E-2</v>
      </c>
      <c r="F154" s="51"/>
    </row>
    <row r="155" spans="1:6" ht="15.75" customHeight="1" x14ac:dyDescent="0.25">
      <c r="A155" t="s">
        <v>985</v>
      </c>
      <c r="B155" t="str">
        <f>+Hoja1!A152</f>
        <v>05145</v>
      </c>
      <c r="C155" s="66">
        <v>286540.09999999998</v>
      </c>
      <c r="D155" s="24">
        <f t="shared" si="5"/>
        <v>192.3087919463087</v>
      </c>
      <c r="E155" s="50">
        <f t="shared" si="4"/>
        <v>5.200775043478869E-5</v>
      </c>
      <c r="F155" s="51"/>
    </row>
    <row r="156" spans="1:6" ht="15.75" customHeight="1" x14ac:dyDescent="0.25">
      <c r="A156" t="s">
        <v>755</v>
      </c>
      <c r="B156" t="str">
        <f>+Hoja1!A153</f>
        <v>07554</v>
      </c>
      <c r="C156" s="66">
        <v>440479.63</v>
      </c>
      <c r="D156" s="24">
        <f t="shared" si="5"/>
        <v>295.62391275167784</v>
      </c>
      <c r="E156" s="50">
        <f t="shared" si="4"/>
        <v>7.9948163166858891E-5</v>
      </c>
      <c r="F156" s="51"/>
    </row>
    <row r="157" spans="1:6" ht="15.75" customHeight="1" x14ac:dyDescent="0.25">
      <c r="A157" t="s">
        <v>337</v>
      </c>
      <c r="B157" t="str">
        <f>+Hoja1!A154</f>
        <v>07009</v>
      </c>
      <c r="C157" s="66">
        <v>-0.01</v>
      </c>
      <c r="D157" s="24">
        <f t="shared" si="5"/>
        <v>-6.7114093959731546E-6</v>
      </c>
      <c r="E157" s="50">
        <f t="shared" si="4"/>
        <v>-1.8150252071102336E-12</v>
      </c>
      <c r="F157" s="51"/>
    </row>
    <row r="158" spans="1:6" ht="15.75" customHeight="1" x14ac:dyDescent="0.25">
      <c r="A158" t="s">
        <v>339</v>
      </c>
      <c r="B158" t="str">
        <f>+Hoja1!A155</f>
        <v>09561</v>
      </c>
      <c r="C158" s="66">
        <v>56231617.07</v>
      </c>
      <c r="D158" s="24">
        <f t="shared" si="5"/>
        <v>37739.340315436239</v>
      </c>
      <c r="E158" s="50">
        <f t="shared" si="4"/>
        <v>1.0206180241862008E-2</v>
      </c>
      <c r="F158" s="51"/>
    </row>
    <row r="159" spans="1:6" ht="15.75" customHeight="1" x14ac:dyDescent="0.25">
      <c r="A159" t="s">
        <v>341</v>
      </c>
      <c r="B159" t="str">
        <f>+Hoja1!A156</f>
        <v>01900</v>
      </c>
      <c r="C159" s="66">
        <v>7062437.9000000004</v>
      </c>
      <c r="D159" s="24">
        <f t="shared" si="5"/>
        <v>4739.8912080536911</v>
      </c>
      <c r="E159" s="50">
        <f t="shared" si="4"/>
        <v>1.2818502812150662E-3</v>
      </c>
      <c r="F159" s="51"/>
    </row>
    <row r="160" spans="1:6" ht="15.75" customHeight="1" x14ac:dyDescent="0.25">
      <c r="A160" t="s">
        <v>882</v>
      </c>
      <c r="B160" t="str">
        <f>+Hoja1!A157</f>
        <v>03737</v>
      </c>
      <c r="C160" s="66">
        <v>610929</v>
      </c>
      <c r="D160" s="24">
        <f t="shared" si="5"/>
        <v>410.01946308724831</v>
      </c>
      <c r="E160" s="50">
        <f t="shared" si="4"/>
        <v>1.1088515347546478E-4</v>
      </c>
      <c r="F160" s="51"/>
    </row>
    <row r="161" spans="1:6" ht="15.75" customHeight="1" x14ac:dyDescent="0.25">
      <c r="A161" t="s">
        <v>343</v>
      </c>
      <c r="B161" t="str">
        <f>+Hoja1!A158</f>
        <v>01505</v>
      </c>
      <c r="C161" s="66">
        <v>130107415.37</v>
      </c>
      <c r="D161" s="24">
        <f t="shared" si="5"/>
        <v>87320.413</v>
      </c>
      <c r="E161" s="50">
        <f t="shared" si="4"/>
        <v>2.361482385285114E-2</v>
      </c>
      <c r="F161" s="51"/>
    </row>
    <row r="162" spans="1:6" ht="15.75" customHeight="1" x14ac:dyDescent="0.25">
      <c r="A162" t="s">
        <v>345</v>
      </c>
      <c r="B162" t="str">
        <f>+Hoja1!A159</f>
        <v>03632</v>
      </c>
      <c r="C162" s="66">
        <v>335045.59999999998</v>
      </c>
      <c r="D162" s="24">
        <f t="shared" si="5"/>
        <v>224.8628187919463</v>
      </c>
      <c r="E162" s="50">
        <f t="shared" si="4"/>
        <v>6.0811620953137241E-5</v>
      </c>
      <c r="F162" s="51"/>
    </row>
    <row r="163" spans="1:6" ht="15.75" customHeight="1" x14ac:dyDescent="0.25">
      <c r="A163" t="s">
        <v>347</v>
      </c>
      <c r="B163" t="str">
        <f>+Hoja1!A160</f>
        <v>08155</v>
      </c>
      <c r="C163" s="66">
        <v>1782642.4</v>
      </c>
      <c r="D163" s="24">
        <f t="shared" si="5"/>
        <v>1196.4042953020135</v>
      </c>
      <c r="E163" s="50">
        <f t="shared" si="4"/>
        <v>3.2355408912634838E-4</v>
      </c>
      <c r="F163" s="51"/>
    </row>
    <row r="164" spans="1:6" ht="15.75" customHeight="1" x14ac:dyDescent="0.25">
      <c r="A164" t="s">
        <v>986</v>
      </c>
      <c r="B164" t="str">
        <f>+Hoja1!A161</f>
        <v>07893</v>
      </c>
      <c r="C164" s="66">
        <v>17398550</v>
      </c>
      <c r="D164" s="24">
        <f t="shared" si="5"/>
        <v>11676.879194630872</v>
      </c>
      <c r="E164" s="50">
        <f t="shared" si="4"/>
        <v>3.1578806817167751E-3</v>
      </c>
      <c r="F164" s="51"/>
    </row>
    <row r="165" spans="1:6" ht="15.75" customHeight="1" x14ac:dyDescent="0.25">
      <c r="A165" t="s">
        <v>349</v>
      </c>
      <c r="B165" t="str">
        <f>+Hoja1!A162</f>
        <v>08582</v>
      </c>
      <c r="C165" s="66">
        <v>3400000</v>
      </c>
      <c r="D165" s="24">
        <f t="shared" si="5"/>
        <v>2281.8791946308725</v>
      </c>
      <c r="E165" s="50">
        <f t="shared" si="4"/>
        <v>6.1710857041747931E-4</v>
      </c>
      <c r="F165" s="51"/>
    </row>
    <row r="166" spans="1:6" ht="15.75" customHeight="1" x14ac:dyDescent="0.25">
      <c r="A166" t="s">
        <v>351</v>
      </c>
      <c r="B166" t="str">
        <f>+Hoja1!A163</f>
        <v>01412</v>
      </c>
      <c r="C166" s="66">
        <v>575158</v>
      </c>
      <c r="D166" s="24">
        <f t="shared" si="5"/>
        <v>386.01208053691278</v>
      </c>
      <c r="E166" s="50">
        <f t="shared" si="4"/>
        <v>1.0439262680711077E-4</v>
      </c>
      <c r="F166" s="51"/>
    </row>
    <row r="167" spans="1:6" ht="15.75" customHeight="1" x14ac:dyDescent="0.25">
      <c r="A167" t="s">
        <v>987</v>
      </c>
      <c r="B167" t="str">
        <f>+Hoja1!A164</f>
        <v>03772</v>
      </c>
      <c r="C167" s="66">
        <v>3787717.13</v>
      </c>
      <c r="D167" s="24">
        <f t="shared" si="5"/>
        <v>2542.0920335570468</v>
      </c>
      <c r="E167" s="50">
        <f t="shared" si="4"/>
        <v>6.8748020683532282E-4</v>
      </c>
      <c r="F167" s="51"/>
    </row>
    <row r="168" spans="1:6" ht="15.75" customHeight="1" x14ac:dyDescent="0.25">
      <c r="A168" t="s">
        <v>757</v>
      </c>
      <c r="B168" t="str">
        <f>+Hoja1!A165</f>
        <v>08925</v>
      </c>
      <c r="C168" s="66">
        <v>945362.97</v>
      </c>
      <c r="D168" s="24">
        <f t="shared" si="5"/>
        <v>634.47179194630871</v>
      </c>
      <c r="E168" s="50">
        <f t="shared" si="4"/>
        <v>1.7158576204185952E-4</v>
      </c>
      <c r="F168" s="51"/>
    </row>
    <row r="169" spans="1:6" ht="15.75" customHeight="1" x14ac:dyDescent="0.25">
      <c r="A169" t="s">
        <v>988</v>
      </c>
      <c r="B169" t="str">
        <f>+Hoja1!A166</f>
        <v>08246</v>
      </c>
      <c r="C169" s="66">
        <v>3180000</v>
      </c>
      <c r="D169" s="24">
        <f t="shared" si="5"/>
        <v>2134.2281879194629</v>
      </c>
      <c r="E169" s="50">
        <f t="shared" si="4"/>
        <v>5.7717801586105414E-4</v>
      </c>
      <c r="F169" s="51"/>
    </row>
    <row r="170" spans="1:6" ht="15.75" customHeight="1" x14ac:dyDescent="0.25">
      <c r="A170" t="s">
        <v>989</v>
      </c>
      <c r="B170" t="str">
        <f>+Hoja1!A167</f>
        <v>07240</v>
      </c>
      <c r="C170" s="66">
        <v>22506000</v>
      </c>
      <c r="D170" s="24">
        <f t="shared" si="5"/>
        <v>15104.697986577181</v>
      </c>
      <c r="E170" s="50">
        <f t="shared" si="4"/>
        <v>4.084895731122291E-3</v>
      </c>
      <c r="F170" s="51"/>
    </row>
    <row r="171" spans="1:6" ht="15.75" customHeight="1" x14ac:dyDescent="0.25">
      <c r="A171" t="s">
        <v>353</v>
      </c>
      <c r="B171" t="str">
        <f>+Hoja1!A168</f>
        <v>07968</v>
      </c>
      <c r="C171" s="66">
        <v>6759600</v>
      </c>
      <c r="D171" s="24">
        <f t="shared" si="5"/>
        <v>4536.6442953020132</v>
      </c>
      <c r="E171" s="50">
        <f t="shared" si="4"/>
        <v>1.2268844389982333E-3</v>
      </c>
      <c r="F171" s="51"/>
    </row>
    <row r="172" spans="1:6" ht="15.75" customHeight="1" x14ac:dyDescent="0.25">
      <c r="A172" t="s">
        <v>819</v>
      </c>
      <c r="B172" t="str">
        <f>+Hoja1!A169</f>
        <v>00025</v>
      </c>
      <c r="C172" s="66">
        <v>42840</v>
      </c>
      <c r="D172" s="24">
        <f t="shared" si="5"/>
        <v>28.751677852348994</v>
      </c>
      <c r="E172" s="50">
        <f t="shared" si="4"/>
        <v>7.7755679872602396E-6</v>
      </c>
      <c r="F172" s="51"/>
    </row>
    <row r="173" spans="1:6" ht="15.75" customHeight="1" x14ac:dyDescent="0.25">
      <c r="A173" t="s">
        <v>355</v>
      </c>
      <c r="B173" t="str">
        <f>+Hoja1!A170</f>
        <v>08045</v>
      </c>
      <c r="C173" s="66">
        <v>4528301.76</v>
      </c>
      <c r="D173" s="24">
        <f t="shared" si="5"/>
        <v>3039.1286979865772</v>
      </c>
      <c r="E173" s="50">
        <f t="shared" si="4"/>
        <v>8.218981839801634E-4</v>
      </c>
      <c r="F173" s="51"/>
    </row>
    <row r="174" spans="1:6" ht="15.75" customHeight="1" x14ac:dyDescent="0.25">
      <c r="A174" t="s">
        <v>357</v>
      </c>
      <c r="B174" t="str">
        <f>+Hoja1!A171</f>
        <v>06005</v>
      </c>
      <c r="C174" s="66">
        <v>21336665.68</v>
      </c>
      <c r="D174" s="24">
        <f t="shared" si="5"/>
        <v>14319.909852348994</v>
      </c>
      <c r="E174" s="50">
        <f t="shared" si="4"/>
        <v>3.872658604488381E-3</v>
      </c>
      <c r="F174" s="51"/>
    </row>
    <row r="175" spans="1:6" ht="15.75" customHeight="1" x14ac:dyDescent="0.25">
      <c r="A175" t="s">
        <v>359</v>
      </c>
      <c r="B175" t="str">
        <f>+Hoja1!A172</f>
        <v>01566</v>
      </c>
      <c r="C175" s="66">
        <v>8585960.0899999999</v>
      </c>
      <c r="D175" s="24">
        <f t="shared" si="5"/>
        <v>5762.389322147651</v>
      </c>
      <c r="E175" s="50">
        <f t="shared" si="4"/>
        <v>1.5583733990592449E-3</v>
      </c>
      <c r="F175" s="51"/>
    </row>
    <row r="176" spans="1:6" ht="15.75" customHeight="1" x14ac:dyDescent="0.25">
      <c r="A176" t="s">
        <v>990</v>
      </c>
      <c r="B176" t="str">
        <f>+Hoja1!A173</f>
        <v>04312</v>
      </c>
      <c r="C176" s="66">
        <v>1400000</v>
      </c>
      <c r="D176" s="24">
        <f t="shared" si="5"/>
        <v>939.59731543624162</v>
      </c>
      <c r="E176" s="50">
        <f t="shared" si="4"/>
        <v>2.5410352899543268E-4</v>
      </c>
      <c r="F176" s="51"/>
    </row>
    <row r="177" spans="1:6" ht="15.75" customHeight="1" x14ac:dyDescent="0.25">
      <c r="A177" t="s">
        <v>991</v>
      </c>
      <c r="B177" t="str">
        <f>+Hoja1!A174</f>
        <v>01925</v>
      </c>
      <c r="C177" s="66">
        <v>216400</v>
      </c>
      <c r="D177" s="24">
        <f t="shared" si="5"/>
        <v>145.23489932885906</v>
      </c>
      <c r="E177" s="50">
        <f t="shared" si="4"/>
        <v>3.927714548186545E-5</v>
      </c>
      <c r="F177" s="51"/>
    </row>
    <row r="178" spans="1:6" ht="15.75" customHeight="1" x14ac:dyDescent="0.25">
      <c r="A178" t="s">
        <v>361</v>
      </c>
      <c r="B178" t="str">
        <f>+Hoja1!A175</f>
        <v>00612</v>
      </c>
      <c r="C178" s="66">
        <v>11818295.220000001</v>
      </c>
      <c r="D178" s="24">
        <f t="shared" si="5"/>
        <v>7931.741758389262</v>
      </c>
      <c r="E178" s="50">
        <f t="shared" si="4"/>
        <v>2.1450503729370384E-3</v>
      </c>
      <c r="F178" s="51"/>
    </row>
    <row r="179" spans="1:6" ht="15.75" customHeight="1" x14ac:dyDescent="0.25">
      <c r="A179" t="s">
        <v>363</v>
      </c>
      <c r="B179" t="str">
        <f>+Hoja1!A176</f>
        <v>09003</v>
      </c>
      <c r="C179" s="66">
        <v>162383264.11000001</v>
      </c>
      <c r="D179" s="24">
        <f t="shared" si="5"/>
        <v>108982.05644966444</v>
      </c>
      <c r="E179" s="50">
        <f t="shared" si="4"/>
        <v>2.9472971757248851E-2</v>
      </c>
      <c r="F179" s="51"/>
    </row>
    <row r="180" spans="1:6" ht="15.75" customHeight="1" x14ac:dyDescent="0.25">
      <c r="A180" t="s">
        <v>365</v>
      </c>
      <c r="B180" t="str">
        <f>+Hoja1!A177</f>
        <v>06810</v>
      </c>
      <c r="C180" s="66">
        <v>346108.6</v>
      </c>
      <c r="D180" s="24">
        <f t="shared" si="5"/>
        <v>232.2876510067114</v>
      </c>
      <c r="E180" s="50">
        <f t="shared" si="4"/>
        <v>6.281958333976329E-5</v>
      </c>
      <c r="F180" s="51"/>
    </row>
    <row r="181" spans="1:6" ht="15.75" customHeight="1" x14ac:dyDescent="0.25">
      <c r="A181" t="s">
        <v>992</v>
      </c>
      <c r="B181" t="str">
        <f>+Hoja1!A178</f>
        <v>02641</v>
      </c>
      <c r="C181" s="66">
        <v>2116290</v>
      </c>
      <c r="D181" s="24">
        <f t="shared" si="5"/>
        <v>1420.3288590604027</v>
      </c>
      <c r="E181" s="50">
        <f t="shared" si="4"/>
        <v>3.8411196955553159E-4</v>
      </c>
      <c r="F181" s="51"/>
    </row>
    <row r="182" spans="1:6" ht="15.75" customHeight="1" x14ac:dyDescent="0.25">
      <c r="A182" t="s">
        <v>367</v>
      </c>
      <c r="B182" t="str">
        <f>+Hoja1!A179</f>
        <v>07616</v>
      </c>
      <c r="C182" s="66">
        <v>112342938.5</v>
      </c>
      <c r="D182" s="24">
        <f t="shared" si="5"/>
        <v>75397.945302013424</v>
      </c>
      <c r="E182" s="50">
        <f t="shared" si="4"/>
        <v>2.0390526521833471E-2</v>
      </c>
      <c r="F182" s="51"/>
    </row>
    <row r="183" spans="1:6" ht="15.75" customHeight="1" x14ac:dyDescent="0.25">
      <c r="A183" t="s">
        <v>763</v>
      </c>
      <c r="B183" t="str">
        <f>+Hoja1!A180</f>
        <v>05368</v>
      </c>
      <c r="C183" s="66">
        <v>41602918.5</v>
      </c>
      <c r="D183" s="24">
        <f t="shared" si="5"/>
        <v>27921.421812080538</v>
      </c>
      <c r="E183" s="50">
        <f t="shared" si="4"/>
        <v>7.5510345766852663E-3</v>
      </c>
      <c r="F183" s="51"/>
    </row>
    <row r="184" spans="1:6" ht="15.75" customHeight="1" x14ac:dyDescent="0.25">
      <c r="A184" t="s">
        <v>821</v>
      </c>
      <c r="B184" t="str">
        <f>+Hoja1!A181</f>
        <v>03757</v>
      </c>
      <c r="C184" s="66">
        <v>3485163</v>
      </c>
      <c r="D184" s="24">
        <f t="shared" si="5"/>
        <v>2339.0355704697986</v>
      </c>
      <c r="E184" s="50">
        <f t="shared" si="4"/>
        <v>6.3256586958879222E-4</v>
      </c>
      <c r="F184" s="51"/>
    </row>
    <row r="185" spans="1:6" ht="15.75" customHeight="1" x14ac:dyDescent="0.25">
      <c r="A185" t="s">
        <v>892</v>
      </c>
      <c r="B185" t="str">
        <f>+Hoja1!A182</f>
        <v>06832</v>
      </c>
      <c r="C185" s="66">
        <v>186408697.12</v>
      </c>
      <c r="D185" s="24">
        <f t="shared" si="5"/>
        <v>125106.50813422819</v>
      </c>
      <c r="E185" s="50">
        <f t="shared" si="4"/>
        <v>3.3833648409737675E-2</v>
      </c>
      <c r="F185" s="51"/>
    </row>
    <row r="186" spans="1:6" ht="15.75" customHeight="1" x14ac:dyDescent="0.25">
      <c r="A186" t="s">
        <v>373</v>
      </c>
      <c r="B186" t="str">
        <f>+Hoja1!A183</f>
        <v>08887</v>
      </c>
      <c r="C186" s="66">
        <v>111310055.8</v>
      </c>
      <c r="D186" s="24">
        <f t="shared" si="5"/>
        <v>74704.735436241608</v>
      </c>
      <c r="E186" s="50">
        <f t="shared" si="4"/>
        <v>2.0203055708184665E-2</v>
      </c>
      <c r="F186" s="51"/>
    </row>
    <row r="187" spans="1:6" ht="15.75" customHeight="1" x14ac:dyDescent="0.25">
      <c r="A187" t="s">
        <v>377</v>
      </c>
      <c r="B187" t="str">
        <f>+Hoja1!A184</f>
        <v>06006</v>
      </c>
      <c r="C187" s="66">
        <v>1638000</v>
      </c>
      <c r="D187" s="24">
        <f t="shared" si="5"/>
        <v>1099.3288590604027</v>
      </c>
      <c r="E187" s="50">
        <f t="shared" si="4"/>
        <v>2.9730112892465625E-4</v>
      </c>
      <c r="F187" s="51"/>
    </row>
    <row r="188" spans="1:6" ht="15.75" customHeight="1" x14ac:dyDescent="0.25">
      <c r="A188" t="s">
        <v>379</v>
      </c>
      <c r="B188" t="str">
        <f>+Hoja1!A185</f>
        <v>06899</v>
      </c>
      <c r="C188" s="66">
        <v>58760</v>
      </c>
      <c r="D188" s="24">
        <f t="shared" si="5"/>
        <v>39.436241610738257</v>
      </c>
      <c r="E188" s="50">
        <f t="shared" si="4"/>
        <v>1.0665088116979732E-5</v>
      </c>
      <c r="F188" s="51"/>
    </row>
    <row r="189" spans="1:6" ht="15.75" customHeight="1" x14ac:dyDescent="0.25">
      <c r="A189" t="s">
        <v>993</v>
      </c>
      <c r="B189" t="str">
        <f>+Hoja1!A186</f>
        <v>07248</v>
      </c>
      <c r="C189" s="66">
        <v>500000</v>
      </c>
      <c r="D189" s="24">
        <f t="shared" si="5"/>
        <v>335.57046979865771</v>
      </c>
      <c r="E189" s="50">
        <f t="shared" si="4"/>
        <v>9.0751260355511671E-5</v>
      </c>
      <c r="F189" s="51"/>
    </row>
    <row r="190" spans="1:6" ht="15.75" customHeight="1" x14ac:dyDescent="0.25">
      <c r="A190" t="s">
        <v>381</v>
      </c>
      <c r="B190" t="str">
        <f>+Hoja1!A187</f>
        <v>08705</v>
      </c>
      <c r="C190" s="66">
        <v>0.01</v>
      </c>
      <c r="D190" s="24">
        <f t="shared" si="5"/>
        <v>6.7114093959731546E-6</v>
      </c>
      <c r="E190" s="50">
        <f t="shared" si="4"/>
        <v>1.8150252071102336E-12</v>
      </c>
      <c r="F190" s="51"/>
    </row>
    <row r="191" spans="1:6" ht="15.75" customHeight="1" x14ac:dyDescent="0.25">
      <c r="A191" t="s">
        <v>508</v>
      </c>
      <c r="B191" t="str">
        <f>+Hoja1!A188</f>
        <v>09408</v>
      </c>
      <c r="C191" s="66">
        <v>8589827.7899999991</v>
      </c>
      <c r="D191" s="24">
        <f t="shared" si="5"/>
        <v>5764.9850939597309</v>
      </c>
      <c r="E191" s="50">
        <f t="shared" si="4"/>
        <v>1.5590753963585988E-3</v>
      </c>
      <c r="F191" s="51"/>
    </row>
    <row r="192" spans="1:6" ht="15.75" customHeight="1" x14ac:dyDescent="0.25">
      <c r="A192" t="s">
        <v>383</v>
      </c>
      <c r="B192" t="str">
        <f>+Hoja1!A189</f>
        <v>03124</v>
      </c>
      <c r="C192" s="66">
        <v>24741167.370000001</v>
      </c>
      <c r="D192" s="24">
        <f t="shared" si="5"/>
        <v>16604.810315436243</v>
      </c>
      <c r="E192" s="50">
        <f t="shared" si="4"/>
        <v>4.4905842429883202E-3</v>
      </c>
      <c r="F192" s="51"/>
    </row>
    <row r="193" spans="1:6" ht="15.75" customHeight="1" x14ac:dyDescent="0.25">
      <c r="A193" t="s">
        <v>994</v>
      </c>
      <c r="B193" t="str">
        <f>+Hoja1!A190</f>
        <v>06121</v>
      </c>
      <c r="C193" s="66">
        <v>833250.81</v>
      </c>
      <c r="D193" s="24">
        <f t="shared" si="5"/>
        <v>559.22873154362424</v>
      </c>
      <c r="E193" s="50">
        <f t="shared" si="4"/>
        <v>1.5123712239950199E-4</v>
      </c>
      <c r="F193" s="51"/>
    </row>
    <row r="194" spans="1:6" ht="15.75" customHeight="1" x14ac:dyDescent="0.25">
      <c r="A194" t="s">
        <v>385</v>
      </c>
      <c r="B194" t="str">
        <f>+Hoja1!A191</f>
        <v>05410</v>
      </c>
      <c r="C194" s="66">
        <v>118416937.09999999</v>
      </c>
      <c r="D194" s="24">
        <f t="shared" si="5"/>
        <v>79474.454429530204</v>
      </c>
      <c r="E194" s="50">
        <f t="shared" si="4"/>
        <v>2.14929725785287E-2</v>
      </c>
      <c r="F194" s="51"/>
    </row>
    <row r="195" spans="1:6" ht="15.75" customHeight="1" x14ac:dyDescent="0.25">
      <c r="A195" t="s">
        <v>995</v>
      </c>
      <c r="B195" t="str">
        <f>+Hoja1!A192</f>
        <v>06923</v>
      </c>
      <c r="C195" s="66">
        <v>12374777.550000001</v>
      </c>
      <c r="D195" s="24">
        <f t="shared" si="5"/>
        <v>8305.2198322147651</v>
      </c>
      <c r="E195" s="50">
        <f t="shared" si="4"/>
        <v>2.2460533185631815E-3</v>
      </c>
      <c r="F195" s="51"/>
    </row>
    <row r="196" spans="1:6" ht="15.75" customHeight="1" x14ac:dyDescent="0.25">
      <c r="A196" t="s">
        <v>767</v>
      </c>
      <c r="B196" t="str">
        <f>+Hoja1!A193</f>
        <v>01573</v>
      </c>
      <c r="C196" s="66">
        <v>460000.26</v>
      </c>
      <c r="D196" s="24">
        <f t="shared" si="5"/>
        <v>308.72500671140938</v>
      </c>
      <c r="E196" s="50">
        <f t="shared" si="4"/>
        <v>8.3491206717726111E-5</v>
      </c>
      <c r="F196" s="51"/>
    </row>
    <row r="197" spans="1:6" ht="15.75" customHeight="1" x14ac:dyDescent="0.25">
      <c r="A197" t="s">
        <v>387</v>
      </c>
      <c r="B197" t="str">
        <f>+Hoja1!A194</f>
        <v>08373</v>
      </c>
      <c r="C197" s="66">
        <v>5859325.2999999998</v>
      </c>
      <c r="D197" s="24">
        <f t="shared" si="5"/>
        <v>3932.433087248322</v>
      </c>
      <c r="E197" s="50">
        <f t="shared" ref="E197:E260" si="6">+D197/$D$302</f>
        <v>1.063482311615873E-3</v>
      </c>
      <c r="F197" s="51"/>
    </row>
    <row r="198" spans="1:6" ht="15.75" customHeight="1" x14ac:dyDescent="0.25">
      <c r="A198" t="s">
        <v>996</v>
      </c>
      <c r="B198" t="str">
        <f>+Hoja1!A195</f>
        <v>08977</v>
      </c>
      <c r="C198" s="66">
        <v>14683017.25</v>
      </c>
      <c r="D198" s="24">
        <f t="shared" ref="D198:D261" si="7">+C198/$D$3</f>
        <v>9854.373993288591</v>
      </c>
      <c r="E198" s="50">
        <f t="shared" si="6"/>
        <v>2.6650046425184381E-3</v>
      </c>
      <c r="F198" s="51"/>
    </row>
    <row r="199" spans="1:6" ht="15.75" customHeight="1" x14ac:dyDescent="0.25">
      <c r="A199" t="s">
        <v>389</v>
      </c>
      <c r="B199" t="str">
        <f>+Hoja1!A196</f>
        <v>04900</v>
      </c>
      <c r="C199" s="66">
        <v>13351649.470000001</v>
      </c>
      <c r="D199" s="24">
        <f t="shared" si="7"/>
        <v>8960.8385704697994</v>
      </c>
      <c r="E199" s="50">
        <f t="shared" si="6"/>
        <v>2.4233580344549992E-3</v>
      </c>
      <c r="F199" s="51"/>
    </row>
    <row r="200" spans="1:6" ht="15.75" customHeight="1" x14ac:dyDescent="0.25">
      <c r="A200" t="s">
        <v>391</v>
      </c>
      <c r="B200" t="str">
        <f>+Hoja1!A197</f>
        <v>05399</v>
      </c>
      <c r="C200" s="66">
        <v>1727575</v>
      </c>
      <c r="D200" s="24">
        <f t="shared" si="7"/>
        <v>1159.4463087248323</v>
      </c>
      <c r="E200" s="50">
        <f t="shared" si="6"/>
        <v>3.135592172173462E-4</v>
      </c>
      <c r="F200" s="51"/>
    </row>
    <row r="201" spans="1:6" ht="15.75" customHeight="1" x14ac:dyDescent="0.25">
      <c r="A201" t="s">
        <v>997</v>
      </c>
      <c r="B201" t="str">
        <f>+Hoja1!A198</f>
        <v>06109</v>
      </c>
      <c r="C201" s="66">
        <v>2672760.4</v>
      </c>
      <c r="D201" s="24">
        <f t="shared" si="7"/>
        <v>1793.7989261744965</v>
      </c>
      <c r="E201" s="50">
        <f t="shared" si="6"/>
        <v>4.8511274985660297E-4</v>
      </c>
      <c r="F201" s="51"/>
    </row>
    <row r="202" spans="1:6" ht="15.75" customHeight="1" x14ac:dyDescent="0.25">
      <c r="A202" t="s">
        <v>393</v>
      </c>
      <c r="B202" t="str">
        <f>+Hoja1!A199</f>
        <v>09594</v>
      </c>
      <c r="C202" s="66">
        <v>48223461.18</v>
      </c>
      <c r="D202" s="24">
        <f t="shared" si="7"/>
        <v>32364.739046979867</v>
      </c>
      <c r="E202" s="50">
        <f t="shared" si="6"/>
        <v>8.7526797615801802E-3</v>
      </c>
      <c r="F202" s="51"/>
    </row>
    <row r="203" spans="1:6" ht="15.75" customHeight="1" x14ac:dyDescent="0.25">
      <c r="A203" t="s">
        <v>998</v>
      </c>
      <c r="B203" t="str">
        <f>+Hoja1!A200</f>
        <v>07457</v>
      </c>
      <c r="C203" s="66">
        <v>1278000</v>
      </c>
      <c r="D203" s="24">
        <f t="shared" si="7"/>
        <v>857.71812080536915</v>
      </c>
      <c r="E203" s="50">
        <f t="shared" si="6"/>
        <v>2.3196022146868784E-4</v>
      </c>
      <c r="F203" s="51"/>
    </row>
    <row r="204" spans="1:6" ht="15.75" customHeight="1" x14ac:dyDescent="0.25">
      <c r="A204" t="s">
        <v>999</v>
      </c>
      <c r="B204" t="str">
        <f>+Hoja1!A201</f>
        <v>05838</v>
      </c>
      <c r="C204" s="66">
        <v>12351270.9</v>
      </c>
      <c r="D204" s="24">
        <f t="shared" si="7"/>
        <v>8289.4435570469795</v>
      </c>
      <c r="E204" s="50">
        <f t="shared" si="6"/>
        <v>2.2417868023347099E-3</v>
      </c>
      <c r="F204" s="51"/>
    </row>
    <row r="205" spans="1:6" ht="15.75" customHeight="1" x14ac:dyDescent="0.25">
      <c r="A205" t="s">
        <v>395</v>
      </c>
      <c r="B205" t="str">
        <f>+Hoja1!A202</f>
        <v>00317</v>
      </c>
      <c r="C205" s="66">
        <v>20987339.789999999</v>
      </c>
      <c r="D205" s="24">
        <f t="shared" si="7"/>
        <v>14085.462946308724</v>
      </c>
      <c r="E205" s="50">
        <f t="shared" si="6"/>
        <v>3.8092550749037591E-3</v>
      </c>
      <c r="F205" s="51"/>
    </row>
    <row r="206" spans="1:6" ht="15.75" customHeight="1" x14ac:dyDescent="0.25">
      <c r="A206" t="s">
        <v>397</v>
      </c>
      <c r="B206" t="str">
        <f>+Hoja1!A203</f>
        <v>05770</v>
      </c>
      <c r="C206" s="66">
        <v>8672310.1099999994</v>
      </c>
      <c r="D206" s="24">
        <f t="shared" si="7"/>
        <v>5820.3423557046972</v>
      </c>
      <c r="E206" s="50">
        <f t="shared" si="6"/>
        <v>1.5740461453526919E-3</v>
      </c>
      <c r="F206" s="51"/>
    </row>
    <row r="207" spans="1:6" ht="15.75" customHeight="1" x14ac:dyDescent="0.25">
      <c r="A207" t="s">
        <v>399</v>
      </c>
      <c r="B207" t="str">
        <f>+Hoja1!A204</f>
        <v>09598</v>
      </c>
      <c r="C207" s="66">
        <v>-2698.26</v>
      </c>
      <c r="D207" s="24">
        <f t="shared" si="7"/>
        <v>-1.8109127516778525</v>
      </c>
      <c r="E207" s="50">
        <f t="shared" si="6"/>
        <v>-4.8974099153372593E-7</v>
      </c>
      <c r="F207" s="51"/>
    </row>
    <row r="208" spans="1:6" ht="15.75" customHeight="1" x14ac:dyDescent="0.25">
      <c r="A208" t="s">
        <v>1000</v>
      </c>
      <c r="B208" t="str">
        <f>+Hoja1!A205</f>
        <v>08999</v>
      </c>
      <c r="C208" s="66">
        <v>1346995</v>
      </c>
      <c r="D208" s="24">
        <f t="shared" si="7"/>
        <v>904.02348993288592</v>
      </c>
      <c r="E208" s="50">
        <f t="shared" si="6"/>
        <v>2.4448298788514491E-4</v>
      </c>
      <c r="F208" s="51"/>
    </row>
    <row r="209" spans="1:6" ht="15.75" customHeight="1" x14ac:dyDescent="0.25">
      <c r="A209" t="s">
        <v>1001</v>
      </c>
      <c r="B209" t="str">
        <f>+Hoja1!A206</f>
        <v>05899</v>
      </c>
      <c r="C209" s="66">
        <v>8400283.6799999997</v>
      </c>
      <c r="D209" s="24">
        <f t="shared" si="7"/>
        <v>5637.7742818791949</v>
      </c>
      <c r="E209" s="50">
        <f t="shared" si="6"/>
        <v>1.5246726626076713E-3</v>
      </c>
      <c r="F209" s="51"/>
    </row>
    <row r="210" spans="1:6" ht="15.75" customHeight="1" x14ac:dyDescent="0.25">
      <c r="A210" t="s">
        <v>771</v>
      </c>
      <c r="B210" t="str">
        <f>+Hoja1!A207</f>
        <v>06957</v>
      </c>
      <c r="C210" s="66">
        <v>42096800</v>
      </c>
      <c r="D210" s="24">
        <f t="shared" si="7"/>
        <v>28252.885906040268</v>
      </c>
      <c r="E210" s="50">
        <f t="shared" si="6"/>
        <v>7.6406753138678072E-3</v>
      </c>
      <c r="F210" s="51"/>
    </row>
    <row r="211" spans="1:6" ht="15.75" customHeight="1" x14ac:dyDescent="0.25">
      <c r="A211" t="s">
        <v>1002</v>
      </c>
      <c r="B211" t="str">
        <f>+Hoja1!A208</f>
        <v>06216</v>
      </c>
      <c r="C211" s="66">
        <v>24470437.420000002</v>
      </c>
      <c r="D211" s="24">
        <f t="shared" si="7"/>
        <v>16423.112362416108</v>
      </c>
      <c r="E211" s="50">
        <f t="shared" si="6"/>
        <v>4.4414460746313505E-3</v>
      </c>
      <c r="F211" s="51"/>
    </row>
    <row r="212" spans="1:6" ht="15.75" customHeight="1" x14ac:dyDescent="0.25">
      <c r="A212" t="s">
        <v>898</v>
      </c>
      <c r="B212" t="str">
        <f>+Hoja1!A209</f>
        <v>07301</v>
      </c>
      <c r="C212" s="66">
        <v>16552800</v>
      </c>
      <c r="D212" s="24">
        <f t="shared" si="7"/>
        <v>11109.261744966443</v>
      </c>
      <c r="E212" s="50">
        <f t="shared" si="6"/>
        <v>3.0043749248254274E-3</v>
      </c>
      <c r="F212" s="51"/>
    </row>
    <row r="213" spans="1:6" ht="15.75" customHeight="1" x14ac:dyDescent="0.25">
      <c r="A213" t="s">
        <v>1003</v>
      </c>
      <c r="B213" t="str">
        <f>+Hoja1!A210</f>
        <v>09074</v>
      </c>
      <c r="C213" s="66">
        <v>7873466.1699999999</v>
      </c>
      <c r="D213" s="24">
        <f t="shared" si="7"/>
        <v>5284.2054832214762</v>
      </c>
      <c r="E213" s="50">
        <f t="shared" si="6"/>
        <v>1.4290539565879666E-3</v>
      </c>
      <c r="F213" s="51"/>
    </row>
    <row r="214" spans="1:6" ht="15.75" customHeight="1" x14ac:dyDescent="0.25">
      <c r="A214" t="s">
        <v>510</v>
      </c>
      <c r="B214" t="str">
        <f>+Hoja1!A211</f>
        <v>06777</v>
      </c>
      <c r="C214" s="66">
        <v>3932500</v>
      </c>
      <c r="D214" s="24">
        <f t="shared" si="7"/>
        <v>2639.2617449664431</v>
      </c>
      <c r="E214" s="50">
        <f t="shared" si="6"/>
        <v>7.1375866269609927E-4</v>
      </c>
      <c r="F214" s="51"/>
    </row>
    <row r="215" spans="1:6" ht="15.75" customHeight="1" x14ac:dyDescent="0.25">
      <c r="A215" t="s">
        <v>775</v>
      </c>
      <c r="B215" t="str">
        <f>+Hoja1!A212</f>
        <v>05096</v>
      </c>
      <c r="C215" s="66">
        <v>3316859.3</v>
      </c>
      <c r="D215" s="24">
        <f t="shared" si="7"/>
        <v>2226.0800671140937</v>
      </c>
      <c r="E215" s="50">
        <f t="shared" si="6"/>
        <v>6.0201832379380032E-4</v>
      </c>
      <c r="F215" s="51"/>
    </row>
    <row r="216" spans="1:6" ht="15.75" customHeight="1" x14ac:dyDescent="0.25">
      <c r="A216" t="s">
        <v>401</v>
      </c>
      <c r="B216" t="str">
        <f>+Hoja1!A213</f>
        <v>03143</v>
      </c>
      <c r="C216" s="66">
        <v>8188703.5</v>
      </c>
      <c r="D216" s="24">
        <f t="shared" si="7"/>
        <v>5495.7741610738258</v>
      </c>
      <c r="E216" s="50">
        <f t="shared" si="6"/>
        <v>1.4862703266051794E-3</v>
      </c>
      <c r="F216" s="51"/>
    </row>
    <row r="217" spans="1:6" ht="15.75" customHeight="1" x14ac:dyDescent="0.25">
      <c r="A217" t="s">
        <v>904</v>
      </c>
      <c r="B217" t="str">
        <f>+Hoja1!A214</f>
        <v>05412</v>
      </c>
      <c r="C217" s="66">
        <v>286773861.88</v>
      </c>
      <c r="D217" s="24">
        <f t="shared" si="7"/>
        <v>192465.67911409395</v>
      </c>
      <c r="E217" s="50">
        <f t="shared" si="6"/>
        <v>5.2050178805254844E-2</v>
      </c>
      <c r="F217" s="51"/>
    </row>
    <row r="218" spans="1:6" ht="15.75" customHeight="1" x14ac:dyDescent="0.25">
      <c r="A218" t="s">
        <v>1004</v>
      </c>
      <c r="B218" t="str">
        <f>+Hoja1!A215</f>
        <v>03820</v>
      </c>
      <c r="C218" s="66">
        <v>1000000</v>
      </c>
      <c r="D218" s="24">
        <f t="shared" si="7"/>
        <v>671.14093959731542</v>
      </c>
      <c r="E218" s="50">
        <f t="shared" si="6"/>
        <v>1.8150252071102334E-4</v>
      </c>
      <c r="F218" s="51"/>
    </row>
    <row r="219" spans="1:6" ht="15.75" customHeight="1" x14ac:dyDescent="0.25">
      <c r="A219" t="s">
        <v>1005</v>
      </c>
      <c r="B219" t="str">
        <f>+Hoja1!A216</f>
        <v>07569</v>
      </c>
      <c r="C219" s="66">
        <v>236000</v>
      </c>
      <c r="D219" s="24">
        <f t="shared" si="7"/>
        <v>158.38926174496643</v>
      </c>
      <c r="E219" s="50">
        <f t="shared" si="6"/>
        <v>4.2834594887801505E-5</v>
      </c>
      <c r="F219" s="51"/>
    </row>
    <row r="220" spans="1:6" ht="15.75" customHeight="1" x14ac:dyDescent="0.25">
      <c r="A220" t="s">
        <v>906</v>
      </c>
      <c r="B220" t="str">
        <f>+Hoja1!A217</f>
        <v>07529</v>
      </c>
      <c r="C220" s="66">
        <v>540000</v>
      </c>
      <c r="D220" s="24">
        <f t="shared" si="7"/>
        <v>362.41610738255031</v>
      </c>
      <c r="E220" s="50">
        <f t="shared" si="6"/>
        <v>9.80113611839526E-5</v>
      </c>
      <c r="F220" s="51"/>
    </row>
    <row r="221" spans="1:6" ht="15.75" customHeight="1" x14ac:dyDescent="0.25">
      <c r="A221" t="s">
        <v>403</v>
      </c>
      <c r="B221" t="str">
        <f>+Hoja1!A218</f>
        <v>05019</v>
      </c>
      <c r="C221" s="66">
        <v>99482062.530000001</v>
      </c>
      <c r="D221" s="24">
        <f t="shared" si="7"/>
        <v>66766.484919463095</v>
      </c>
      <c r="E221" s="50">
        <f t="shared" si="6"/>
        <v>1.8056245114726647E-2</v>
      </c>
      <c r="F221" s="51"/>
    </row>
    <row r="222" spans="1:6" ht="15.75" customHeight="1" x14ac:dyDescent="0.25">
      <c r="A222" t="s">
        <v>684</v>
      </c>
      <c r="B222" t="str">
        <f>+Hoja1!A219</f>
        <v>06641</v>
      </c>
      <c r="C222" s="66">
        <v>1926618.02</v>
      </c>
      <c r="D222" s="24">
        <f t="shared" si="7"/>
        <v>1293.0322281879194</v>
      </c>
      <c r="E222" s="50">
        <f t="shared" si="6"/>
        <v>3.4968602707728078E-4</v>
      </c>
      <c r="F222" s="51"/>
    </row>
    <row r="223" spans="1:6" ht="15.75" customHeight="1" x14ac:dyDescent="0.25">
      <c r="A223" t="s">
        <v>405</v>
      </c>
      <c r="B223" t="str">
        <f>+Hoja1!A220</f>
        <v>06400</v>
      </c>
      <c r="C223" s="66">
        <v>1226170.73</v>
      </c>
      <c r="D223" s="24">
        <f t="shared" si="7"/>
        <v>822.93337583892617</v>
      </c>
      <c r="E223" s="50">
        <f t="shared" si="6"/>
        <v>2.225530783170756E-4</v>
      </c>
      <c r="F223" s="51"/>
    </row>
    <row r="224" spans="1:6" ht="15.75" customHeight="1" x14ac:dyDescent="0.25">
      <c r="A224" t="s">
        <v>1006</v>
      </c>
      <c r="B224" t="str">
        <f>+Hoja1!A221</f>
        <v>09550</v>
      </c>
      <c r="C224" s="66">
        <v>98608500</v>
      </c>
      <c r="D224" s="24">
        <f t="shared" si="7"/>
        <v>66180.201342281885</v>
      </c>
      <c r="E224" s="50">
        <f t="shared" si="6"/>
        <v>1.7897691313532946E-2</v>
      </c>
      <c r="F224" s="51"/>
    </row>
    <row r="225" spans="1:6" ht="15.75" customHeight="1" x14ac:dyDescent="0.25">
      <c r="A225" t="s">
        <v>407</v>
      </c>
      <c r="B225" t="str">
        <f>+Hoja1!A222</f>
        <v>09616</v>
      </c>
      <c r="C225" s="66">
        <v>2345955.0099999998</v>
      </c>
      <c r="D225" s="24">
        <f t="shared" si="7"/>
        <v>1574.4664496644293</v>
      </c>
      <c r="E225" s="50">
        <f t="shared" si="6"/>
        <v>4.2579674778965392E-4</v>
      </c>
      <c r="F225" s="51"/>
    </row>
    <row r="226" spans="1:6" ht="15.75" customHeight="1" x14ac:dyDescent="0.25">
      <c r="A226" t="s">
        <v>783</v>
      </c>
      <c r="B226" t="str">
        <f>+Hoja1!A223</f>
        <v>06364</v>
      </c>
      <c r="C226" s="66">
        <v>7482300</v>
      </c>
      <c r="D226" s="24">
        <f t="shared" si="7"/>
        <v>5021.6778523489929</v>
      </c>
      <c r="E226" s="50">
        <f t="shared" si="6"/>
        <v>1.3580563107160899E-3</v>
      </c>
      <c r="F226" s="51"/>
    </row>
    <row r="227" spans="1:6" ht="15.75" customHeight="1" x14ac:dyDescent="0.25">
      <c r="A227" t="s">
        <v>409</v>
      </c>
      <c r="B227" t="str">
        <f>+Hoja1!A224</f>
        <v>09140</v>
      </c>
      <c r="C227" s="66">
        <v>24107600</v>
      </c>
      <c r="D227" s="24">
        <f t="shared" si="7"/>
        <v>16179.597315436242</v>
      </c>
      <c r="E227" s="50">
        <f t="shared" si="6"/>
        <v>4.3755901682930665E-3</v>
      </c>
      <c r="F227" s="51"/>
    </row>
    <row r="228" spans="1:6" ht="15.75" customHeight="1" x14ac:dyDescent="0.25">
      <c r="A228" t="s">
        <v>827</v>
      </c>
      <c r="B228" t="str">
        <f>+Hoja1!A225</f>
        <v>09064</v>
      </c>
      <c r="C228" s="66">
        <v>377140.43</v>
      </c>
      <c r="D228" s="24">
        <f t="shared" si="7"/>
        <v>253.11438255033556</v>
      </c>
      <c r="E228" s="50">
        <f t="shared" si="6"/>
        <v>6.845193870703925E-5</v>
      </c>
      <c r="F228" s="51"/>
    </row>
    <row r="229" spans="1:6" ht="15.75" customHeight="1" x14ac:dyDescent="0.25">
      <c r="A229" t="s">
        <v>512</v>
      </c>
      <c r="B229" t="str">
        <f>+Hoja1!A226</f>
        <v>08959</v>
      </c>
      <c r="C229" s="66">
        <v>104060</v>
      </c>
      <c r="D229" s="24">
        <f t="shared" si="7"/>
        <v>69.838926174496649</v>
      </c>
      <c r="E229" s="50">
        <f t="shared" si="6"/>
        <v>1.8887152305189091E-5</v>
      </c>
      <c r="F229" s="51"/>
    </row>
    <row r="230" spans="1:6" ht="15.75" customHeight="1" x14ac:dyDescent="0.25">
      <c r="A230" t="s">
        <v>1007</v>
      </c>
      <c r="B230" t="str">
        <f>+Hoja1!A227</f>
        <v>07261</v>
      </c>
      <c r="C230" s="66">
        <v>212017.52</v>
      </c>
      <c r="D230" s="24">
        <f t="shared" si="7"/>
        <v>142.2936375838926</v>
      </c>
      <c r="E230" s="50">
        <f t="shared" si="6"/>
        <v>3.8481714314899798E-5</v>
      </c>
      <c r="F230" s="51"/>
    </row>
    <row r="231" spans="1:6" ht="15.75" customHeight="1" x14ac:dyDescent="0.25">
      <c r="A231" t="s">
        <v>411</v>
      </c>
      <c r="B231" t="str">
        <f>+Hoja1!A228</f>
        <v>00061</v>
      </c>
      <c r="C231" s="66">
        <v>19342213</v>
      </c>
      <c r="D231" s="24">
        <f t="shared" si="7"/>
        <v>12981.351006711409</v>
      </c>
      <c r="E231" s="50">
        <f t="shared" si="6"/>
        <v>3.5106604156295248E-3</v>
      </c>
      <c r="F231" s="51"/>
    </row>
    <row r="232" spans="1:6" ht="15.75" customHeight="1" x14ac:dyDescent="0.25">
      <c r="A232" t="s">
        <v>829</v>
      </c>
      <c r="B232" t="str">
        <f>+Hoja1!A229</f>
        <v>07225</v>
      </c>
      <c r="C232" s="66">
        <v>5720000</v>
      </c>
      <c r="D232" s="24">
        <f t="shared" si="7"/>
        <v>3838.9261744966443</v>
      </c>
      <c r="E232" s="50">
        <f t="shared" si="6"/>
        <v>1.0381944184670534E-3</v>
      </c>
      <c r="F232" s="51"/>
    </row>
    <row r="233" spans="1:6" ht="15.75" customHeight="1" x14ac:dyDescent="0.25">
      <c r="A233" t="s">
        <v>413</v>
      </c>
      <c r="B233" t="str">
        <f>+Hoja1!A230</f>
        <v>03860</v>
      </c>
      <c r="C233" s="66">
        <v>8398724.6500000004</v>
      </c>
      <c r="D233" s="24">
        <f t="shared" si="7"/>
        <v>5636.7279530201349</v>
      </c>
      <c r="E233" s="50">
        <f t="shared" si="6"/>
        <v>1.5243896947328074E-3</v>
      </c>
      <c r="F233" s="51"/>
    </row>
    <row r="234" spans="1:6" ht="15.75" customHeight="1" x14ac:dyDescent="0.25">
      <c r="A234" t="s">
        <v>415</v>
      </c>
      <c r="B234" t="str">
        <f>+Hoja1!A231</f>
        <v>08770</v>
      </c>
      <c r="C234" s="66">
        <v>23096268</v>
      </c>
      <c r="D234" s="24">
        <f t="shared" si="7"/>
        <v>15500.851006711409</v>
      </c>
      <c r="E234" s="50">
        <f t="shared" si="6"/>
        <v>4.1920308610173453E-3</v>
      </c>
      <c r="F234" s="51"/>
    </row>
    <row r="235" spans="1:6" ht="15.75" customHeight="1" x14ac:dyDescent="0.25">
      <c r="A235" t="s">
        <v>831</v>
      </c>
      <c r="B235" t="str">
        <f>+Hoja1!A232</f>
        <v>05848</v>
      </c>
      <c r="C235" s="66">
        <v>4270265.32</v>
      </c>
      <c r="D235" s="24">
        <f t="shared" si="7"/>
        <v>2865.9498791946312</v>
      </c>
      <c r="E235" s="50">
        <f t="shared" si="6"/>
        <v>7.7506391968486482E-4</v>
      </c>
      <c r="F235" s="51"/>
    </row>
    <row r="236" spans="1:6" ht="15.75" customHeight="1" x14ac:dyDescent="0.25">
      <c r="A236" t="s">
        <v>419</v>
      </c>
      <c r="B236" t="str">
        <f>+Hoja1!A233</f>
        <v>08736</v>
      </c>
      <c r="C236" s="66">
        <v>2856236.07</v>
      </c>
      <c r="D236" s="24">
        <f t="shared" si="7"/>
        <v>1916.9369597315435</v>
      </c>
      <c r="E236" s="50">
        <f t="shared" si="6"/>
        <v>5.1841404645074692E-4</v>
      </c>
      <c r="F236" s="51"/>
    </row>
    <row r="237" spans="1:6" ht="15.75" customHeight="1" x14ac:dyDescent="0.25">
      <c r="A237" t="s">
        <v>1008</v>
      </c>
      <c r="B237" t="str">
        <f>+Hoja1!A234</f>
        <v>06636</v>
      </c>
      <c r="C237" s="66">
        <v>223018.68</v>
      </c>
      <c r="D237" s="24">
        <f t="shared" si="7"/>
        <v>149.67696644295302</v>
      </c>
      <c r="E237" s="50">
        <f t="shared" si="6"/>
        <v>4.0478452585645089E-5</v>
      </c>
      <c r="F237" s="51"/>
    </row>
    <row r="238" spans="1:6" ht="15.75" customHeight="1" x14ac:dyDescent="0.25">
      <c r="A238" t="s">
        <v>421</v>
      </c>
      <c r="B238" t="str">
        <f>+Hoja1!A235</f>
        <v>00181</v>
      </c>
      <c r="C238" s="66">
        <v>483920</v>
      </c>
      <c r="D238" s="24">
        <f t="shared" si="7"/>
        <v>324.77852348993287</v>
      </c>
      <c r="E238" s="50">
        <f t="shared" si="6"/>
        <v>8.7832699822478405E-5</v>
      </c>
      <c r="F238" s="51"/>
    </row>
    <row r="239" spans="1:6" ht="15.75" customHeight="1" x14ac:dyDescent="0.25">
      <c r="A239" t="s">
        <v>423</v>
      </c>
      <c r="B239" t="str">
        <f>+Hoja1!A236</f>
        <v>09102</v>
      </c>
      <c r="C239" s="66">
        <v>881450</v>
      </c>
      <c r="D239" s="24">
        <f t="shared" si="7"/>
        <v>591.57718120805373</v>
      </c>
      <c r="E239" s="50">
        <f t="shared" si="6"/>
        <v>1.5998539688073153E-4</v>
      </c>
      <c r="F239" s="51"/>
    </row>
    <row r="240" spans="1:6" ht="15.75" customHeight="1" x14ac:dyDescent="0.25">
      <c r="A240" t="s">
        <v>1009</v>
      </c>
      <c r="B240" t="str">
        <f>+Hoja1!A237</f>
        <v>08702</v>
      </c>
      <c r="C240" s="66">
        <v>665500</v>
      </c>
      <c r="D240" s="24">
        <f t="shared" si="7"/>
        <v>446.6442953020134</v>
      </c>
      <c r="E240" s="50">
        <f t="shared" si="6"/>
        <v>1.2078992753318602E-4</v>
      </c>
      <c r="F240" s="51"/>
    </row>
    <row r="241" spans="1:6" ht="15.75" customHeight="1" x14ac:dyDescent="0.25">
      <c r="A241" t="s">
        <v>425</v>
      </c>
      <c r="B241" t="str">
        <f>+Hoja1!A238</f>
        <v>01127</v>
      </c>
      <c r="C241" s="66">
        <v>8239140</v>
      </c>
      <c r="D241" s="24">
        <f t="shared" si="7"/>
        <v>5529.6241610738252</v>
      </c>
      <c r="E241" s="50">
        <f t="shared" si="6"/>
        <v>1.4954246784910207E-3</v>
      </c>
      <c r="F241" s="51"/>
    </row>
    <row r="242" spans="1:6" ht="15.75" customHeight="1" x14ac:dyDescent="0.25">
      <c r="A242" t="s">
        <v>914</v>
      </c>
      <c r="B242" t="str">
        <f>+Hoja1!A239</f>
        <v>06212</v>
      </c>
      <c r="C242" s="66">
        <v>2904000</v>
      </c>
      <c r="D242" s="24">
        <f t="shared" si="7"/>
        <v>1948.9932885906039</v>
      </c>
      <c r="E242" s="50">
        <f t="shared" si="6"/>
        <v>5.2708332014481172E-4</v>
      </c>
      <c r="F242" s="51"/>
    </row>
    <row r="243" spans="1:6" ht="15.75" customHeight="1" x14ac:dyDescent="0.25">
      <c r="A243" t="s">
        <v>427</v>
      </c>
      <c r="B243" t="str">
        <f>+Hoja1!A240</f>
        <v>07987</v>
      </c>
      <c r="C243" s="66">
        <v>13515139</v>
      </c>
      <c r="D243" s="24">
        <f t="shared" si="7"/>
        <v>9070.5630872483216</v>
      </c>
      <c r="E243" s="50">
        <f t="shared" si="6"/>
        <v>2.4530317962598593E-3</v>
      </c>
      <c r="F243" s="51"/>
    </row>
    <row r="244" spans="1:6" ht="15.75" customHeight="1" x14ac:dyDescent="0.25">
      <c r="A244" t="s">
        <v>429</v>
      </c>
      <c r="B244" t="str">
        <f>+Hoja1!A241</f>
        <v>08700</v>
      </c>
      <c r="C244" s="66">
        <v>2770052</v>
      </c>
      <c r="D244" s="24">
        <f t="shared" si="7"/>
        <v>1859.0953020134227</v>
      </c>
      <c r="E244" s="50">
        <f t="shared" si="6"/>
        <v>5.027714205006116E-4</v>
      </c>
      <c r="F244" s="51"/>
    </row>
    <row r="245" spans="1:6" ht="15.75" customHeight="1" x14ac:dyDescent="0.25">
      <c r="A245" t="s">
        <v>431</v>
      </c>
      <c r="B245" t="str">
        <f>+Hoja1!A242</f>
        <v>09434</v>
      </c>
      <c r="C245" s="66">
        <v>5488941</v>
      </c>
      <c r="D245" s="24">
        <f t="shared" si="7"/>
        <v>3683.8530201342282</v>
      </c>
      <c r="E245" s="50">
        <f t="shared" si="6"/>
        <v>9.9625662753408508E-4</v>
      </c>
      <c r="F245" s="51"/>
    </row>
    <row r="246" spans="1:6" ht="15.75" customHeight="1" x14ac:dyDescent="0.25">
      <c r="A246" t="s">
        <v>433</v>
      </c>
      <c r="B246" t="str">
        <f>+Hoja1!A243</f>
        <v>08379</v>
      </c>
      <c r="C246" s="66">
        <v>1074310</v>
      </c>
      <c r="D246" s="24">
        <f t="shared" si="7"/>
        <v>721.01342281879192</v>
      </c>
      <c r="E246" s="50">
        <f t="shared" si="6"/>
        <v>1.9498997302505949E-4</v>
      </c>
      <c r="F246" s="51"/>
    </row>
    <row r="247" spans="1:6" ht="15.75" customHeight="1" x14ac:dyDescent="0.25">
      <c r="A247" t="s">
        <v>1010</v>
      </c>
      <c r="B247" t="str">
        <f>+Hoja1!A244</f>
        <v>07426</v>
      </c>
      <c r="C247" s="66">
        <v>1228725</v>
      </c>
      <c r="D247" s="24">
        <f t="shared" si="7"/>
        <v>824.64765100671138</v>
      </c>
      <c r="E247" s="50">
        <f t="shared" si="6"/>
        <v>2.2301668476065216E-4</v>
      </c>
      <c r="F247" s="51"/>
    </row>
    <row r="248" spans="1:6" ht="15.75" customHeight="1" x14ac:dyDescent="0.25">
      <c r="A248" t="s">
        <v>789</v>
      </c>
      <c r="B248" t="str">
        <f>+Hoja1!A245</f>
        <v>09619</v>
      </c>
      <c r="C248" s="66">
        <v>41999100</v>
      </c>
      <c r="D248" s="24">
        <f t="shared" si="7"/>
        <v>28187.31543624161</v>
      </c>
      <c r="E248" s="50">
        <f t="shared" si="6"/>
        <v>7.6229425175943404E-3</v>
      </c>
      <c r="F248" s="51"/>
    </row>
    <row r="249" spans="1:6" ht="15.75" customHeight="1" x14ac:dyDescent="0.25">
      <c r="A249" t="s">
        <v>1011</v>
      </c>
      <c r="B249" t="str">
        <f>+Hoja1!A246</f>
        <v>06956</v>
      </c>
      <c r="C249" s="66">
        <v>969046260</v>
      </c>
      <c r="D249" s="24">
        <f t="shared" si="7"/>
        <v>650366.61744966439</v>
      </c>
      <c r="E249" s="50">
        <f t="shared" si="6"/>
        <v>0.17588433887558971</v>
      </c>
      <c r="F249" s="51"/>
    </row>
    <row r="250" spans="1:6" ht="15.75" customHeight="1" x14ac:dyDescent="0.25">
      <c r="A250" t="s">
        <v>516</v>
      </c>
      <c r="B250" t="str">
        <f>+Hoja1!A247</f>
        <v>02934</v>
      </c>
      <c r="C250" s="66">
        <v>430950</v>
      </c>
      <c r="D250" s="24">
        <f t="shared" si="7"/>
        <v>289.2281879194631</v>
      </c>
      <c r="E250" s="50">
        <f t="shared" si="6"/>
        <v>7.8218511300415515E-5</v>
      </c>
      <c r="F250" s="51"/>
    </row>
    <row r="251" spans="1:6" ht="15.75" customHeight="1" x14ac:dyDescent="0.25">
      <c r="A251" t="s">
        <v>435</v>
      </c>
      <c r="B251" t="str">
        <f>+Hoja1!A248</f>
        <v>03151</v>
      </c>
      <c r="C251" s="66">
        <v>4596887.47</v>
      </c>
      <c r="D251" s="24">
        <f t="shared" si="7"/>
        <v>3085.1593758389258</v>
      </c>
      <c r="E251" s="50">
        <f t="shared" si="6"/>
        <v>8.343466632299186E-4</v>
      </c>
      <c r="F251" s="51"/>
    </row>
    <row r="252" spans="1:6" ht="15.75" customHeight="1" x14ac:dyDescent="0.25">
      <c r="A252" t="s">
        <v>1012</v>
      </c>
      <c r="B252" t="str">
        <f>+Hoja1!A249</f>
        <v>07555</v>
      </c>
      <c r="C252" s="66">
        <v>2395826.5499999998</v>
      </c>
      <c r="D252" s="24">
        <f t="shared" si="7"/>
        <v>1607.9372818791944</v>
      </c>
      <c r="E252" s="50">
        <f t="shared" si="6"/>
        <v>4.3484855801139452E-4</v>
      </c>
      <c r="F252" s="51"/>
    </row>
    <row r="253" spans="1:6" ht="15.75" customHeight="1" x14ac:dyDescent="0.25">
      <c r="A253" t="s">
        <v>437</v>
      </c>
      <c r="B253" t="str">
        <f>+Hoja1!A250</f>
        <v>00145</v>
      </c>
      <c r="C253" s="66">
        <v>31554000</v>
      </c>
      <c r="D253" s="24">
        <f t="shared" si="7"/>
        <v>21177.181208053691</v>
      </c>
      <c r="E253" s="50">
        <f t="shared" si="6"/>
        <v>5.7271305385156301E-3</v>
      </c>
      <c r="F253" s="51"/>
    </row>
    <row r="254" spans="1:6" ht="15.75" customHeight="1" x14ac:dyDescent="0.25">
      <c r="A254" t="s">
        <v>439</v>
      </c>
      <c r="B254" t="str">
        <f>+Hoja1!A251</f>
        <v>08747</v>
      </c>
      <c r="C254" s="66">
        <v>8115779.6100000003</v>
      </c>
      <c r="D254" s="24">
        <f t="shared" si="7"/>
        <v>5446.8319530201343</v>
      </c>
      <c r="E254" s="50">
        <f t="shared" si="6"/>
        <v>1.473034456750126E-3</v>
      </c>
      <c r="F254" s="51"/>
    </row>
    <row r="255" spans="1:6" ht="15.75" customHeight="1" x14ac:dyDescent="0.25">
      <c r="A255" t="s">
        <v>441</v>
      </c>
      <c r="B255" t="str">
        <f>+Hoja1!A252</f>
        <v>09462</v>
      </c>
      <c r="C255" s="66">
        <v>4779500</v>
      </c>
      <c r="D255" s="24">
        <f t="shared" si="7"/>
        <v>3207.7181208053689</v>
      </c>
      <c r="E255" s="50">
        <f t="shared" si="6"/>
        <v>8.6749129773833601E-4</v>
      </c>
      <c r="F255" s="51"/>
    </row>
    <row r="256" spans="1:6" ht="15.75" customHeight="1" x14ac:dyDescent="0.25">
      <c r="A256" t="s">
        <v>518</v>
      </c>
      <c r="B256" t="str">
        <f>+Hoja1!A253</f>
        <v>07095</v>
      </c>
      <c r="C256" s="66">
        <v>33011550</v>
      </c>
      <c r="D256" s="24">
        <f t="shared" si="7"/>
        <v>22155.40268456376</v>
      </c>
      <c r="E256" s="50">
        <f t="shared" si="6"/>
        <v>5.9916795375779828E-3</v>
      </c>
      <c r="F256" s="51"/>
    </row>
    <row r="257" spans="1:6" ht="15.75" customHeight="1" x14ac:dyDescent="0.25">
      <c r="A257" t="s">
        <v>445</v>
      </c>
      <c r="B257" t="str">
        <f>+Hoja1!A254</f>
        <v>02650</v>
      </c>
      <c r="C257" s="66">
        <v>25876207.34</v>
      </c>
      <c r="D257" s="24">
        <f t="shared" si="7"/>
        <v>17366.58210738255</v>
      </c>
      <c r="E257" s="50">
        <f t="shared" si="6"/>
        <v>4.6965968586510842E-3</v>
      </c>
      <c r="F257" s="51"/>
    </row>
    <row r="258" spans="1:6" ht="15.75" customHeight="1" x14ac:dyDescent="0.25">
      <c r="A258" t="s">
        <v>520</v>
      </c>
      <c r="B258" t="str">
        <f>+Hoja1!A255</f>
        <v>08667</v>
      </c>
      <c r="C258" s="66">
        <v>2514500</v>
      </c>
      <c r="D258" s="24">
        <f t="shared" si="7"/>
        <v>1687.5838926174497</v>
      </c>
      <c r="E258" s="50">
        <f t="shared" si="6"/>
        <v>4.5638808832786819E-4</v>
      </c>
      <c r="F258" s="51"/>
    </row>
    <row r="259" spans="1:6" ht="15.75" customHeight="1" x14ac:dyDescent="0.25">
      <c r="A259" t="s">
        <v>447</v>
      </c>
      <c r="B259" t="str">
        <f>+Hoja1!A256</f>
        <v>03695</v>
      </c>
      <c r="C259" s="66">
        <v>1331</v>
      </c>
      <c r="D259" s="24">
        <f t="shared" si="7"/>
        <v>0.89328859060402688</v>
      </c>
      <c r="E259" s="50">
        <f t="shared" si="6"/>
        <v>2.415798550663721E-7</v>
      </c>
      <c r="F259" s="51"/>
    </row>
    <row r="260" spans="1:6" ht="15.75" customHeight="1" x14ac:dyDescent="0.25">
      <c r="A260" t="s">
        <v>1013</v>
      </c>
      <c r="B260" t="str">
        <f>+Hoja1!A257</f>
        <v>05092</v>
      </c>
      <c r="C260" s="66">
        <v>1713850</v>
      </c>
      <c r="D260" s="24">
        <f t="shared" si="7"/>
        <v>1150.234899328859</v>
      </c>
      <c r="E260" s="50">
        <f t="shared" si="6"/>
        <v>3.1106809512058736E-4</v>
      </c>
      <c r="F260" s="51"/>
    </row>
    <row r="261" spans="1:6" ht="15.75" customHeight="1" x14ac:dyDescent="0.25">
      <c r="A261" t="s">
        <v>1014</v>
      </c>
      <c r="B261" t="str">
        <f>+Hoja1!A258</f>
        <v>09167</v>
      </c>
      <c r="C261" s="66">
        <v>3175790</v>
      </c>
      <c r="D261" s="24">
        <f t="shared" si="7"/>
        <v>2131.4026845637586</v>
      </c>
      <c r="E261" s="50">
        <f t="shared" ref="E261:E281" si="8">+D261/$D$302</f>
        <v>5.7641389024886086E-4</v>
      </c>
      <c r="F261" s="51"/>
    </row>
    <row r="262" spans="1:6" ht="15.75" customHeight="1" x14ac:dyDescent="0.25">
      <c r="A262" t="s">
        <v>449</v>
      </c>
      <c r="B262" t="str">
        <f>+Hoja1!A259</f>
        <v>08953</v>
      </c>
      <c r="C262" s="66">
        <v>1255029.53</v>
      </c>
      <c r="D262" s="24">
        <f t="shared" ref="D262:D301" si="9">+C262/$D$3</f>
        <v>842.30169798657721</v>
      </c>
      <c r="E262" s="50">
        <f t="shared" si="8"/>
        <v>2.277910232617709E-4</v>
      </c>
      <c r="F262" s="51"/>
    </row>
    <row r="263" spans="1:6" ht="15.75" customHeight="1" x14ac:dyDescent="0.25">
      <c r="A263" t="s">
        <v>833</v>
      </c>
      <c r="B263" t="str">
        <f>+Hoja1!A260</f>
        <v>04016</v>
      </c>
      <c r="C263" s="66">
        <v>16710011.470000001</v>
      </c>
      <c r="D263" s="24">
        <f t="shared" si="9"/>
        <v>11214.772798657719</v>
      </c>
      <c r="E263" s="50">
        <f t="shared" si="8"/>
        <v>3.032909202915113E-3</v>
      </c>
      <c r="F263" s="51"/>
    </row>
    <row r="264" spans="1:6" ht="15.75" customHeight="1" x14ac:dyDescent="0.25">
      <c r="A264" t="s">
        <v>451</v>
      </c>
      <c r="B264" t="str">
        <f>+Hoja1!A261</f>
        <v>06103</v>
      </c>
      <c r="C264" s="66">
        <v>1190640</v>
      </c>
      <c r="D264" s="24">
        <f t="shared" si="9"/>
        <v>799.08724832214762</v>
      </c>
      <c r="E264" s="50">
        <f t="shared" si="8"/>
        <v>2.1610416125937283E-4</v>
      </c>
      <c r="F264" s="51"/>
    </row>
    <row r="265" spans="1:6" ht="15.75" customHeight="1" x14ac:dyDescent="0.25">
      <c r="A265" t="s">
        <v>453</v>
      </c>
      <c r="B265" t="str">
        <f>+Hoja1!A262</f>
        <v>08757</v>
      </c>
      <c r="C265" s="66">
        <v>43437211.020000003</v>
      </c>
      <c r="D265" s="24">
        <f t="shared" si="9"/>
        <v>29152.490617449668</v>
      </c>
      <c r="E265" s="50">
        <f t="shared" si="8"/>
        <v>7.8839632927866429E-3</v>
      </c>
      <c r="F265" s="51"/>
    </row>
    <row r="266" spans="1:6" ht="15.75" customHeight="1" x14ac:dyDescent="0.25">
      <c r="A266" t="s">
        <v>793</v>
      </c>
      <c r="B266" t="str">
        <f>+Hoja1!A263</f>
        <v>07611</v>
      </c>
      <c r="C266" s="66">
        <v>1262028.42</v>
      </c>
      <c r="D266" s="24">
        <f t="shared" si="9"/>
        <v>846.99893959731537</v>
      </c>
      <c r="E266" s="50">
        <f t="shared" si="8"/>
        <v>2.2906133943895003E-4</v>
      </c>
      <c r="F266" s="51"/>
    </row>
    <row r="267" spans="1:6" ht="15.75" customHeight="1" x14ac:dyDescent="0.25">
      <c r="A267" t="s">
        <v>795</v>
      </c>
      <c r="B267" t="str">
        <f>+Hoja1!A264</f>
        <v>06375</v>
      </c>
      <c r="C267" s="66">
        <v>422546.15</v>
      </c>
      <c r="D267" s="24">
        <f t="shared" si="9"/>
        <v>283.5880201342282</v>
      </c>
      <c r="E267" s="50">
        <f t="shared" si="8"/>
        <v>7.6693191341738182E-5</v>
      </c>
      <c r="F267" s="51"/>
    </row>
    <row r="268" spans="1:6" ht="15.75" customHeight="1" x14ac:dyDescent="0.25">
      <c r="A268" t="s">
        <v>522</v>
      </c>
      <c r="B268" t="str">
        <f>+Hoja1!A265</f>
        <v>09510</v>
      </c>
      <c r="C268" s="66">
        <v>10002174.470000001</v>
      </c>
      <c r="D268" s="24">
        <f t="shared" si="9"/>
        <v>6712.8687718120809</v>
      </c>
      <c r="E268" s="50">
        <f t="shared" si="8"/>
        <v>1.8154198788964441E-3</v>
      </c>
      <c r="F268" s="51"/>
    </row>
    <row r="269" spans="1:6" ht="15.75" customHeight="1" x14ac:dyDescent="0.25">
      <c r="A269" t="s">
        <v>455</v>
      </c>
      <c r="B269" t="str">
        <f>+Hoja1!A266</f>
        <v>07686</v>
      </c>
      <c r="C269" s="66">
        <v>725340</v>
      </c>
      <c r="D269" s="24">
        <f t="shared" si="9"/>
        <v>486.80536912751677</v>
      </c>
      <c r="E269" s="50">
        <f t="shared" si="8"/>
        <v>1.3165103837253366E-4</v>
      </c>
      <c r="F269" s="51"/>
    </row>
    <row r="270" spans="1:6" ht="15.75" customHeight="1" x14ac:dyDescent="0.25">
      <c r="A270" t="s">
        <v>1015</v>
      </c>
      <c r="B270" t="str">
        <f>+Hoja1!A267</f>
        <v>07448</v>
      </c>
      <c r="C270" s="66">
        <v>901495</v>
      </c>
      <c r="D270" s="24">
        <f t="shared" si="9"/>
        <v>605.03020134228188</v>
      </c>
      <c r="E270" s="50">
        <f t="shared" si="8"/>
        <v>1.6362361490838398E-4</v>
      </c>
      <c r="F270" s="51"/>
    </row>
    <row r="271" spans="1:6" ht="15.75" customHeight="1" x14ac:dyDescent="0.25">
      <c r="A271" t="s">
        <v>457</v>
      </c>
      <c r="B271" t="str">
        <f>+Hoja1!A268</f>
        <v>04035</v>
      </c>
      <c r="C271" s="66">
        <v>22126845</v>
      </c>
      <c r="D271" s="24">
        <f t="shared" si="9"/>
        <v>14850.231543624161</v>
      </c>
      <c r="E271" s="50">
        <f t="shared" si="8"/>
        <v>4.016078142882103E-3</v>
      </c>
      <c r="F271" s="51"/>
    </row>
    <row r="272" spans="1:6" ht="15.75" customHeight="1" x14ac:dyDescent="0.25">
      <c r="A272" t="s">
        <v>459</v>
      </c>
      <c r="B272" t="str">
        <f>+Hoja1!A269</f>
        <v>05028</v>
      </c>
      <c r="C272" s="66">
        <v>6417840</v>
      </c>
      <c r="D272" s="24">
        <f t="shared" si="9"/>
        <v>4307.2751677852348</v>
      </c>
      <c r="E272" s="50">
        <f t="shared" si="8"/>
        <v>1.1648541375200341E-3</v>
      </c>
      <c r="F272" s="51"/>
    </row>
    <row r="273" spans="1:6" ht="15.75" customHeight="1" x14ac:dyDescent="0.25">
      <c r="A273" t="s">
        <v>1016</v>
      </c>
      <c r="B273" t="str">
        <f>+Hoja1!A270</f>
        <v>06385</v>
      </c>
      <c r="C273" s="66">
        <v>36072.33</v>
      </c>
      <c r="D273" s="24">
        <f t="shared" si="9"/>
        <v>24.209617449664432</v>
      </c>
      <c r="E273" s="50">
        <f t="shared" si="8"/>
        <v>6.5472188229198689E-6</v>
      </c>
      <c r="F273" s="51"/>
    </row>
    <row r="274" spans="1:6" ht="15.75" customHeight="1" x14ac:dyDescent="0.25">
      <c r="A274" t="s">
        <v>1017</v>
      </c>
      <c r="B274" t="str">
        <f>+Hoja1!A271</f>
        <v>08752</v>
      </c>
      <c r="C274" s="66">
        <v>1103520</v>
      </c>
      <c r="D274" s="24">
        <f t="shared" si="9"/>
        <v>740.6174496644295</v>
      </c>
      <c r="E274" s="50">
        <f t="shared" si="8"/>
        <v>2.0029166165502847E-4</v>
      </c>
      <c r="F274" s="51"/>
    </row>
    <row r="275" spans="1:6" ht="15.75" customHeight="1" x14ac:dyDescent="0.25">
      <c r="A275" t="s">
        <v>1018</v>
      </c>
      <c r="B275" t="str">
        <f>+Hoja1!A272</f>
        <v>00295</v>
      </c>
      <c r="C275" s="66">
        <v>827882</v>
      </c>
      <c r="D275" s="24">
        <f t="shared" si="9"/>
        <v>555.62550335570472</v>
      </c>
      <c r="E275" s="50">
        <f t="shared" si="8"/>
        <v>1.5026266985128343E-4</v>
      </c>
      <c r="F275" s="51"/>
    </row>
    <row r="276" spans="1:6" ht="15.75" customHeight="1" x14ac:dyDescent="0.25">
      <c r="A276" t="s">
        <v>701</v>
      </c>
      <c r="B276" t="str">
        <f>+Hoja1!A273</f>
        <v>08447</v>
      </c>
      <c r="C276" s="66">
        <v>3512101.62</v>
      </c>
      <c r="D276" s="24">
        <f t="shared" si="9"/>
        <v>2357.1151812080539</v>
      </c>
      <c r="E276" s="50">
        <f t="shared" si="8"/>
        <v>6.3745529702326871E-4</v>
      </c>
      <c r="F276" s="51"/>
    </row>
    <row r="277" spans="1:6" ht="15.75" customHeight="1" x14ac:dyDescent="0.25">
      <c r="A277" t="s">
        <v>463</v>
      </c>
      <c r="B277" t="str">
        <f>+Hoja1!A274</f>
        <v>07308</v>
      </c>
      <c r="C277" s="66">
        <v>4847132.3600000003</v>
      </c>
      <c r="D277" s="24">
        <f t="shared" si="9"/>
        <v>3253.1089664429533</v>
      </c>
      <c r="E277" s="50">
        <f t="shared" si="8"/>
        <v>8.7976674155997156E-4</v>
      </c>
      <c r="F277" s="51"/>
    </row>
    <row r="278" spans="1:6" ht="15.75" customHeight="1" x14ac:dyDescent="0.25">
      <c r="A278" t="s">
        <v>465</v>
      </c>
      <c r="B278" t="str">
        <f>+Hoja1!A275</f>
        <v>09576</v>
      </c>
      <c r="C278" s="66">
        <v>-140768.76</v>
      </c>
      <c r="D278" s="24">
        <f t="shared" si="9"/>
        <v>-94.475677852348994</v>
      </c>
      <c r="E278" s="50">
        <f t="shared" si="8"/>
        <v>-2.5549884777365074E-5</v>
      </c>
      <c r="F278" s="51"/>
    </row>
    <row r="279" spans="1:6" ht="15.75" customHeight="1" x14ac:dyDescent="0.25">
      <c r="A279" t="s">
        <v>1019</v>
      </c>
      <c r="B279" t="str">
        <f>+Hoja1!A276</f>
        <v>08554</v>
      </c>
      <c r="C279" s="66">
        <v>18000000</v>
      </c>
      <c r="D279" s="24">
        <f t="shared" si="9"/>
        <v>12080.536912751679</v>
      </c>
      <c r="E279" s="50">
        <f t="shared" si="8"/>
        <v>3.2670453727984203E-3</v>
      </c>
      <c r="F279" s="51"/>
    </row>
    <row r="280" spans="1:6" ht="15.75" customHeight="1" x14ac:dyDescent="0.25">
      <c r="A280" t="s">
        <v>467</v>
      </c>
      <c r="B280" t="str">
        <f>+Hoja1!A277</f>
        <v>08729</v>
      </c>
      <c r="C280" s="66">
        <v>589028</v>
      </c>
      <c r="D280" s="24">
        <f t="shared" si="9"/>
        <v>395.32080536912753</v>
      </c>
      <c r="E280" s="50">
        <f t="shared" si="8"/>
        <v>1.0691006676937266E-4</v>
      </c>
      <c r="F280" s="51"/>
    </row>
    <row r="281" spans="1:6" ht="15.75" customHeight="1" x14ac:dyDescent="0.25">
      <c r="A281" t="s">
        <v>1020</v>
      </c>
      <c r="B281" t="str">
        <f>+Hoja1!A278</f>
        <v>02429</v>
      </c>
      <c r="C281" s="66">
        <v>14907200</v>
      </c>
      <c r="D281" s="24">
        <f t="shared" si="9"/>
        <v>10004.832214765102</v>
      </c>
      <c r="E281" s="50">
        <f t="shared" si="8"/>
        <v>2.7056943767433672E-3</v>
      </c>
      <c r="F281" s="51"/>
    </row>
    <row r="282" spans="1:6" ht="15.75" customHeight="1" x14ac:dyDescent="0.25">
      <c r="A282" t="s">
        <v>920</v>
      </c>
      <c r="B282" t="str">
        <f>+Hoja1!A279</f>
        <v>09611</v>
      </c>
      <c r="C282" s="66">
        <v>75020000</v>
      </c>
      <c r="D282" s="24">
        <f t="shared" si="9"/>
        <v>50348.993288590602</v>
      </c>
      <c r="E282" s="50">
        <f>+D282/$D$302</f>
        <v>1.3616319103740971E-2</v>
      </c>
      <c r="F282" s="51"/>
    </row>
    <row r="283" spans="1:6" ht="15.75" customHeight="1" x14ac:dyDescent="0.25">
      <c r="A283" t="s">
        <v>1021</v>
      </c>
      <c r="B283">
        <f>+Hoja1!A280</f>
        <v>0</v>
      </c>
      <c r="C283" s="66">
        <v>11791285.08</v>
      </c>
      <c r="D283" s="24">
        <f t="shared" si="9"/>
        <v>7913.6141476510065</v>
      </c>
      <c r="E283" s="50">
        <f t="shared" ref="E283:E301" si="10">+D283/$D$302</f>
        <v>2.1401479644422806E-3</v>
      </c>
      <c r="F283" s="51"/>
    </row>
    <row r="284" spans="1:6" ht="15.75" customHeight="1" x14ac:dyDescent="0.25">
      <c r="A284" t="s">
        <v>526</v>
      </c>
      <c r="B284">
        <f>+Hoja1!A281</f>
        <v>0</v>
      </c>
      <c r="C284" s="66">
        <v>2844135.56</v>
      </c>
      <c r="D284" s="24">
        <f t="shared" si="9"/>
        <v>1908.8158120805369</v>
      </c>
      <c r="E284" s="50">
        <f t="shared" si="10"/>
        <v>5.1621777338385795E-4</v>
      </c>
      <c r="F284" s="51"/>
    </row>
    <row r="285" spans="1:6" ht="15.75" customHeight="1" x14ac:dyDescent="0.25">
      <c r="A285" t="s">
        <v>469</v>
      </c>
      <c r="B285">
        <f>+Hoja1!A282</f>
        <v>0</v>
      </c>
      <c r="C285" s="66">
        <v>-653801.14</v>
      </c>
      <c r="D285" s="24">
        <f t="shared" si="9"/>
        <v>-438.79271140939596</v>
      </c>
      <c r="E285" s="50">
        <f t="shared" si="10"/>
        <v>-1.1866655495374067E-4</v>
      </c>
      <c r="F285" s="51"/>
    </row>
    <row r="286" spans="1:6" ht="15.75" customHeight="1" x14ac:dyDescent="0.25">
      <c r="A286" t="s">
        <v>1022</v>
      </c>
      <c r="B286">
        <f>+Hoja1!A283</f>
        <v>0</v>
      </c>
      <c r="C286" s="66">
        <v>3384993.95</v>
      </c>
      <c r="D286" s="24">
        <f t="shared" si="9"/>
        <v>2271.8080201342282</v>
      </c>
      <c r="E286" s="50">
        <f t="shared" si="10"/>
        <v>6.1438493451656368E-4</v>
      </c>
      <c r="F286" s="51"/>
    </row>
    <row r="287" spans="1:6" ht="15.75" customHeight="1" x14ac:dyDescent="0.25">
      <c r="A287" t="s">
        <v>471</v>
      </c>
      <c r="B287">
        <f>+Hoja1!A284</f>
        <v>0</v>
      </c>
      <c r="C287" s="66">
        <v>4794021.21</v>
      </c>
      <c r="D287" s="24">
        <f t="shared" si="9"/>
        <v>3217.463899328859</v>
      </c>
      <c r="E287" s="50">
        <f t="shared" si="10"/>
        <v>8.7012693395711015E-4</v>
      </c>
      <c r="F287" s="51"/>
    </row>
    <row r="288" spans="1:6" ht="15.75" customHeight="1" x14ac:dyDescent="0.25">
      <c r="A288" t="s">
        <v>473</v>
      </c>
      <c r="B288">
        <f>+Hoja1!A285</f>
        <v>0</v>
      </c>
      <c r="C288" s="66">
        <v>57224772.950000003</v>
      </c>
      <c r="D288" s="24">
        <f t="shared" si="9"/>
        <v>38405.887885906042</v>
      </c>
      <c r="E288" s="50">
        <f t="shared" si="10"/>
        <v>1.0386440537540984E-2</v>
      </c>
      <c r="F288" s="51"/>
    </row>
    <row r="289" spans="1:6" ht="15.75" customHeight="1" x14ac:dyDescent="0.25">
      <c r="A289" t="s">
        <v>1023</v>
      </c>
      <c r="B289">
        <f>+Hoja1!A286</f>
        <v>0</v>
      </c>
      <c r="C289" s="66">
        <v>17100000</v>
      </c>
      <c r="D289" s="24">
        <f t="shared" si="9"/>
        <v>11476.510067114094</v>
      </c>
      <c r="E289" s="50">
        <f t="shared" si="10"/>
        <v>3.1036931041584989E-3</v>
      </c>
      <c r="F289" s="51"/>
    </row>
    <row r="290" spans="1:6" ht="15.75" customHeight="1" x14ac:dyDescent="0.25">
      <c r="A290" t="s">
        <v>1024</v>
      </c>
      <c r="B290">
        <f>+Hoja1!A287</f>
        <v>0</v>
      </c>
      <c r="C290" s="66">
        <v>7979024.2999999998</v>
      </c>
      <c r="D290" s="24">
        <f t="shared" si="9"/>
        <v>5355.0498657718117</v>
      </c>
      <c r="E290" s="50">
        <f t="shared" si="10"/>
        <v>1.4482130232645084E-3</v>
      </c>
      <c r="F290" s="51"/>
    </row>
    <row r="291" spans="1:6" ht="15.75" customHeight="1" x14ac:dyDescent="0.25">
      <c r="A291" t="s">
        <v>922</v>
      </c>
      <c r="B291">
        <f>+Hoja1!A288</f>
        <v>0</v>
      </c>
      <c r="C291" s="66">
        <v>9027887.1999999993</v>
      </c>
      <c r="D291" s="24">
        <f t="shared" si="9"/>
        <v>6058.984697986577</v>
      </c>
      <c r="E291" s="50">
        <f t="shared" si="10"/>
        <v>1.6385842834947826E-3</v>
      </c>
      <c r="F291" s="51"/>
    </row>
    <row r="292" spans="1:6" ht="15.75" customHeight="1" x14ac:dyDescent="0.25">
      <c r="A292" t="s">
        <v>475</v>
      </c>
      <c r="B292">
        <f>+Hoja1!A289</f>
        <v>0</v>
      </c>
      <c r="C292" s="66">
        <v>91234594</v>
      </c>
      <c r="D292" s="24">
        <f t="shared" si="9"/>
        <v>61231.2711409396</v>
      </c>
      <c r="E292" s="50">
        <f t="shared" si="10"/>
        <v>1.6559308787046808E-2</v>
      </c>
      <c r="F292" s="51"/>
    </row>
    <row r="293" spans="1:6" ht="15.75" customHeight="1" x14ac:dyDescent="0.25">
      <c r="A293" t="s">
        <v>477</v>
      </c>
      <c r="B293">
        <f>+Hoja1!A290</f>
        <v>0</v>
      </c>
      <c r="C293" s="66">
        <v>128768696.16</v>
      </c>
      <c r="D293" s="24">
        <f t="shared" si="9"/>
        <v>86421.943731543623</v>
      </c>
      <c r="E293" s="50">
        <f t="shared" si="10"/>
        <v>2.3371842941711872E-2</v>
      </c>
      <c r="F293" s="51"/>
    </row>
    <row r="294" spans="1:6" ht="15.75" customHeight="1" x14ac:dyDescent="0.25">
      <c r="A294" t="s">
        <v>1025</v>
      </c>
      <c r="B294">
        <f>+Hoja1!A291</f>
        <v>0</v>
      </c>
      <c r="C294" s="66">
        <v>3513967</v>
      </c>
      <c r="D294" s="24">
        <f t="shared" si="9"/>
        <v>2358.3671140939596</v>
      </c>
      <c r="E294" s="50">
        <f t="shared" si="10"/>
        <v>6.3779386819535252E-4</v>
      </c>
      <c r="F294" s="51"/>
    </row>
    <row r="295" spans="1:6" ht="15.75" customHeight="1" x14ac:dyDescent="0.25">
      <c r="A295" t="s">
        <v>530</v>
      </c>
      <c r="B295">
        <f>+Hoja1!A292</f>
        <v>0</v>
      </c>
      <c r="C295" s="66">
        <v>1493950.79</v>
      </c>
      <c r="D295" s="24">
        <f t="shared" si="9"/>
        <v>1002.6515369127517</v>
      </c>
      <c r="E295" s="50">
        <f t="shared" si="10"/>
        <v>2.711558342032247E-4</v>
      </c>
      <c r="F295" s="51"/>
    </row>
    <row r="296" spans="1:6" ht="15.75" customHeight="1" x14ac:dyDescent="0.25">
      <c r="A296" t="s">
        <v>834</v>
      </c>
      <c r="B296">
        <f>+Hoja1!A293</f>
        <v>0</v>
      </c>
      <c r="C296" s="66">
        <v>10644027.65</v>
      </c>
      <c r="D296" s="24">
        <f t="shared" si="9"/>
        <v>7143.6427181208055</v>
      </c>
      <c r="E296" s="50">
        <f t="shared" si="10"/>
        <v>1.93191784899283E-3</v>
      </c>
      <c r="F296" s="51"/>
    </row>
    <row r="297" spans="1:6" ht="15.75" customHeight="1" x14ac:dyDescent="0.25">
      <c r="A297" t="s">
        <v>1026</v>
      </c>
      <c r="B297">
        <f>+Hoja1!A294</f>
        <v>0</v>
      </c>
      <c r="C297" s="66">
        <v>58266315</v>
      </c>
      <c r="D297" s="24">
        <f t="shared" si="9"/>
        <v>39104.909395973154</v>
      </c>
      <c r="E297" s="50">
        <f t="shared" si="10"/>
        <v>1.057548304504251E-2</v>
      </c>
      <c r="F297" s="51"/>
    </row>
    <row r="298" spans="1:6" ht="15.75" customHeight="1" x14ac:dyDescent="0.25">
      <c r="A298" t="s">
        <v>1027</v>
      </c>
      <c r="B298">
        <f>+Hoja1!A295</f>
        <v>0</v>
      </c>
      <c r="C298" s="66">
        <v>33463180.300000001</v>
      </c>
      <c r="D298" s="24">
        <f t="shared" si="9"/>
        <v>22458.510268456375</v>
      </c>
      <c r="E298" s="50">
        <f t="shared" si="10"/>
        <v>6.073651575457458E-3</v>
      </c>
      <c r="F298" s="51"/>
    </row>
    <row r="299" spans="1:6" ht="15.75" customHeight="1" x14ac:dyDescent="0.25">
      <c r="A299" t="s">
        <v>482</v>
      </c>
      <c r="B299">
        <f>+Hoja1!A296</f>
        <v>0</v>
      </c>
      <c r="C299" s="66">
        <v>2111655</v>
      </c>
      <c r="D299" s="24">
        <f t="shared" si="9"/>
        <v>1417.2181208053692</v>
      </c>
      <c r="E299" s="50">
        <f t="shared" si="10"/>
        <v>3.8327070537203602E-4</v>
      </c>
      <c r="F299" s="51"/>
    </row>
    <row r="300" spans="1:6" ht="15.75" customHeight="1" x14ac:dyDescent="0.25">
      <c r="A300" t="s">
        <v>484</v>
      </c>
      <c r="B300">
        <f>+Hoja1!A297</f>
        <v>0</v>
      </c>
      <c r="C300" s="66">
        <v>1804043946.5599999</v>
      </c>
      <c r="D300" s="24">
        <f t="shared" si="9"/>
        <v>1210767.7493691274</v>
      </c>
      <c r="E300" s="50">
        <f t="shared" si="10"/>
        <v>0.32743852377410265</v>
      </c>
      <c r="F300" s="51"/>
    </row>
    <row r="301" spans="1:6" ht="15.75" customHeight="1" x14ac:dyDescent="0.25">
      <c r="A301" t="s">
        <v>1028</v>
      </c>
      <c r="B301">
        <f>+Hoja1!A298</f>
        <v>0</v>
      </c>
      <c r="C301" s="66">
        <v>2679727.42</v>
      </c>
      <c r="D301" s="24">
        <f t="shared" si="9"/>
        <v>1798.4747785234899</v>
      </c>
      <c r="E301" s="50">
        <f t="shared" si="10"/>
        <v>4.8637728154844712E-4</v>
      </c>
      <c r="F301" s="51"/>
    </row>
    <row r="302" spans="1:6" ht="18" customHeight="1" x14ac:dyDescent="0.25">
      <c r="A302" s="41" t="s">
        <v>166</v>
      </c>
      <c r="B302" s="42"/>
      <c r="C302" s="43">
        <f>SUM(C5:C301)</f>
        <v>7759277734.2399998</v>
      </c>
      <c r="D302" s="43">
        <f>SUM(D5:D282)</f>
        <v>3697694.8692953028</v>
      </c>
      <c r="E302" s="68">
        <f>SUM(E5:E282)</f>
        <v>0.99999999999999933</v>
      </c>
      <c r="F302" s="42"/>
    </row>
    <row r="304" spans="1:6" ht="15" customHeight="1" x14ac:dyDescent="0.25">
      <c r="A304" s="73" t="s">
        <v>167</v>
      </c>
      <c r="B304" s="73"/>
      <c r="C304" s="73"/>
      <c r="D304" s="73"/>
      <c r="E304" s="73"/>
      <c r="F304" s="73"/>
    </row>
  </sheetData>
  <mergeCells count="3">
    <mergeCell ref="A1:F1"/>
    <mergeCell ref="A2:F2"/>
    <mergeCell ref="A304:F30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1"/>
  <sheetViews>
    <sheetView showGridLines="0" zoomScaleNormal="100" workbookViewId="0">
      <pane ySplit="4" topLeftCell="A5" activePane="bottomLeft" state="frozen"/>
      <selection pane="bottomLeft" activeCell="H19" sqref="H1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1" t="s">
        <v>168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5.75" customHeight="1" x14ac:dyDescent="0.25">
      <c r="A2" s="72" t="s">
        <v>169</v>
      </c>
      <c r="B2" s="72"/>
      <c r="C2" s="72"/>
      <c r="D2" s="72"/>
      <c r="E2" s="72"/>
      <c r="F2" s="72"/>
      <c r="G2" s="72"/>
      <c r="H2" s="72"/>
      <c r="I2" s="72"/>
      <c r="J2" s="72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9">
        <v>4.4999999999999998E-2</v>
      </c>
      <c r="D5" s="70">
        <v>46101</v>
      </c>
      <c r="E5" s="70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37</v>
      </c>
      <c r="J5" s="52"/>
    </row>
    <row r="6" spans="1:10" ht="18" customHeight="1" x14ac:dyDescent="0.25">
      <c r="A6" s="53" t="s">
        <v>179</v>
      </c>
      <c r="B6" s="14">
        <v>1000000</v>
      </c>
      <c r="C6" s="69">
        <v>3.9E-2</v>
      </c>
      <c r="D6" s="70">
        <v>46118</v>
      </c>
      <c r="E6" s="70">
        <v>46297</v>
      </c>
      <c r="F6" s="54">
        <f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53</v>
      </c>
      <c r="J6" s="51"/>
    </row>
    <row r="7" spans="1:10" ht="18" customHeight="1" x14ac:dyDescent="0.25">
      <c r="A7" s="53" t="s">
        <v>179</v>
      </c>
      <c r="B7" s="14">
        <v>1000000</v>
      </c>
      <c r="C7" s="69">
        <v>5.9499999999999997E-2</v>
      </c>
      <c r="D7" s="70">
        <v>46079</v>
      </c>
      <c r="E7" s="70">
        <v>46259</v>
      </c>
      <c r="F7" s="54">
        <f>IFERROR(E7-D7,0)</f>
        <v>180</v>
      </c>
      <c r="G7" s="55">
        <f>IFERROR(B7*(C7/365)*F7,0)</f>
        <v>29342.465753424651</v>
      </c>
      <c r="H7" s="56">
        <f>IFERROR(B7+G7,0)</f>
        <v>1029342.4657534247</v>
      </c>
      <c r="I7" s="57">
        <f ca="1">IFERROR(E7-TODAY(),"Vencido")</f>
        <v>15</v>
      </c>
      <c r="J7" s="52"/>
    </row>
    <row r="8" spans="1:10" ht="18" customHeight="1" x14ac:dyDescent="0.25">
      <c r="A8" s="53" t="s">
        <v>179</v>
      </c>
      <c r="B8" s="14">
        <v>1000000</v>
      </c>
      <c r="C8" s="69">
        <v>3.7999999999999999E-2</v>
      </c>
      <c r="D8" s="70">
        <v>46153</v>
      </c>
      <c r="E8" s="70">
        <v>46317</v>
      </c>
      <c r="F8" s="54">
        <f>IFERROR(E8-D8,0)</f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73</v>
      </c>
      <c r="J8" s="52"/>
    </row>
    <row r="9" spans="1:10" ht="18" customHeight="1" x14ac:dyDescent="0.25">
      <c r="A9" s="53" t="s">
        <v>179</v>
      </c>
      <c r="B9" s="14">
        <v>1000000</v>
      </c>
      <c r="C9" s="69">
        <v>3.1E-2</v>
      </c>
      <c r="D9" s="70">
        <v>46191</v>
      </c>
      <c r="E9" s="70">
        <v>46366</v>
      </c>
      <c r="F9" s="54">
        <f>IFERROR(E9-D9,0)</f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122</v>
      </c>
      <c r="J9" s="52"/>
    </row>
    <row r="10" spans="1:10" ht="18" customHeight="1" x14ac:dyDescent="0.25">
      <c r="A10" s="53" t="s">
        <v>181</v>
      </c>
      <c r="B10" s="14">
        <v>1000000</v>
      </c>
      <c r="C10" s="69">
        <v>0.05</v>
      </c>
      <c r="D10" s="70">
        <v>46048</v>
      </c>
      <c r="E10" s="70">
        <v>46227</v>
      </c>
      <c r="F10" s="54">
        <f t="shared" ref="F10:F13" si="0">IFERROR(E10-D10,0)</f>
        <v>179</v>
      </c>
      <c r="G10" s="55">
        <f t="shared" ref="G10:G13" si="1">IFERROR(B10*(C10/365)*F10,0)</f>
        <v>24520.547945205486</v>
      </c>
      <c r="H10" s="56">
        <f t="shared" ref="H10:H13" si="2">IFERROR(B10+G10,0)</f>
        <v>1024520.5479452055</v>
      </c>
      <c r="I10" s="57">
        <f t="shared" ref="I10:I13" ca="1" si="3">IFERROR(E10-TODAY(),"Vencido")</f>
        <v>-17</v>
      </c>
      <c r="J10" s="52"/>
    </row>
    <row r="11" spans="1:10" ht="18" customHeight="1" x14ac:dyDescent="0.25">
      <c r="A11" s="53" t="s">
        <v>181</v>
      </c>
      <c r="B11" s="14">
        <v>1000000</v>
      </c>
      <c r="C11" s="69">
        <v>3.2300000000000002E-2</v>
      </c>
      <c r="D11" s="70">
        <v>46183</v>
      </c>
      <c r="E11" s="70">
        <v>46360</v>
      </c>
      <c r="F11" s="54">
        <f t="shared" si="0"/>
        <v>177</v>
      </c>
      <c r="G11" s="55">
        <f t="shared" si="1"/>
        <v>15663.287671232876</v>
      </c>
      <c r="H11" s="56">
        <f t="shared" si="2"/>
        <v>1015663.2876712328</v>
      </c>
      <c r="I11" s="57">
        <f t="shared" ca="1" si="3"/>
        <v>116</v>
      </c>
      <c r="J11" s="52"/>
    </row>
    <row r="12" spans="1:10" ht="18" customHeight="1" x14ac:dyDescent="0.25">
      <c r="A12" s="53" t="s">
        <v>181</v>
      </c>
      <c r="B12" s="14">
        <v>1000000</v>
      </c>
      <c r="C12" s="69">
        <v>0.04</v>
      </c>
      <c r="D12" s="70">
        <v>46136</v>
      </c>
      <c r="E12" s="70">
        <v>46255</v>
      </c>
      <c r="F12" s="54">
        <f t="shared" si="0"/>
        <v>119</v>
      </c>
      <c r="G12" s="55">
        <f t="shared" si="1"/>
        <v>13041.095890410959</v>
      </c>
      <c r="H12" s="56">
        <f t="shared" si="2"/>
        <v>1013041.0958904109</v>
      </c>
      <c r="I12" s="57">
        <f t="shared" ca="1" si="3"/>
        <v>11</v>
      </c>
      <c r="J12" s="52"/>
    </row>
    <row r="13" spans="1:10" ht="18" customHeight="1" x14ac:dyDescent="0.25">
      <c r="A13" s="53" t="s">
        <v>181</v>
      </c>
      <c r="B13" s="14">
        <v>1000000</v>
      </c>
      <c r="C13" s="69">
        <v>3.9E-2</v>
      </c>
      <c r="D13" s="70">
        <v>46090</v>
      </c>
      <c r="E13" s="70">
        <v>46269</v>
      </c>
      <c r="F13" s="54">
        <f t="shared" si="0"/>
        <v>179</v>
      </c>
      <c r="G13" s="55">
        <f t="shared" si="1"/>
        <v>19126.027397260274</v>
      </c>
      <c r="H13" s="56">
        <f t="shared" si="2"/>
        <v>1019126.0273972603</v>
      </c>
      <c r="I13" s="57">
        <f t="shared" ca="1" si="3"/>
        <v>25</v>
      </c>
      <c r="J13" s="52"/>
    </row>
    <row r="14" spans="1:10" ht="18" customHeight="1" x14ac:dyDescent="0.25">
      <c r="A14" s="53" t="s">
        <v>181</v>
      </c>
      <c r="B14" s="14">
        <v>1000000</v>
      </c>
      <c r="C14" s="69">
        <v>3.2300000000000002E-2</v>
      </c>
      <c r="D14" s="70">
        <v>46178</v>
      </c>
      <c r="E14" s="70">
        <v>46358</v>
      </c>
      <c r="F14" s="54">
        <f t="shared" ref="F14:F19" si="4">IFERROR(E14-D14,0)</f>
        <v>180</v>
      </c>
      <c r="G14" s="55">
        <f t="shared" ref="G14:G19" si="5">IFERROR(B14*(C14/365)*F14,0)</f>
        <v>15928.767123287671</v>
      </c>
      <c r="H14" s="56">
        <f t="shared" ref="H14:H19" si="6">IFERROR(B14+G14,0)</f>
        <v>1015928.7671232877</v>
      </c>
      <c r="I14" s="57">
        <f t="shared" ref="I14:I19" ca="1" si="7">IFERROR(E14-TODAY(),"Vencido")</f>
        <v>114</v>
      </c>
      <c r="J14" s="52"/>
    </row>
    <row r="15" spans="1:10" ht="18" customHeight="1" x14ac:dyDescent="0.25">
      <c r="A15" s="53" t="s">
        <v>181</v>
      </c>
      <c r="B15" s="14">
        <v>1000000</v>
      </c>
      <c r="C15" s="69">
        <v>3.39E-2</v>
      </c>
      <c r="D15" s="70">
        <v>46202</v>
      </c>
      <c r="E15" s="70">
        <v>46379</v>
      </c>
      <c r="F15" s="54">
        <f t="shared" si="4"/>
        <v>177</v>
      </c>
      <c r="G15" s="55">
        <f t="shared" si="5"/>
        <v>16439.178082191782</v>
      </c>
      <c r="H15" s="56">
        <f t="shared" si="6"/>
        <v>1016439.1780821917</v>
      </c>
      <c r="I15" s="57">
        <f t="shared" ca="1" si="7"/>
        <v>135</v>
      </c>
      <c r="J15" s="52"/>
    </row>
    <row r="16" spans="1:10" ht="18" customHeight="1" x14ac:dyDescent="0.25">
      <c r="A16" s="53" t="s">
        <v>934</v>
      </c>
      <c r="B16" s="14">
        <v>2000000</v>
      </c>
      <c r="C16" s="69">
        <v>3.85E-2</v>
      </c>
      <c r="D16" s="70">
        <v>46205</v>
      </c>
      <c r="E16" s="70">
        <v>46385</v>
      </c>
      <c r="F16" s="54">
        <f t="shared" si="4"/>
        <v>180</v>
      </c>
      <c r="G16" s="55">
        <f t="shared" si="5"/>
        <v>37972.602739726026</v>
      </c>
      <c r="H16" s="56">
        <f t="shared" si="6"/>
        <v>2037972.602739726</v>
      </c>
      <c r="I16" s="57">
        <f t="shared" ca="1" si="7"/>
        <v>141</v>
      </c>
      <c r="J16" s="52"/>
    </row>
    <row r="17" spans="1:10" ht="18" customHeight="1" x14ac:dyDescent="0.25">
      <c r="A17" s="53" t="s">
        <v>934</v>
      </c>
      <c r="B17" s="14">
        <v>1000000</v>
      </c>
      <c r="C17" s="69">
        <v>0.04</v>
      </c>
      <c r="D17" s="70">
        <v>46231</v>
      </c>
      <c r="E17" s="70">
        <v>46384</v>
      </c>
      <c r="F17" s="54">
        <f t="shared" si="4"/>
        <v>153</v>
      </c>
      <c r="G17" s="55">
        <f t="shared" si="5"/>
        <v>16767.123287671231</v>
      </c>
      <c r="H17" s="56">
        <f t="shared" si="6"/>
        <v>1016767.1232876712</v>
      </c>
      <c r="I17" s="57">
        <f t="shared" ca="1" si="7"/>
        <v>140</v>
      </c>
      <c r="J17" s="52"/>
    </row>
    <row r="18" spans="1:10" ht="18" customHeight="1" x14ac:dyDescent="0.25">
      <c r="A18" s="53" t="s">
        <v>934</v>
      </c>
      <c r="B18" s="14">
        <v>1000000</v>
      </c>
      <c r="C18" s="69">
        <v>3.5000000000000003E-2</v>
      </c>
      <c r="D18" s="70">
        <v>46244</v>
      </c>
      <c r="E18" s="70">
        <v>46331</v>
      </c>
      <c r="F18" s="54">
        <f t="shared" si="4"/>
        <v>87</v>
      </c>
      <c r="G18" s="55">
        <f t="shared" si="5"/>
        <v>8342.465753424658</v>
      </c>
      <c r="H18" s="56">
        <f t="shared" si="6"/>
        <v>1008342.4657534247</v>
      </c>
      <c r="I18" s="57">
        <f t="shared" ca="1" si="7"/>
        <v>87</v>
      </c>
      <c r="J18" s="52"/>
    </row>
    <row r="19" spans="1:10" ht="18" customHeight="1" x14ac:dyDescent="0.25">
      <c r="A19" s="53" t="s">
        <v>1029</v>
      </c>
      <c r="B19" s="14">
        <v>1000000</v>
      </c>
      <c r="C19" s="69">
        <v>3.5000000000000003E-2</v>
      </c>
      <c r="D19" s="70">
        <v>46238</v>
      </c>
      <c r="E19" s="70">
        <v>46603</v>
      </c>
      <c r="F19" s="54">
        <f t="shared" si="4"/>
        <v>365</v>
      </c>
      <c r="G19" s="55">
        <f t="shared" si="5"/>
        <v>35000</v>
      </c>
      <c r="H19" s="56">
        <f t="shared" si="6"/>
        <v>1035000</v>
      </c>
      <c r="I19" s="57">
        <f t="shared" ca="1" si="7"/>
        <v>359</v>
      </c>
      <c r="J19" s="52"/>
    </row>
    <row r="20" spans="1:10" ht="19.5" customHeight="1" x14ac:dyDescent="0.25">
      <c r="A20" s="41" t="s">
        <v>155</v>
      </c>
      <c r="B20" s="58">
        <f>SUM(B5:B19)</f>
        <v>16000000</v>
      </c>
      <c r="C20" s="42"/>
      <c r="D20" s="42"/>
      <c r="E20" s="42"/>
      <c r="F20" s="42"/>
      <c r="G20" s="58">
        <f>SUM(G5:G16)</f>
        <v>245288.76712328769</v>
      </c>
      <c r="H20" s="58">
        <f>SUM(H5:H16)</f>
        <v>13245288.767123288</v>
      </c>
      <c r="I20" s="42"/>
      <c r="J20" s="42"/>
    </row>
    <row r="21" spans="1:10" ht="18" customHeight="1" x14ac:dyDescent="0.25">
      <c r="A21" s="44"/>
      <c r="B21" s="59"/>
      <c r="C21" s="60"/>
      <c r="D21" s="46"/>
      <c r="E21" s="46"/>
      <c r="F21" s="61">
        <f>IFERROR(E21-D21,0)</f>
        <v>0</v>
      </c>
      <c r="G21" s="62">
        <f>IFERROR(B21*(C21/365)*F21,0)</f>
        <v>0</v>
      </c>
      <c r="H21" s="62">
        <f>IFERROR(B21+G21,0)</f>
        <v>0</v>
      </c>
      <c r="I21" s="61">
        <f ca="1">IFERROR(E21-TODAY(),"")</f>
        <v>-46244</v>
      </c>
      <c r="J21" s="44"/>
    </row>
    <row r="22" spans="1:10" ht="18" customHeight="1" x14ac:dyDescent="0.25">
      <c r="A22" s="44"/>
      <c r="B22" s="59"/>
      <c r="C22" s="60"/>
      <c r="D22" s="46"/>
      <c r="E22" s="46"/>
      <c r="F22" s="61">
        <f>IFERROR(E22-D22,0)</f>
        <v>0</v>
      </c>
      <c r="G22" s="62">
        <f>IFERROR(B22*(C22/365)*F22,0)</f>
        <v>0</v>
      </c>
      <c r="H22" s="62">
        <f>IFERROR(B22+G22,0)</f>
        <v>0</v>
      </c>
      <c r="I22" s="61">
        <f ca="1">IFERROR(E22-TODAY(),"")</f>
        <v>-46244</v>
      </c>
      <c r="J22" s="44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-46244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-46244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-46244</v>
      </c>
      <c r="J25" s="44"/>
    </row>
    <row r="27" spans="1:10" x14ac:dyDescent="0.25">
      <c r="A27" s="73" t="s">
        <v>180</v>
      </c>
      <c r="B27" s="73"/>
      <c r="C27" s="73"/>
      <c r="D27" s="73"/>
      <c r="E27" s="73"/>
      <c r="F27" s="73"/>
      <c r="G27" s="73"/>
      <c r="H27" s="73"/>
      <c r="I27" s="73"/>
      <c r="J27" s="73"/>
    </row>
    <row r="31" spans="1:10" x14ac:dyDescent="0.25">
      <c r="D31" s="64"/>
    </row>
  </sheetData>
  <mergeCells count="3">
    <mergeCell ref="A1:J1"/>
    <mergeCell ref="A2:J2"/>
    <mergeCell ref="A27:J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2026-08-10T15:38:05Z</dcterms:modified>
  <dc:language>en-US</dc:language>
</cp:coreProperties>
</file>