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11B4DC39-D894-490B-9591-2F73A1492926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CHEQUES!$A$3:$X$324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17" i="2" l="1"/>
  <c r="AI117" i="2"/>
  <c r="AH117" i="2"/>
  <c r="AG117" i="2"/>
  <c r="AF117" i="2"/>
  <c r="AB117" i="2"/>
  <c r="AA117" i="2"/>
  <c r="Z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C453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4" i="7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5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6" i="8"/>
  <c r="A7" i="8"/>
  <c r="A8" i="8"/>
  <c r="A9" i="8"/>
  <c r="A10" i="8"/>
  <c r="A11" i="8"/>
  <c r="A5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B15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G9" i="9" l="1"/>
  <c r="H9" i="9" s="1"/>
  <c r="G8" i="9"/>
  <c r="H8" i="9" s="1"/>
  <c r="H110" i="2"/>
  <c r="C283" i="8"/>
  <c r="G105" i="2"/>
  <c r="H105" i="2"/>
  <c r="AB105" i="2"/>
  <c r="AB106" i="2" s="1"/>
  <c r="AB107" i="2" s="1"/>
  <c r="AB108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1" i="9"/>
  <c r="I11" i="9"/>
  <c r="I12" i="9"/>
  <c r="F12" i="9"/>
  <c r="G12" i="9" s="1"/>
  <c r="H12" i="9" s="1"/>
  <c r="I10" i="9"/>
  <c r="F10" i="9"/>
  <c r="G10" i="9" s="1"/>
  <c r="H10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AG112" i="2" l="1"/>
  <c r="AG113" i="2"/>
  <c r="D283" i="8"/>
  <c r="G11" i="9"/>
  <c r="H11" i="9" s="1"/>
  <c r="H14" i="9"/>
  <c r="H15" i="9" s="1"/>
  <c r="G15" i="9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458" i="7"/>
  <c r="F457" i="7"/>
  <c r="F456" i="7"/>
  <c r="F455" i="7"/>
  <c r="F45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E117" i="6"/>
  <c r="D117" i="6"/>
  <c r="C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C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17" i="6" l="1"/>
  <c r="C113" i="6"/>
  <c r="AG114" i="2"/>
  <c r="H113" i="6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E283" i="8"/>
  <c r="C115" i="6" l="1"/>
  <c r="H115" i="6" s="1"/>
  <c r="AG116" i="2"/>
  <c r="C116" i="6" s="1"/>
  <c r="H116" i="6" s="1"/>
</calcChain>
</file>

<file path=xl/sharedStrings.xml><?xml version="1.0" encoding="utf-8"?>
<sst xmlns="http://schemas.openxmlformats.org/spreadsheetml/2006/main" count="7583" uniqueCount="1031">
  <si>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</si>
  <si>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</si>
  <si>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</si>
  <si>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</si>
  <si>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</si>
  <si>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</si>
  <si>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</si>
  <si>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</si>
  <si>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</si>
  <si>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</si>
  <si>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</si>
  <si>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</si>
  <si>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</si>
  <si>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</si>
  <si>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</si>
  <si>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</si>
  <si>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</si>
  <si>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</si>
  <si>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</si>
  <si>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</si>
  <si>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</si>
  <si>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</si>
  <si>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</si>
  <si>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</si>
  <si>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</si>
  <si>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</si>
  <si>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</si>
  <si>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</si>
  <si>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</si>
  <si>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</si>
  <si>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</si>
  <si>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</si>
  <si>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</si>
  <si>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</si>
  <si>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</si>
  <si>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</si>
  <si>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</si>
  <si>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</si>
  <si>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</si>
  <si>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</si>
  <si>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</si>
  <si>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</si>
  <si>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</si>
  <si>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</si>
  <si>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</si>
  <si>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</si>
  <si>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</si>
  <si>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</si>
  <si>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</si>
  <si>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</si>
  <si>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</si>
  <si>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</si>
  <si>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</si>
  <si>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</si>
  <si>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</si>
  <si>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</si>
  <si>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</si>
  <si>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</si>
  <si>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</si>
  <si>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</si>
  <si>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</si>
  <si>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</si>
  <si>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</si>
  <si>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</si>
  <si>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</si>
  <si>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</si>
  <si>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</si>
  <si>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</si>
  <si>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</si>
  <si>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</si>
  <si>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</si>
  <si>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</si>
  <si>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</si>
  <si>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</si>
  <si>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</si>
  <si>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</si>
  <si>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</si>
  <si>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</si>
  <si>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</si>
  <si>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</si>
  <si>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</si>
  <si>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</si>
  <si>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</si>
  <si>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</si>
  <si>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</si>
  <si>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</si>
  <si>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</si>
  <si>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</si>
  <si>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</si>
  <si>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</si>
  <si>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</si>
  <si>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</si>
  <si>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</si>
  <si>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</si>
  <si>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</si>
  <si>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</si>
  <si>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</si>
  <si>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</si>
  <si>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</si>
  <si>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</si>
  <si>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</si>
  <si>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</si>
  <si>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</si>
  <si>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</si>
  <si>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</si>
  <si>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</si>
  <si>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</si>
  <si>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</si>
  <si>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</si>
  <si>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</si>
  <si>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</si>
  <si>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</si>
  <si>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</si>
  <si>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</si>
  <si>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</si>
  <si>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</si>
  <si>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</si>
  <si>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</si>
  <si>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</si>
  <si>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</si>
  <si>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</si>
  <si>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</si>
  <si>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</si>
  <si>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</si>
  <si>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</si>
  <si>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</si>
  <si>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</si>
  <si>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</si>
  <si>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</si>
  <si>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</si>
  <si>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</si>
  <si>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</si>
  <si>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</si>
  <si>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</si>
  <si>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</si>
  <si>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</si>
  <si>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</si>
  <si>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</si>
  <si>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</si>
  <si>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</si>
  <si>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</si>
  <si>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</si>
  <si>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</si>
  <si>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</si>
  <si>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</si>
  <si>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</si>
  <si>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</si>
  <si>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</si>
  <si>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</si>
  <si>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</si>
  <si>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</si>
  <si>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</si>
  <si>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</si>
  <si>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</si>
  <si>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</si>
  <si>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</si>
  <si>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</si>
  <si>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</si>
  <si>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</si>
  <si>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</si>
  <si>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</si>
  <si>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</si>
  <si>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</si>
  <si>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</si>
  <si>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</si>
  <si>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</si>
  <si>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</si>
  <si>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</si>
  <si>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</si>
  <si>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</si>
  <si>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</si>
  <si>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</si>
  <si>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</si>
  <si>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</si>
  <si>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</si>
  <si>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</si>
  <si>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</si>
  <si>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</si>
  <si>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</si>
  <si>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</si>
  <si>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</si>
  <si>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</si>
  <si>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</si>
  <si>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</si>
  <si>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</si>
  <si>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</si>
  <si>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</si>
  <si>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</si>
  <si>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</si>
  <si>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</si>
  <si>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</si>
  <si>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</si>
  <si>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</si>
  <si>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</si>
  <si>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</si>
  <si>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</si>
  <si>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</si>
  <si>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</si>
  <si>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</si>
  <si>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</si>
  <si>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</si>
  <si>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</si>
  <si>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</si>
  <si>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</si>
  <si>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</si>
  <si>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</si>
  <si>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</si>
  <si>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</si>
  <si>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</si>
  <si>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</si>
  <si>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</si>
  <si>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</si>
  <si>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</si>
  <si>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</si>
  <si>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</si>
  <si>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</si>
  <si>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</si>
  <si>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</si>
  <si>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</si>
  <si>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</si>
  <si>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</si>
  <si>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</si>
  <si>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</si>
  <si>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</si>
  <si>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</si>
  <si>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</si>
  <si>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</si>
  <si>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</si>
  <si>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</si>
  <si>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</si>
  <si>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</si>
  <si>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</si>
  <si>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</si>
  <si>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</si>
  <si>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</si>
  <si>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</si>
  <si>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</si>
  <si>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</si>
  <si>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</si>
  <si>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</si>
  <si>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</si>
  <si>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</si>
  <si>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</si>
  <si>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</si>
  <si>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</si>
  <si>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</si>
  <si>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</si>
  <si>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</si>
  <si>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</si>
  <si>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</si>
  <si>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</si>
  <si>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</si>
  <si>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</si>
  <si>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</si>
  <si>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</si>
  <si>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</si>
  <si>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</si>
  <si>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</si>
  <si>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</si>
  <si>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</si>
  <si>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</si>
  <si>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</si>
  <si>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</si>
  <si>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</si>
  <si>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</si>
  <si>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</si>
  <si>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</si>
  <si>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</si>
  <si>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</si>
  <si>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</si>
  <si>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</si>
  <si>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</si>
  <si>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</si>
  <si>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</si>
  <si>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</si>
  <si>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</si>
  <si>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</si>
  <si>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</si>
  <si>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</si>
  <si>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</si>
  <si>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</si>
  <si>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</si>
  <si>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</si>
  <si>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</si>
  <si>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</si>
  <si>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</si>
  <si>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</si>
  <si>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</si>
  <si>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</si>
  <si>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</si>
  <si>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</si>
  <si>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</si>
  <si>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</si>
  <si>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</si>
  <si>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</si>
  <si>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</si>
  <si>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</si>
  <si>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</si>
  <si>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</si>
  <si>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</si>
  <si>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</si>
  <si>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</si>
  <si>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</si>
  <si>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</si>
  <si>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</si>
  <si>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</si>
  <si>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</si>
  <si>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</si>
  <si>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</si>
  <si>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</si>
  <si>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</si>
  <si>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</si>
  <si>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</si>
  <si>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</si>
  <si>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</si>
  <si>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</si>
  <si>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</si>
  <si>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</si>
  <si>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</si>
  <si>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</si>
  <si>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</si>
  <si>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</si>
  <si>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</si>
  <si>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</si>
  <si>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</si>
  <si>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</si>
  <si>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</si>
  <si>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</si>
  <si>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</si>
  <si>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</si>
  <si>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</si>
  <si>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</si>
  <si>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</si>
  <si>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</si>
  <si>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</si>
  <si>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</si>
  <si>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</si>
  <si>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</si>
  <si>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</si>
  <si>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</si>
  <si>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</si>
  <si>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</si>
  <si>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</si>
  <si>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</si>
  <si>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</si>
  <si>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</si>
  <si>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</si>
  <si>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</si>
  <si>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</si>
  <si>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</si>
  <si>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</si>
  <si>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</si>
  <si>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</si>
  <si>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</si>
  <si>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</si>
  <si>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</si>
  <si>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</si>
  <si>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</si>
  <si>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</si>
  <si>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</si>
  <si>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</si>
  <si>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</si>
  <si>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</si>
  <si>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</si>
  <si>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</si>
  <si>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</si>
  <si>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</si>
  <si>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</si>
  <si>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</si>
  <si>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</si>
  <si>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</si>
  <si>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</si>
  <si>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</si>
  <si>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</si>
  <si>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</si>
  <si>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</si>
  <si>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</si>
  <si>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</si>
  <si>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</si>
  <si>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</si>
  <si>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</si>
  <si>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</si>
  <si>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</si>
  <si>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</si>
  <si>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</si>
  <si>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</si>
  <si>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</si>
  <si>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</si>
  <si>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</si>
  <si>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</si>
  <si>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</si>
  <si>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</si>
  <si>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</si>
  <si>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</si>
  <si>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</si>
  <si>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</si>
  <si>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</si>
  <si>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</si>
  <si>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</si>
  <si>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</si>
  <si>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</si>
  <si>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</si>
  <si>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</si>
  <si>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</si>
  <si>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</si>
  <si>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</si>
  <si>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</si>
  <si>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</si>
  <si>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</si>
  <si>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</si>
  <si>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</si>
  <si>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</si>
  <si>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</si>
  <si>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</si>
  <si>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</si>
  <si>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</si>
  <si>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</si>
  <si>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</si>
  <si>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</si>
  <si>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</si>
  <si>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</si>
  <si>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</si>
  <si>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</si>
  <si>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</si>
  <si>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</si>
  <si>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</si>
  <si>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</si>
  <si>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</si>
  <si>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</si>
  <si>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</si>
  <si>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</si>
  <si>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</si>
  <si>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</si>
  <si>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</si>
  <si>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</si>
  <si>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</si>
  <si>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</si>
  <si>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</si>
  <si>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</si>
  <si>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</si>
  <si>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</si>
  <si>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</si>
  <si>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</si>
  <si>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</si>
  <si>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</si>
  <si>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</si>
  <si>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</si>
  <si>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</si>
  <si>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</si>
  <si>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</si>
  <si>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</si>
  <si>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</si>
  <si>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</si>
  <si>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</si>
  <si>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</si>
  <si>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</si>
  <si>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</si>
  <si>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</si>
  <si>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</si>
  <si>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</si>
  <si>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</si>
  <si>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</si>
  <si>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</si>
  <si>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</si>
  <si>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</si>
  <si>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</si>
  <si>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</si>
  <si>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</si>
  <si>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</si>
  <si>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</si>
  <si>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</si>
  <si>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</si>
  <si>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</si>
  <si>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</si>
  <si>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</si>
  <si>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</si>
  <si>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</si>
  <si>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</si>
  <si>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</si>
  <si>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</si>
  <si>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</si>
  <si>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</si>
  <si>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</si>
  <si>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</si>
  <si>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</si>
  <si>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</si>
  <si>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</si>
  <si>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</si>
  <si>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</si>
  <si>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</si>
  <si>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</si>
  <si>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</si>
  <si>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</si>
  <si>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</si>
  <si>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</si>
  <si>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</si>
  <si>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</si>
  <si>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</si>
  <si>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</si>
  <si>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</si>
  <si>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</si>
  <si>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</si>
  <si>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</si>
  <si>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</si>
  <si>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</si>
  <si>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</si>
  <si>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</si>
  <si>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</si>
  <si>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</si>
  <si>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</si>
  <si>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</si>
  <si>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</si>
  <si>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</si>
  <si>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</si>
  <si>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</si>
  <si>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</si>
  <si>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</si>
  <si>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</si>
  <si>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</si>
  <si>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</si>
  <si>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</si>
  <si>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</si>
  <si>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</si>
  <si>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</si>
  <si>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</si>
  <si>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</si>
  <si>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</si>
  <si>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</si>
  <si>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</si>
  <si>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</si>
  <si>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</si>
  <si>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</si>
  <si>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</si>
  <si>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</si>
  <si>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</si>
  <si>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</si>
  <si>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</si>
  <si>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</si>
  <si>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</si>
  <si>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</si>
  <si>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</si>
  <si>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</si>
  <si>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</si>
  <si>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</si>
  <si>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</si>
  <si>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</si>
  <si>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</si>
  <si>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</si>
  <si>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</si>
  <si>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</si>
  <si>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</si>
  <si>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</si>
  <si>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</si>
  <si>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</si>
  <si>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</si>
  <si>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</si>
  <si>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</si>
  <si>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</si>
  <si>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</si>
  <si>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</si>
  <si>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</si>
  <si>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</si>
  <si>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</si>
  <si>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</si>
  <si>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</si>
  <si>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</si>
  <si>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</si>
  <si>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</si>
  <si>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</si>
  <si>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</si>
  <si>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</si>
  <si>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</si>
  <si>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</si>
  <si>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</si>
  <si>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</si>
  <si>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</si>
  <si>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</si>
  <si>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</si>
  <si>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</si>
  <si>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</si>
  <si>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</si>
  <si>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</si>
  <si>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</si>
  <si>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</si>
  <si>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</si>
  <si>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</si>
  <si>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</si>
  <si>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</si>
  <si>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</si>
  <si>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</si>
  <si>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</si>
  <si>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</si>
  <si>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</si>
  <si>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</si>
  <si>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</si>
  <si>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</si>
  <si>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</si>
  <si>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</si>
  <si>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</si>
  <si>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</si>
  <si>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</si>
  <si>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</si>
  <si>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</si>
  <si>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</si>
  <si>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</si>
  <si>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</si>
  <si>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</si>
  <si>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</si>
  <si>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</si>
  <si>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</si>
  <si>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</si>
  <si>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</si>
  <si>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</si>
  <si>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</si>
  <si>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</si>
  <si>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</si>
  <si>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</si>
  <si>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</si>
  <si>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</si>
  <si>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</si>
  <si>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</si>
  <si>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</si>
  <si>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</si>
  <si>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</si>
  <si>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</si>
  <si>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</si>
  <si>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</si>
  <si>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</si>
  <si>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</si>
  <si>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</si>
  <si>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</si>
  <si>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</si>
  <si>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</si>
  <si>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</si>
  <si>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</si>
  <si>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</si>
  <si>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</si>
  <si>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</si>
  <si>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</si>
  <si>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</si>
  <si>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</si>
  <si>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</si>
  <si>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</si>
  <si>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</si>
  <si>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</si>
  <si>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</si>
  <si>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</si>
  <si>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</si>
  <si>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</si>
  <si>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</si>
  <si>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</si>
  <si>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</si>
  <si>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</si>
  <si>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</si>
  <si>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</si>
  <si>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</si>
  <si>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</si>
  <si>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</si>
  <si>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</si>
  <si>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</si>
  <si>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</si>
  <si>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</si>
  <si>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</si>
  <si>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</si>
  <si>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</si>
  <si>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</si>
  <si>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</si>
  <si>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</si>
  <si>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</si>
  <si>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</si>
  <si>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</si>
  <si>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</si>
  <si>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</si>
  <si>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</si>
  <si>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</si>
  <si>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</si>
  <si>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</si>
  <si>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</si>
  <si>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</si>
  <si>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</si>
  <si>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</si>
  <si>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</si>
  <si>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</si>
  <si>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</si>
  <si>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</si>
  <si>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</si>
  <si>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</si>
  <si>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</si>
  <si>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</si>
  <si>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</si>
  <si>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</si>
  <si>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</si>
  <si>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</si>
  <si>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</si>
  <si>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</si>
  <si>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</si>
  <si>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</si>
  <si>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</si>
  <si>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</si>
  <si>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</si>
  <si>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</si>
  <si>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</si>
  <si>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</si>
  <si>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</si>
  <si>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</si>
  <si>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</si>
  <si>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</si>
  <si>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</si>
  <si>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</si>
  <si>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</si>
  <si>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</si>
  <si>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</si>
  <si>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</si>
  <si>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</si>
  <si>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</si>
  <si>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</si>
  <si>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</si>
  <si>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</si>
  <si>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</si>
  <si>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</si>
  <si>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</si>
  <si>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</si>
  <si>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</si>
  <si>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</si>
  <si>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</si>
  <si>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</si>
  <si>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</si>
  <si>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</si>
  <si>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</si>
  <si>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</si>
  <si>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</si>
  <si>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</si>
  <si>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</si>
  <si>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</si>
  <si>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</si>
  <si>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</si>
  <si>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</si>
  <si>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</si>
  <si>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</si>
  <si>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</si>
  <si>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</si>
  <si>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</si>
  <si>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</si>
  <si>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</si>
  <si>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</si>
  <si>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</si>
  <si>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</si>
  <si>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</si>
  <si>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</si>
  <si>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</si>
  <si>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</si>
  <si>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</si>
  <si>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</si>
  <si>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</si>
  <si>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</si>
  <si>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</si>
  <si>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</si>
  <si>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</si>
  <si>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</si>
  <si>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</si>
  <si>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</si>
  <si>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</si>
  <si>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</si>
  <si>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</si>
  <si>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</si>
  <si>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</si>
  <si>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</si>
  <si>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</si>
  <si>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</si>
  <si>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</si>
  <si>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</si>
  <si>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</si>
  <si>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</si>
  <si>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</si>
  <si>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</si>
  <si>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</si>
  <si>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</si>
  <si>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</si>
  <si>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</si>
  <si>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</si>
  <si>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</si>
  <si>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</si>
  <si>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</si>
  <si>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</si>
  <si>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</si>
  <si>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</si>
  <si>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</si>
  <si>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</si>
  <si>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</si>
  <si>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</si>
  <si>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</si>
  <si>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</si>
  <si>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</si>
  <si>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</si>
  <si>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</si>
  <si>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</si>
  <si>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</si>
  <si>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</si>
  <si>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</si>
  <si>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</si>
  <si>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</si>
  <si>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</si>
  <si>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</si>
  <si>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</si>
  <si>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</si>
  <si>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</si>
  <si>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</si>
  <si>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</si>
  <si>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</si>
  <si>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</si>
  <si>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</si>
  <si>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</si>
  <si>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</si>
  <si>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</si>
  <si>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</si>
  <si>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</si>
  <si>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</si>
  <si>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</si>
  <si>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</si>
  <si>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</si>
  <si>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</si>
  <si>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</si>
  <si>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</si>
  <si>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</si>
  <si>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</si>
  <si>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</si>
  <si>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</si>
  <si>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</si>
  <si>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</si>
  <si>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</si>
  <si>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</si>
  <si>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</si>
  <si>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</si>
  <si>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</si>
  <si>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</si>
  <si>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Usuario: NICOLAS VELLINI</t>
  </si>
  <si>
    <t> 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</si>
  <si>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</si>
  <si>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</si>
  <si>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</si>
  <si>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</si>
  <si>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</si>
  <si>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</si>
  <si>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</si>
  <si>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</si>
  <si>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</si>
  <si>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</si>
  <si>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</si>
  <si>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</si>
  <si>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</si>
  <si>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</si>
  <si>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</si>
  <si>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</si>
  <si>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</si>
  <si>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</si>
  <si>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</si>
  <si>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</si>
  <si>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</si>
  <si>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</si>
  <si>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</si>
  <si>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</si>
  <si>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</si>
  <si>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</si>
  <si>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</si>
  <si>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</si>
  <si>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</si>
  <si>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</si>
  <si>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</si>
  <si>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</si>
  <si>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</si>
  <si>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</si>
  <si>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</si>
  <si>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</si>
  <si>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</si>
  <si>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</si>
  <si>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</si>
  <si>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</si>
  <si>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</si>
  <si>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</si>
  <si>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</si>
  <si>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</si>
  <si>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</si>
  <si>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</si>
  <si>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</si>
  <si>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</si>
  <si>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</si>
  <si>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</si>
  <si>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</si>
  <si>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</si>
  <si>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</si>
  <si>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</si>
  <si>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</si>
  <si>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</si>
  <si>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</si>
  <si>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</si>
  <si>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</si>
  <si>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</si>
  <si>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</si>
  <si>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</si>
  <si>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</si>
  <si>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</si>
  <si>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</si>
  <si>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</si>
  <si>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</si>
  <si>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</si>
  <si>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</si>
  <si>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</si>
  <si>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</si>
  <si>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</si>
  <si>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</si>
  <si>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</si>
  <si>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</si>
  <si>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</si>
  <si>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</si>
  <si>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</si>
  <si>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</si>
  <si>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</si>
  <si>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</si>
  <si>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</si>
  <si>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</si>
  <si>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</si>
  <si>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</si>
  <si>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</si>
  <si>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</si>
  <si>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</si>
  <si>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</si>
  <si>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</si>
  <si>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</si>
  <si>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</si>
  <si>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Parámetros</t>
  </si>
  <si>
    <t>CJ - Cheques en cartera (Ordenados por fecha de vencimiento)</t>
  </si>
  <si>
    <t>Cuenta corriente</t>
  </si>
  <si>
    <t>Descripción cuenta de tesoreria</t>
  </si>
  <si>
    <t>Fecha calculada</t>
  </si>
  <si>
    <t>Número interno</t>
  </si>
  <si>
    <t>Número de cheque/doc</t>
  </si>
  <si>
    <t>Categoría del cheque</t>
  </si>
  <si>
    <t>Código de banco</t>
  </si>
  <si>
    <t>Importe</t>
  </si>
  <si>
    <t>CLIENTE</t>
  </si>
  <si>
    <t>PROVEEDOR</t>
  </si>
  <si>
    <t>NCLIENTE</t>
  </si>
  <si>
    <t>NPROVEEDOR</t>
  </si>
  <si>
    <t>BANCO</t>
  </si>
  <si>
    <t>MECHEQ</t>
  </si>
  <si>
    <t>ECHEQ</t>
  </si>
  <si>
    <t>VAL01</t>
  </si>
  <si>
    <t>Valores a depositar</t>
  </si>
  <si>
    <t>T</t>
  </si>
  <si>
    <t>011</t>
  </si>
  <si>
    <t>CONGELADOS LOS TANOS S. A.</t>
  </si>
  <si>
    <t/>
  </si>
  <si>
    <t>I7358</t>
  </si>
  <si>
    <t>BANCO DE LA NACION ARGENTINA</t>
  </si>
  <si>
    <t>014</t>
  </si>
  <si>
    <t>GUBITI SA</t>
  </si>
  <si>
    <t>I7325</t>
  </si>
  <si>
    <t>BANCO DE LA PROVINCIA DE BUENOS AIRES</t>
  </si>
  <si>
    <t>S</t>
  </si>
  <si>
    <t>E</t>
  </si>
  <si>
    <t>034</t>
  </si>
  <si>
    <t>BANCO PATAGONIA S.A.</t>
  </si>
  <si>
    <t>P</t>
  </si>
  <si>
    <t>015</t>
  </si>
  <si>
    <t>LUDAPEZ SA</t>
  </si>
  <si>
    <t>I7238</t>
  </si>
  <si>
    <t>ICBC-INDUSTRIAL AND COMMERCIAL BANK OF CHINA</t>
  </si>
  <si>
    <t>025</t>
  </si>
  <si>
    <t>LACAR FISH SA</t>
  </si>
  <si>
    <t>I7116</t>
  </si>
  <si>
    <t>BANCO SANTANDER RIO</t>
  </si>
  <si>
    <t>017</t>
  </si>
  <si>
    <t>BBVA Banco Frances S.A</t>
  </si>
  <si>
    <t>322</t>
  </si>
  <si>
    <t>CONGELADOS ARTICO SA</t>
  </si>
  <si>
    <t>I854</t>
  </si>
  <si>
    <t>NUEVO BANCO INDUSTRIAL DE AZUL S.A.</t>
  </si>
  <si>
    <t>007</t>
  </si>
  <si>
    <t>COMERCIAL INAL 2005 SA</t>
  </si>
  <si>
    <t>I7222</t>
  </si>
  <si>
    <t>BANCO DE GALICIA Y BUENOS AIRES S.A.</t>
  </si>
  <si>
    <t>PROYECTOS DEL MAR SRL</t>
  </si>
  <si>
    <t>I636</t>
  </si>
  <si>
    <t>285</t>
  </si>
  <si>
    <t>27 DE NOVIEMBRE SA</t>
  </si>
  <si>
    <t>I596</t>
  </si>
  <si>
    <t>BANCO MACRO BANSUD S.A.</t>
  </si>
  <si>
    <t>SAORI SA</t>
  </si>
  <si>
    <t>I7302</t>
  </si>
  <si>
    <t>191</t>
  </si>
  <si>
    <t>COOPERATIVA DE TRABAJO CAÑAMAR LIMITADA</t>
  </si>
  <si>
    <t>I7310</t>
  </si>
  <si>
    <t>BANCO CREDICOOP COOPERATIVO LIMITADO</t>
  </si>
  <si>
    <t>MARISQUERIA SANTA RITA SRL</t>
  </si>
  <si>
    <t>I6</t>
  </si>
  <si>
    <t>247</t>
  </si>
  <si>
    <t>LUCRINO MARE SA</t>
  </si>
  <si>
    <t>I7159</t>
  </si>
  <si>
    <t>BANCO ROELA S.A.</t>
  </si>
  <si>
    <t>FRIGOSUR SRL</t>
  </si>
  <si>
    <t>I468</t>
  </si>
  <si>
    <t>NATUSUR SA</t>
  </si>
  <si>
    <t>I443</t>
  </si>
  <si>
    <t>LUMELL SA</t>
  </si>
  <si>
    <t>I7253</t>
  </si>
  <si>
    <t>INDUSTRIAS EL CORSARIO S.A.</t>
  </si>
  <si>
    <t>I7335</t>
  </si>
  <si>
    <t>FRIO SUR SRL</t>
  </si>
  <si>
    <t>I208</t>
  </si>
  <si>
    <t>MARDI SA</t>
  </si>
  <si>
    <t>I227</t>
  </si>
  <si>
    <t>COOPERATIVA  DE TRABAJO DOÑA FRANCISCA LTDA</t>
  </si>
  <si>
    <t>I7149</t>
  </si>
  <si>
    <t>LA ISOLANA SA</t>
  </si>
  <si>
    <t>I7356</t>
  </si>
  <si>
    <t>FERNANDEZ CARLOS LEONARDO</t>
  </si>
  <si>
    <t>I7338</t>
  </si>
  <si>
    <t>005</t>
  </si>
  <si>
    <t>ABM AMRO BANK N.V.</t>
  </si>
  <si>
    <t>ALIMENPES SA</t>
  </si>
  <si>
    <t>I7332</t>
  </si>
  <si>
    <t>OLAMAR SA</t>
  </si>
  <si>
    <t>I7366</t>
  </si>
  <si>
    <t>016</t>
  </si>
  <si>
    <t>CITIBANK N.A.</t>
  </si>
  <si>
    <t>027</t>
  </si>
  <si>
    <t>BANCO SUPERVIELLE S.A.</t>
  </si>
  <si>
    <t>CLUB ATLETICO ALDOSIVI</t>
  </si>
  <si>
    <t>I7203</t>
  </si>
  <si>
    <t>Cuenta corriente   valor: VAL01</t>
  </si>
  <si>
    <t>Vencimiento al   valor: 20280408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</si>
</sst>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3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  <cell r="DA97">
            <v>16549621.550000001</v>
          </cell>
          <cell r="DB97">
            <v>17096376.949999999</v>
          </cell>
          <cell r="DD97">
            <v>19516839.159499999</v>
          </cell>
          <cell r="DE97">
            <v>19391145.541500002</v>
          </cell>
          <cell r="DF97">
            <v>20317621.8455</v>
          </cell>
          <cell r="DG97">
            <v>20859354.059499998</v>
          </cell>
          <cell r="DH97">
            <v>21021982.127500001</v>
          </cell>
          <cell r="DI97">
            <v>23312341.877499998</v>
          </cell>
          <cell r="DJ97">
            <v>22242722.248500001</v>
          </cell>
          <cell r="DK97">
            <v>21929048.237500004</v>
          </cell>
          <cell r="DO97">
            <v>23451105.440499999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7" t="s">
        <v>0</v>
      </c>
      <c r="B1" s="77"/>
      <c r="C1" s="77"/>
      <c r="D1" s="77"/>
      <c r="E1" s="77"/>
      <c r="F1" s="77"/>
    </row>
    <row r="2" spans="1:6" ht="19.5" customHeight="1" x14ac:dyDescent="0.25">
      <c r="A2" s="78" t="s">
        <v>1</v>
      </c>
      <c r="B2" s="78"/>
      <c r="C2" s="78"/>
      <c r="D2" s="78"/>
      <c r="E2" s="78"/>
      <c r="F2" s="78"/>
    </row>
    <row r="5" spans="1:6" ht="15" customHeight="1" x14ac:dyDescent="0.25">
      <c r="A5" s="2"/>
      <c r="B5" s="3"/>
    </row>
    <row r="6" spans="1:6" ht="15" customHeight="1" x14ac:dyDescent="0.25">
      <c r="A6" s="76" t="s">
        <v>2</v>
      </c>
      <c r="B6" s="76"/>
      <c r="C6" s="76"/>
      <c r="D6" s="76"/>
      <c r="E6" s="76"/>
      <c r="F6" s="76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6" t="s">
        <v>21</v>
      </c>
      <c r="B17" s="76"/>
      <c r="C17" s="76"/>
      <c r="D17" s="76"/>
      <c r="E17" s="76"/>
      <c r="F17" s="76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6" t="s">
        <v>32</v>
      </c>
      <c r="B24" s="76"/>
      <c r="C24" s="76"/>
      <c r="D24" s="76"/>
      <c r="E24" s="76"/>
      <c r="F24" s="76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6" t="s">
        <v>47</v>
      </c>
      <c r="B33" s="76"/>
      <c r="C33" s="76"/>
      <c r="D33" s="76"/>
      <c r="E33" s="76"/>
      <c r="F33" s="76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S3" zoomScaleNormal="100" workbookViewId="0">
      <pane ySplit="1" topLeftCell="A101" activePane="bottomLeft" state="frozen"/>
      <selection activeCell="A3" sqref="A3"/>
      <selection pane="bottomLeft" activeCell="AJ117" sqref="AJ117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7.425781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8554687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1" t="s">
        <v>54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37" ht="21.75" hidden="1" customHeight="1" x14ac:dyDescent="0.25">
      <c r="A2" s="5" t="s">
        <v>55</v>
      </c>
      <c r="B2" s="5" t="s">
        <v>56</v>
      </c>
      <c r="C2" s="72" t="s">
        <v>57</v>
      </c>
      <c r="D2" s="72"/>
      <c r="E2" s="72"/>
      <c r="F2" s="72"/>
      <c r="G2" s="72"/>
      <c r="H2" s="72"/>
      <c r="I2" s="72"/>
      <c r="J2" s="73" t="s">
        <v>58</v>
      </c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4" t="s">
        <v>59</v>
      </c>
      <c r="X2" s="74"/>
      <c r="Y2" s="74"/>
      <c r="Z2" s="74"/>
      <c r="AA2" s="74"/>
      <c r="AB2" s="74"/>
      <c r="AC2" s="74"/>
      <c r="AD2" s="74"/>
      <c r="AE2" s="74"/>
      <c r="AF2" s="1"/>
      <c r="AG2" s="75"/>
      <c r="AH2" s="75"/>
      <c r="AI2" s="75"/>
      <c r="AJ2" s="75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12457096.382999999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13310282.683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9255314.4630000032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9079082.2650000025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10753652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10972527.037500003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10949887.950000001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11250560.032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10968761.151000001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11754724.031500001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12774427.1315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12799702.291499998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13832646.739500001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14177312.419500001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15757126.767000001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16549621.550000001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17096376.949999999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19516839.159499999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19391145.541500002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20317621.8455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20859354.059499998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21021982.127500001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23312341.877499998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22242722.248500001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21929048.237500004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>+Z113</f>
        <v>191016771.98655012</v>
      </c>
      <c r="AA114" s="63">
        <v>5652402569</v>
      </c>
      <c r="AB114" s="63">
        <f t="shared" ref="AB114:AE116" si="19">+AB113</f>
        <v>1202455.9875649996</v>
      </c>
      <c r="AC114" s="63">
        <f t="shared" si="19"/>
        <v>10000000</v>
      </c>
      <c r="AD114" s="63">
        <f t="shared" si="19"/>
        <v>220000</v>
      </c>
      <c r="AE114" s="63">
        <f t="shared" si="19"/>
        <v>280000</v>
      </c>
      <c r="AF114" s="63">
        <v>22041872.140500002</v>
      </c>
      <c r="AG114" s="63">
        <f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>+Z114</f>
        <v>191016771.98655012</v>
      </c>
      <c r="AA115" s="63">
        <v>5654402569</v>
      </c>
      <c r="AB115" s="63">
        <f t="shared" si="19"/>
        <v>1202455.9875649996</v>
      </c>
      <c r="AC115" s="63">
        <f t="shared" si="19"/>
        <v>10000000</v>
      </c>
      <c r="AD115" s="63">
        <f t="shared" si="19"/>
        <v>220000</v>
      </c>
      <c r="AE115" s="63">
        <f t="shared" si="19"/>
        <v>280000</v>
      </c>
      <c r="AF115" s="63">
        <v>22898816.490500003</v>
      </c>
      <c r="AG115" s="63">
        <f>+AG114</f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>+Z115</f>
        <v>191016771.98655012</v>
      </c>
      <c r="AA116" s="63">
        <v>5279024308</v>
      </c>
      <c r="AB116" s="63">
        <f t="shared" si="19"/>
        <v>1202455.9875649996</v>
      </c>
      <c r="AC116" s="63">
        <f t="shared" si="19"/>
        <v>10000000</v>
      </c>
      <c r="AD116" s="63">
        <f t="shared" si="19"/>
        <v>220000</v>
      </c>
      <c r="AE116" s="63">
        <f t="shared" si="19"/>
        <v>280000</v>
      </c>
      <c r="AF116" s="63">
        <v>23016844.990500003</v>
      </c>
      <c r="AG116" s="63">
        <f>+AG115</f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>+Z116</f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23451105.440499999</v>
      </c>
      <c r="AG117" s="63">
        <f>+AG116</f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1" t="s">
        <v>96</v>
      </c>
      <c r="B1" s="71"/>
      <c r="C1" s="71"/>
      <c r="D1" s="71"/>
      <c r="E1" s="71"/>
      <c r="F1" s="71"/>
      <c r="G1" s="71"/>
      <c r="H1" s="71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-46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-31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-20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-10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1" t="s">
        <v>115</v>
      </c>
      <c r="B1" s="71"/>
      <c r="C1" s="71"/>
      <c r="D1" s="71"/>
      <c r="E1" s="71"/>
      <c r="F1" s="71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1" t="s">
        <v>121</v>
      </c>
      <c r="B1" s="71"/>
      <c r="C1" s="71"/>
      <c r="D1" s="71"/>
      <c r="E1" s="71"/>
      <c r="F1" s="71"/>
      <c r="G1" s="71"/>
    </row>
    <row r="2" spans="1:7" ht="15.75" customHeight="1" x14ac:dyDescent="0.25">
      <c r="A2" s="79" t="s">
        <v>122</v>
      </c>
      <c r="B2" s="79"/>
      <c r="C2" s="79"/>
      <c r="D2" s="79"/>
      <c r="E2" s="79"/>
      <c r="F2" s="79"/>
      <c r="G2" s="79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1" t="s">
        <v>138</v>
      </c>
      <c r="B1" s="71"/>
      <c r="C1" s="71"/>
      <c r="D1" s="71"/>
      <c r="E1" s="71"/>
      <c r="F1" s="71"/>
      <c r="G1" s="71"/>
      <c r="H1" s="71"/>
    </row>
    <row r="2" spans="1:8" ht="18" customHeight="1" x14ac:dyDescent="0.25">
      <c r="A2" s="80" t="s">
        <v>139</v>
      </c>
      <c r="B2" s="80"/>
      <c r="C2" s="80"/>
      <c r="D2" s="80"/>
      <c r="E2" s="80"/>
      <c r="F2" s="80"/>
      <c r="G2" s="80"/>
      <c r="H2" s="80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32020310.270748958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12987219.399351403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32122260.068483379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13091654.155027416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34767561.941404432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15979469.73293462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34141128.118087247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15492706.188695654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34588622.823741063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15814784.255246453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34928622.429486081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16166679.323628426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34505201.825697854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16070481.114517119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36869078.532006845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18305092.810204484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35412058.899558417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17033911.712937374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35314516.427506819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17232178.903482001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35951986.998958401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17498920.977446683</v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923"/>
  <sheetViews>
    <sheetView showGridLines="0" zoomScale="80" zoomScaleNormal="80" workbookViewId="0">
      <pane ySplit="3" topLeftCell="A292" activePane="bottomLeft" state="frozen"/>
      <selection pane="bottomLeft" activeCell="K306" sqref="K30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1" t="s">
        <v>147</v>
      </c>
      <c r="B1" s="71"/>
      <c r="C1" s="71"/>
      <c r="D1" s="71"/>
      <c r="E1" s="71"/>
      <c r="F1" s="71"/>
      <c r="G1" s="71"/>
    </row>
    <row r="2" spans="1:7" ht="15.75" customHeight="1" x14ac:dyDescent="0.25">
      <c r="A2" s="81" t="s">
        <v>148</v>
      </c>
      <c r="B2" s="81"/>
      <c r="C2" s="81"/>
      <c r="D2" s="81"/>
      <c r="E2" s="81"/>
      <c r="F2" s="81"/>
      <c r="G2" s="8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tr">
        <f>+I471</f>
        <v>CONGELADOS LOS TANOS S. A.</v>
      </c>
      <c r="B4">
        <f>+E471</f>
        <v>2219061</v>
      </c>
      <c r="C4" s="67">
        <f>+H471</f>
        <v>3400000</v>
      </c>
      <c r="D4" s="13">
        <v>46168</v>
      </c>
      <c r="E4" s="64">
        <v>46221.000138888892</v>
      </c>
      <c r="F4" s="40">
        <f>+E4+2</f>
        <v>46223.000138888892</v>
      </c>
      <c r="G4" s="27"/>
    </row>
    <row r="5" spans="1:7" ht="15.75" customHeight="1" x14ac:dyDescent="0.25">
      <c r="A5" t="str">
        <f t="shared" ref="A5:A68" si="0">+I472</f>
        <v>GUBITI SA</v>
      </c>
      <c r="B5">
        <f t="shared" ref="B5:B68" si="1">+E472</f>
        <v>281</v>
      </c>
      <c r="C5" s="67">
        <f t="shared" ref="C5:C68" si="2">+H472</f>
        <v>1000000</v>
      </c>
      <c r="D5" s="13">
        <v>46169</v>
      </c>
      <c r="E5" s="64">
        <v>46222</v>
      </c>
      <c r="F5" s="40">
        <f t="shared" ref="F5:F68" si="3">+E5+2</f>
        <v>46224</v>
      </c>
      <c r="G5" s="27"/>
    </row>
    <row r="6" spans="1:7" ht="15.75" customHeight="1" x14ac:dyDescent="0.25">
      <c r="A6" t="str">
        <f t="shared" si="0"/>
        <v>GUBITI SA</v>
      </c>
      <c r="B6">
        <f t="shared" si="1"/>
        <v>3122689</v>
      </c>
      <c r="C6" s="67">
        <f t="shared" si="2"/>
        <v>658914</v>
      </c>
      <c r="D6" s="13">
        <v>46170</v>
      </c>
      <c r="E6" s="64">
        <v>46223</v>
      </c>
      <c r="F6" s="40">
        <f t="shared" si="3"/>
        <v>46225</v>
      </c>
      <c r="G6" s="27"/>
    </row>
    <row r="7" spans="1:7" ht="15.75" customHeight="1" x14ac:dyDescent="0.25">
      <c r="A7" t="str">
        <f t="shared" si="0"/>
        <v>LUDAPEZ SA</v>
      </c>
      <c r="B7">
        <f t="shared" si="1"/>
        <v>13378069</v>
      </c>
      <c r="C7" s="67">
        <f t="shared" si="2"/>
        <v>2465900</v>
      </c>
      <c r="D7" s="13">
        <v>46171</v>
      </c>
      <c r="E7" s="64">
        <v>46224</v>
      </c>
      <c r="F7" s="40">
        <f t="shared" si="3"/>
        <v>46226</v>
      </c>
      <c r="G7" s="27"/>
    </row>
    <row r="8" spans="1:7" ht="15.75" customHeight="1" x14ac:dyDescent="0.25">
      <c r="A8" t="str">
        <f t="shared" si="0"/>
        <v>LACAR FISH SA</v>
      </c>
      <c r="B8">
        <f t="shared" si="1"/>
        <v>78055886</v>
      </c>
      <c r="C8" s="67">
        <f t="shared" si="2"/>
        <v>500000</v>
      </c>
      <c r="D8" s="13">
        <v>46172</v>
      </c>
      <c r="E8" s="64">
        <v>46225</v>
      </c>
      <c r="F8" s="40">
        <f t="shared" si="3"/>
        <v>46227</v>
      </c>
      <c r="G8" s="27"/>
    </row>
    <row r="9" spans="1:7" ht="15.75" customHeight="1" x14ac:dyDescent="0.25">
      <c r="A9" t="str">
        <f t="shared" si="0"/>
        <v>GUBITI SA</v>
      </c>
      <c r="B9">
        <f t="shared" si="1"/>
        <v>80657184</v>
      </c>
      <c r="C9" s="67">
        <f t="shared" si="2"/>
        <v>536720.94999999995</v>
      </c>
      <c r="D9" s="13">
        <v>46173</v>
      </c>
      <c r="E9" s="64">
        <v>46226</v>
      </c>
      <c r="F9" s="40">
        <f t="shared" si="3"/>
        <v>46228</v>
      </c>
      <c r="G9" s="27"/>
    </row>
    <row r="10" spans="1:7" ht="15.75" customHeight="1" x14ac:dyDescent="0.25">
      <c r="A10" t="str">
        <f t="shared" si="0"/>
        <v>CONGELADOS ARTICO SA</v>
      </c>
      <c r="B10">
        <f t="shared" si="1"/>
        <v>2430</v>
      </c>
      <c r="C10" s="67">
        <f t="shared" si="2"/>
        <v>70000000</v>
      </c>
      <c r="D10" s="13">
        <v>46174</v>
      </c>
      <c r="E10" s="64">
        <v>46227</v>
      </c>
      <c r="F10" s="40">
        <f t="shared" si="3"/>
        <v>46229</v>
      </c>
      <c r="G10" s="27"/>
    </row>
    <row r="11" spans="1:7" ht="15.75" customHeight="1" x14ac:dyDescent="0.25">
      <c r="A11" t="str">
        <f t="shared" si="0"/>
        <v>COMERCIAL INAL 2005 SA</v>
      </c>
      <c r="B11">
        <f t="shared" si="1"/>
        <v>6818</v>
      </c>
      <c r="C11" s="67">
        <f t="shared" si="2"/>
        <v>22336160</v>
      </c>
      <c r="D11" s="13">
        <v>46175</v>
      </c>
      <c r="E11" s="64">
        <v>46228</v>
      </c>
      <c r="F11" s="40">
        <f t="shared" si="3"/>
        <v>46230</v>
      </c>
      <c r="G11" s="27"/>
    </row>
    <row r="12" spans="1:7" ht="15.75" customHeight="1" x14ac:dyDescent="0.25">
      <c r="A12" t="str">
        <f t="shared" si="0"/>
        <v>PROYECTOS DEL MAR SRL</v>
      </c>
      <c r="B12">
        <f t="shared" si="1"/>
        <v>9487744</v>
      </c>
      <c r="C12" s="67">
        <f t="shared" si="2"/>
        <v>8879287.4600000009</v>
      </c>
      <c r="D12" s="13">
        <v>46176</v>
      </c>
      <c r="E12" s="64">
        <v>46229</v>
      </c>
      <c r="F12" s="40">
        <f t="shared" si="3"/>
        <v>46231</v>
      </c>
      <c r="G12" s="27"/>
    </row>
    <row r="13" spans="1:7" ht="15.75" customHeight="1" x14ac:dyDescent="0.25">
      <c r="A13" t="str">
        <f t="shared" si="0"/>
        <v>LUDAPEZ SA</v>
      </c>
      <c r="B13">
        <f t="shared" si="1"/>
        <v>13378071</v>
      </c>
      <c r="C13" s="67">
        <f t="shared" si="2"/>
        <v>2500000</v>
      </c>
      <c r="D13" s="13">
        <v>46177</v>
      </c>
      <c r="E13" s="64">
        <v>46230</v>
      </c>
      <c r="F13" s="40">
        <f t="shared" si="3"/>
        <v>46232</v>
      </c>
      <c r="G13" s="27"/>
    </row>
    <row r="14" spans="1:7" ht="15.75" customHeight="1" x14ac:dyDescent="0.25">
      <c r="A14" t="str">
        <f t="shared" si="0"/>
        <v>LUDAPEZ SA</v>
      </c>
      <c r="B14">
        <f t="shared" si="1"/>
        <v>13378072</v>
      </c>
      <c r="C14" s="67">
        <f t="shared" si="2"/>
        <v>2500000</v>
      </c>
      <c r="D14" s="13">
        <v>46178</v>
      </c>
      <c r="E14" s="64">
        <v>46231</v>
      </c>
      <c r="F14" s="40">
        <f t="shared" si="3"/>
        <v>46233</v>
      </c>
      <c r="G14" s="27"/>
    </row>
    <row r="15" spans="1:7" ht="15.75" customHeight="1" x14ac:dyDescent="0.25">
      <c r="A15" t="str">
        <f t="shared" si="0"/>
        <v>LUDAPEZ SA</v>
      </c>
      <c r="B15">
        <f t="shared" si="1"/>
        <v>13378073</v>
      </c>
      <c r="C15" s="67">
        <f t="shared" si="2"/>
        <v>2500000</v>
      </c>
      <c r="D15" s="13">
        <v>46179</v>
      </c>
      <c r="E15" s="64">
        <v>46232</v>
      </c>
      <c r="F15" s="40">
        <f t="shared" si="3"/>
        <v>46234</v>
      </c>
      <c r="G15" s="27"/>
    </row>
    <row r="16" spans="1:7" ht="15.75" customHeight="1" x14ac:dyDescent="0.25">
      <c r="A16" t="str">
        <f t="shared" si="0"/>
        <v>27 DE NOVIEMBRE SA</v>
      </c>
      <c r="B16">
        <f t="shared" si="1"/>
        <v>66612110</v>
      </c>
      <c r="C16" s="67">
        <f t="shared" si="2"/>
        <v>14000000</v>
      </c>
      <c r="D16" s="13">
        <v>46180</v>
      </c>
      <c r="E16" s="64">
        <v>46233</v>
      </c>
      <c r="F16" s="40">
        <f t="shared" si="3"/>
        <v>46235</v>
      </c>
      <c r="G16" s="27"/>
    </row>
    <row r="17" spans="1:7" ht="15.75" customHeight="1" x14ac:dyDescent="0.25">
      <c r="A17" t="str">
        <f t="shared" si="0"/>
        <v>SAORI SA</v>
      </c>
      <c r="B17">
        <f t="shared" si="1"/>
        <v>66487132</v>
      </c>
      <c r="C17" s="67">
        <f t="shared" si="2"/>
        <v>4796000</v>
      </c>
      <c r="D17" s="13">
        <v>46181</v>
      </c>
      <c r="E17" s="64">
        <v>46234</v>
      </c>
      <c r="F17" s="40">
        <f t="shared" si="3"/>
        <v>46236</v>
      </c>
      <c r="G17" s="27"/>
    </row>
    <row r="18" spans="1:7" ht="15.75" customHeight="1" x14ac:dyDescent="0.25">
      <c r="A18" t="str">
        <f t="shared" si="0"/>
        <v>COOPERATIVA DE TRABAJO CAÑAMAR LIMITADA</v>
      </c>
      <c r="B18">
        <f t="shared" si="1"/>
        <v>40631416</v>
      </c>
      <c r="C18" s="67">
        <f t="shared" si="2"/>
        <v>422645</v>
      </c>
      <c r="D18" s="13">
        <v>46182</v>
      </c>
      <c r="E18" s="64">
        <v>46235</v>
      </c>
      <c r="F18" s="40">
        <f t="shared" si="3"/>
        <v>46237</v>
      </c>
      <c r="G18" s="27"/>
    </row>
    <row r="19" spans="1:7" ht="15.75" customHeight="1" x14ac:dyDescent="0.25">
      <c r="A19" t="str">
        <f t="shared" si="0"/>
        <v>COOPERATIVA DE TRABAJO CAÑAMAR LIMITADA</v>
      </c>
      <c r="B19">
        <f t="shared" si="1"/>
        <v>66823490</v>
      </c>
      <c r="C19" s="67">
        <f t="shared" si="2"/>
        <v>1490156.91</v>
      </c>
      <c r="D19" s="13">
        <v>46183</v>
      </c>
      <c r="E19" s="64">
        <v>46236</v>
      </c>
      <c r="F19" s="40">
        <f t="shared" si="3"/>
        <v>46238</v>
      </c>
      <c r="G19" s="27"/>
    </row>
    <row r="20" spans="1:7" ht="15.75" customHeight="1" x14ac:dyDescent="0.25">
      <c r="A20" t="str">
        <f t="shared" si="0"/>
        <v>COOPERATIVA DE TRABAJO CAÑAMAR LIMITADA</v>
      </c>
      <c r="B20">
        <f t="shared" si="1"/>
        <v>90003063</v>
      </c>
      <c r="C20" s="67">
        <f t="shared" si="2"/>
        <v>330756</v>
      </c>
      <c r="D20" s="13">
        <v>46184</v>
      </c>
      <c r="E20" s="64">
        <v>46237</v>
      </c>
      <c r="F20" s="40">
        <f t="shared" si="3"/>
        <v>46239</v>
      </c>
      <c r="G20" s="27"/>
    </row>
    <row r="21" spans="1:7" ht="15.75" customHeight="1" x14ac:dyDescent="0.25">
      <c r="A21" t="str">
        <f t="shared" si="0"/>
        <v>CONGELADOS ARTICO SA</v>
      </c>
      <c r="B21">
        <f t="shared" si="1"/>
        <v>29305989</v>
      </c>
      <c r="C21" s="67">
        <f t="shared" si="2"/>
        <v>15000000</v>
      </c>
      <c r="D21" s="13">
        <v>46185</v>
      </c>
      <c r="E21" s="64">
        <v>46238</v>
      </c>
      <c r="F21" s="40">
        <f t="shared" si="3"/>
        <v>46240</v>
      </c>
      <c r="G21" s="27"/>
    </row>
    <row r="22" spans="1:7" ht="15.75" customHeight="1" x14ac:dyDescent="0.25">
      <c r="A22" t="str">
        <f t="shared" si="0"/>
        <v>CONGELADOS ARTICO SA</v>
      </c>
      <c r="B22">
        <f t="shared" si="1"/>
        <v>29305988</v>
      </c>
      <c r="C22" s="67">
        <f t="shared" si="2"/>
        <v>8573913.8200000003</v>
      </c>
      <c r="D22" s="13">
        <v>46186</v>
      </c>
      <c r="E22" s="64">
        <v>46239</v>
      </c>
      <c r="F22" s="40">
        <f t="shared" si="3"/>
        <v>46241</v>
      </c>
      <c r="G22" s="27"/>
    </row>
    <row r="23" spans="1:7" ht="15.75" customHeight="1" x14ac:dyDescent="0.25">
      <c r="A23" t="str">
        <f t="shared" si="0"/>
        <v>LACAR FISH SA</v>
      </c>
      <c r="B23">
        <f t="shared" si="1"/>
        <v>78055897</v>
      </c>
      <c r="C23" s="67">
        <f t="shared" si="2"/>
        <v>907700</v>
      </c>
      <c r="D23" s="13">
        <v>46187</v>
      </c>
      <c r="E23" s="64">
        <v>46240</v>
      </c>
      <c r="F23" s="40">
        <f t="shared" si="3"/>
        <v>46242</v>
      </c>
      <c r="G23" s="27"/>
    </row>
    <row r="24" spans="1:7" ht="15.75" customHeight="1" x14ac:dyDescent="0.25">
      <c r="A24" t="str">
        <f t="shared" si="0"/>
        <v>LACAR FISH SA</v>
      </c>
      <c r="B24">
        <f t="shared" si="1"/>
        <v>78055902</v>
      </c>
      <c r="C24" s="67">
        <f t="shared" si="2"/>
        <v>960000</v>
      </c>
      <c r="D24" s="13">
        <v>46188</v>
      </c>
      <c r="E24" s="64">
        <v>46241</v>
      </c>
      <c r="F24" s="40">
        <f t="shared" si="3"/>
        <v>46243</v>
      </c>
      <c r="G24" s="27"/>
    </row>
    <row r="25" spans="1:7" ht="15.75" customHeight="1" x14ac:dyDescent="0.25">
      <c r="A25" t="str">
        <f t="shared" si="0"/>
        <v>MARISQUERIA SANTA RITA SRL</v>
      </c>
      <c r="B25">
        <f t="shared" si="1"/>
        <v>4716</v>
      </c>
      <c r="C25" s="67">
        <f t="shared" si="2"/>
        <v>1300000</v>
      </c>
      <c r="D25" s="13">
        <v>46189</v>
      </c>
      <c r="E25" s="64">
        <v>46242</v>
      </c>
      <c r="F25" s="40">
        <f t="shared" si="3"/>
        <v>46244</v>
      </c>
      <c r="G25" s="27"/>
    </row>
    <row r="26" spans="1:7" ht="15.75" customHeight="1" x14ac:dyDescent="0.25">
      <c r="A26" t="str">
        <f t="shared" si="0"/>
        <v>MARISQUERIA SANTA RITA SRL</v>
      </c>
      <c r="B26">
        <f t="shared" si="1"/>
        <v>4633</v>
      </c>
      <c r="C26" s="67">
        <f t="shared" si="2"/>
        <v>1162600</v>
      </c>
      <c r="D26" s="13">
        <v>46190</v>
      </c>
      <c r="E26" s="64">
        <v>46243</v>
      </c>
      <c r="F26" s="40">
        <f t="shared" si="3"/>
        <v>46245</v>
      </c>
      <c r="G26" s="27"/>
    </row>
    <row r="27" spans="1:7" ht="15.75" customHeight="1" x14ac:dyDescent="0.25">
      <c r="A27" t="str">
        <f t="shared" si="0"/>
        <v>MARISQUERIA SANTA RITA SRL</v>
      </c>
      <c r="B27">
        <f t="shared" si="1"/>
        <v>4742</v>
      </c>
      <c r="C27" s="67">
        <f t="shared" si="2"/>
        <v>1200000</v>
      </c>
      <c r="D27" s="13">
        <v>46191</v>
      </c>
      <c r="E27" s="64">
        <v>46244</v>
      </c>
      <c r="F27" s="40">
        <f t="shared" si="3"/>
        <v>46246</v>
      </c>
      <c r="G27" s="27"/>
    </row>
    <row r="28" spans="1:7" ht="15.75" customHeight="1" x14ac:dyDescent="0.25">
      <c r="A28" t="str">
        <f t="shared" si="0"/>
        <v>LACAR FISH SA</v>
      </c>
      <c r="B28">
        <f t="shared" si="1"/>
        <v>78055908</v>
      </c>
      <c r="C28" s="67">
        <f t="shared" si="2"/>
        <v>1130000</v>
      </c>
      <c r="D28" s="13">
        <v>46192</v>
      </c>
      <c r="E28" s="64">
        <v>46245</v>
      </c>
      <c r="F28" s="40">
        <f t="shared" si="3"/>
        <v>46247</v>
      </c>
      <c r="G28" s="27"/>
    </row>
    <row r="29" spans="1:7" ht="15.75" customHeight="1" x14ac:dyDescent="0.25">
      <c r="A29" t="str">
        <f t="shared" si="0"/>
        <v>LUCRINO MARE SA</v>
      </c>
      <c r="B29">
        <f t="shared" si="1"/>
        <v>11234554</v>
      </c>
      <c r="C29" s="67">
        <f t="shared" si="2"/>
        <v>990000</v>
      </c>
      <c r="D29" s="13">
        <v>46193</v>
      </c>
      <c r="E29" s="64">
        <v>46246</v>
      </c>
      <c r="F29" s="40">
        <f t="shared" si="3"/>
        <v>46248</v>
      </c>
      <c r="G29" s="27"/>
    </row>
    <row r="30" spans="1:7" ht="15.75" customHeight="1" x14ac:dyDescent="0.25">
      <c r="A30" t="str">
        <f t="shared" si="0"/>
        <v>FRIGOSUR SRL</v>
      </c>
      <c r="B30">
        <f t="shared" si="1"/>
        <v>16</v>
      </c>
      <c r="C30" s="67">
        <f t="shared" si="2"/>
        <v>19042210</v>
      </c>
      <c r="D30" s="13">
        <v>46194</v>
      </c>
      <c r="E30" s="64">
        <v>46247</v>
      </c>
      <c r="F30" s="40">
        <f t="shared" si="3"/>
        <v>46249</v>
      </c>
      <c r="G30" s="27"/>
    </row>
    <row r="31" spans="1:7" ht="15.75" customHeight="1" x14ac:dyDescent="0.25">
      <c r="A31" t="str">
        <f t="shared" si="0"/>
        <v>SAORI SA</v>
      </c>
      <c r="B31">
        <f t="shared" si="1"/>
        <v>66486893</v>
      </c>
      <c r="C31" s="67">
        <f t="shared" si="2"/>
        <v>5000000</v>
      </c>
      <c r="D31" s="13">
        <v>46195</v>
      </c>
      <c r="E31" s="64">
        <v>46248</v>
      </c>
      <c r="F31" s="40">
        <f t="shared" si="3"/>
        <v>46250</v>
      </c>
      <c r="G31" s="27"/>
    </row>
    <row r="32" spans="1:7" ht="15.75" customHeight="1" x14ac:dyDescent="0.25">
      <c r="A32" t="str">
        <f t="shared" si="0"/>
        <v>LACAR FISH SA</v>
      </c>
      <c r="B32">
        <f t="shared" si="1"/>
        <v>78055903</v>
      </c>
      <c r="C32" s="67">
        <f t="shared" si="2"/>
        <v>960000</v>
      </c>
      <c r="D32" s="13">
        <v>46196</v>
      </c>
      <c r="E32" s="64">
        <v>46249</v>
      </c>
      <c r="F32" s="40">
        <f t="shared" si="3"/>
        <v>46251</v>
      </c>
      <c r="G32" s="27"/>
    </row>
    <row r="33" spans="1:12" ht="15.75" customHeight="1" x14ac:dyDescent="0.25">
      <c r="A33" t="str">
        <f t="shared" si="0"/>
        <v>MARISQUERIA SANTA RITA SRL</v>
      </c>
      <c r="B33">
        <f t="shared" si="1"/>
        <v>4717</v>
      </c>
      <c r="C33" s="67">
        <f t="shared" si="2"/>
        <v>1300000</v>
      </c>
      <c r="D33" s="13">
        <v>46197</v>
      </c>
      <c r="E33" s="64">
        <v>46250</v>
      </c>
      <c r="F33" s="40">
        <f t="shared" si="3"/>
        <v>46252</v>
      </c>
      <c r="G33" s="27"/>
    </row>
    <row r="34" spans="1:12" ht="15.75" customHeight="1" x14ac:dyDescent="0.25">
      <c r="A34" t="str">
        <f t="shared" si="0"/>
        <v>MARISQUERIA SANTA RITA SRL</v>
      </c>
      <c r="B34">
        <f t="shared" si="1"/>
        <v>4743</v>
      </c>
      <c r="C34" s="67">
        <f t="shared" si="2"/>
        <v>1200000</v>
      </c>
      <c r="D34" s="13">
        <v>46198</v>
      </c>
      <c r="E34" s="64">
        <v>46251</v>
      </c>
      <c r="F34" s="40">
        <f t="shared" si="3"/>
        <v>46253</v>
      </c>
      <c r="G34" s="27"/>
    </row>
    <row r="35" spans="1:12" ht="15.75" customHeight="1" x14ac:dyDescent="0.25">
      <c r="A35" t="str">
        <f t="shared" si="0"/>
        <v>MARISQUERIA SANTA RITA SRL</v>
      </c>
      <c r="B35">
        <f t="shared" si="1"/>
        <v>4772</v>
      </c>
      <c r="C35" s="67">
        <f t="shared" si="2"/>
        <v>1300000</v>
      </c>
      <c r="D35" s="13">
        <v>46199</v>
      </c>
      <c r="E35" s="64">
        <v>46252</v>
      </c>
      <c r="F35" s="40">
        <f t="shared" si="3"/>
        <v>46254</v>
      </c>
      <c r="G35" s="27"/>
    </row>
    <row r="36" spans="1:12" ht="15.75" customHeight="1" x14ac:dyDescent="0.25">
      <c r="A36" t="str">
        <f t="shared" si="0"/>
        <v>LACAR FISH SA</v>
      </c>
      <c r="B36">
        <f t="shared" si="1"/>
        <v>78055909</v>
      </c>
      <c r="C36" s="67">
        <f t="shared" si="2"/>
        <v>1130000</v>
      </c>
      <c r="D36" s="13">
        <v>46200</v>
      </c>
      <c r="E36" s="64">
        <v>46253</v>
      </c>
      <c r="F36" s="40">
        <f t="shared" si="3"/>
        <v>46255</v>
      </c>
      <c r="G36" s="27"/>
      <c r="L36" s="65"/>
    </row>
    <row r="37" spans="1:12" ht="15.75" customHeight="1" x14ac:dyDescent="0.25">
      <c r="A37" t="str">
        <f t="shared" si="0"/>
        <v>27 DE NOVIEMBRE SA</v>
      </c>
      <c r="B37">
        <f t="shared" si="1"/>
        <v>741</v>
      </c>
      <c r="C37" s="67">
        <f t="shared" si="2"/>
        <v>14000000</v>
      </c>
      <c r="D37" s="13">
        <v>46201</v>
      </c>
      <c r="E37" s="64">
        <v>46254</v>
      </c>
      <c r="F37" s="40">
        <f t="shared" si="3"/>
        <v>46256</v>
      </c>
      <c r="G37" s="27"/>
      <c r="L37" s="65"/>
    </row>
    <row r="38" spans="1:12" ht="15.75" customHeight="1" x14ac:dyDescent="0.25">
      <c r="A38" t="str">
        <f t="shared" si="0"/>
        <v>27 DE NOVIEMBRE SA</v>
      </c>
      <c r="B38">
        <f t="shared" si="1"/>
        <v>742</v>
      </c>
      <c r="C38" s="67">
        <f t="shared" si="2"/>
        <v>12277397.439999999</v>
      </c>
      <c r="D38" s="13">
        <v>46202</v>
      </c>
      <c r="E38" s="64">
        <v>46255</v>
      </c>
      <c r="F38" s="40">
        <f t="shared" si="3"/>
        <v>46257</v>
      </c>
      <c r="G38" s="27"/>
      <c r="L38" s="65"/>
    </row>
    <row r="39" spans="1:12" ht="15.75" customHeight="1" x14ac:dyDescent="0.25">
      <c r="A39" t="str">
        <f t="shared" si="0"/>
        <v>LUCRINO MARE SA</v>
      </c>
      <c r="B39">
        <f t="shared" si="1"/>
        <v>63573426</v>
      </c>
      <c r="C39" s="67">
        <f t="shared" si="2"/>
        <v>1500000</v>
      </c>
      <c r="D39" s="13">
        <v>46203</v>
      </c>
      <c r="E39" s="64">
        <v>46256</v>
      </c>
      <c r="F39" s="40">
        <f t="shared" si="3"/>
        <v>46258</v>
      </c>
      <c r="G39" s="27"/>
      <c r="L39" s="65"/>
    </row>
    <row r="40" spans="1:12" ht="15.75" customHeight="1" x14ac:dyDescent="0.25">
      <c r="A40" t="str">
        <f t="shared" si="0"/>
        <v>NATUSUR SA</v>
      </c>
      <c r="B40">
        <f t="shared" si="1"/>
        <v>6826539</v>
      </c>
      <c r="C40" s="67">
        <f t="shared" si="2"/>
        <v>460000</v>
      </c>
      <c r="D40" s="13">
        <v>46204</v>
      </c>
      <c r="E40" s="64">
        <v>46257</v>
      </c>
      <c r="F40" s="40">
        <f t="shared" si="3"/>
        <v>46259</v>
      </c>
      <c r="G40" s="27"/>
      <c r="L40" s="65"/>
    </row>
    <row r="41" spans="1:12" ht="15.75" customHeight="1" x14ac:dyDescent="0.25">
      <c r="A41" t="str">
        <f t="shared" si="0"/>
        <v>COOPERATIVA DE TRABAJO CAÑAMAR LIMITADA</v>
      </c>
      <c r="B41">
        <f t="shared" si="1"/>
        <v>29153824</v>
      </c>
      <c r="C41" s="67">
        <f t="shared" si="2"/>
        <v>8049582.4500000002</v>
      </c>
      <c r="D41" s="13">
        <v>46205</v>
      </c>
      <c r="E41" s="64">
        <v>46258</v>
      </c>
      <c r="F41" s="40">
        <f t="shared" si="3"/>
        <v>46260</v>
      </c>
      <c r="G41" s="27"/>
      <c r="L41" s="65"/>
    </row>
    <row r="42" spans="1:12" ht="15.75" customHeight="1" x14ac:dyDescent="0.25">
      <c r="A42" t="str">
        <f t="shared" si="0"/>
        <v>LACAR FISH SA</v>
      </c>
      <c r="B42">
        <f t="shared" si="1"/>
        <v>78055904</v>
      </c>
      <c r="C42" s="67">
        <f t="shared" si="2"/>
        <v>960000</v>
      </c>
      <c r="D42" s="13">
        <v>46206</v>
      </c>
      <c r="E42" s="64">
        <v>46259</v>
      </c>
      <c r="F42" s="40">
        <f t="shared" si="3"/>
        <v>46261</v>
      </c>
      <c r="G42" s="27"/>
      <c r="L42" s="65"/>
    </row>
    <row r="43" spans="1:12" ht="15.75" customHeight="1" x14ac:dyDescent="0.25">
      <c r="A43" t="str">
        <f t="shared" si="0"/>
        <v>LACAR FISH SA</v>
      </c>
      <c r="B43">
        <f t="shared" si="1"/>
        <v>78055910</v>
      </c>
      <c r="C43" s="67">
        <f t="shared" si="2"/>
        <v>1130000</v>
      </c>
      <c r="D43" s="13">
        <v>46207</v>
      </c>
      <c r="E43" s="64">
        <v>46260</v>
      </c>
      <c r="F43" s="40">
        <f t="shared" si="3"/>
        <v>46262</v>
      </c>
      <c r="G43" s="27"/>
      <c r="L43" s="65"/>
    </row>
    <row r="44" spans="1:12" ht="15.75" customHeight="1" x14ac:dyDescent="0.25">
      <c r="A44" t="str">
        <f t="shared" si="0"/>
        <v>LACAR FISH SA</v>
      </c>
      <c r="B44">
        <f t="shared" si="1"/>
        <v>78055920</v>
      </c>
      <c r="C44" s="67">
        <f t="shared" si="2"/>
        <v>1130000</v>
      </c>
      <c r="D44" s="13">
        <v>46208</v>
      </c>
      <c r="E44" s="64">
        <v>46261</v>
      </c>
      <c r="F44" s="40">
        <f t="shared" si="3"/>
        <v>46263</v>
      </c>
      <c r="G44" s="27"/>
      <c r="L44" s="65"/>
    </row>
    <row r="45" spans="1:12" ht="15.75" customHeight="1" x14ac:dyDescent="0.25">
      <c r="A45" t="str">
        <f t="shared" si="0"/>
        <v>LUMELL SA</v>
      </c>
      <c r="B45">
        <f t="shared" si="1"/>
        <v>136</v>
      </c>
      <c r="C45" s="67">
        <f t="shared" si="2"/>
        <v>3000206.61</v>
      </c>
      <c r="D45" s="13">
        <v>46209</v>
      </c>
      <c r="E45" s="64">
        <v>46262</v>
      </c>
      <c r="F45" s="40">
        <f t="shared" si="3"/>
        <v>46264</v>
      </c>
      <c r="G45" s="27"/>
      <c r="L45" s="65"/>
    </row>
    <row r="46" spans="1:12" ht="15.75" customHeight="1" x14ac:dyDescent="0.25">
      <c r="A46" t="str">
        <f t="shared" si="0"/>
        <v>LUMELL SA</v>
      </c>
      <c r="B46">
        <f t="shared" si="1"/>
        <v>137</v>
      </c>
      <c r="C46" s="67">
        <f t="shared" si="2"/>
        <v>3300000</v>
      </c>
      <c r="D46" s="13">
        <v>46210</v>
      </c>
      <c r="E46" s="64">
        <v>46263</v>
      </c>
      <c r="F46" s="40">
        <f t="shared" si="3"/>
        <v>46265</v>
      </c>
      <c r="G46" s="27"/>
      <c r="L46" s="65"/>
    </row>
    <row r="47" spans="1:12" ht="15.75" customHeight="1" x14ac:dyDescent="0.25">
      <c r="A47" t="str">
        <f t="shared" si="0"/>
        <v>LUMELL SA</v>
      </c>
      <c r="B47">
        <f t="shared" si="1"/>
        <v>139</v>
      </c>
      <c r="C47" s="67">
        <f t="shared" si="2"/>
        <v>3029000</v>
      </c>
      <c r="D47" s="13">
        <v>46211</v>
      </c>
      <c r="E47" s="64">
        <v>46264</v>
      </c>
      <c r="F47" s="40">
        <f t="shared" si="3"/>
        <v>46266</v>
      </c>
      <c r="G47" s="27"/>
      <c r="L47" s="65"/>
    </row>
    <row r="48" spans="1:12" ht="15.75" customHeight="1" x14ac:dyDescent="0.25">
      <c r="A48" t="str">
        <f t="shared" si="0"/>
        <v>27 DE NOVIEMBRE SA</v>
      </c>
      <c r="B48">
        <f t="shared" si="1"/>
        <v>724</v>
      </c>
      <c r="C48" s="67">
        <f t="shared" si="2"/>
        <v>10503121.210000001</v>
      </c>
      <c r="D48" s="13">
        <v>46212</v>
      </c>
      <c r="E48" s="64">
        <v>46265</v>
      </c>
      <c r="F48" s="40">
        <f t="shared" si="3"/>
        <v>46267</v>
      </c>
      <c r="G48" s="27"/>
      <c r="L48" s="65"/>
    </row>
    <row r="49" spans="1:12" ht="15.75" customHeight="1" x14ac:dyDescent="0.25">
      <c r="A49" t="str">
        <f t="shared" si="0"/>
        <v>27 DE NOVIEMBRE SA</v>
      </c>
      <c r="B49">
        <f t="shared" si="1"/>
        <v>725</v>
      </c>
      <c r="C49" s="67">
        <f t="shared" si="2"/>
        <v>14000000</v>
      </c>
      <c r="D49" s="13">
        <v>46213</v>
      </c>
      <c r="E49" s="64">
        <v>46266</v>
      </c>
      <c r="F49" s="40">
        <f t="shared" si="3"/>
        <v>46268</v>
      </c>
      <c r="G49" s="27"/>
      <c r="L49" s="65"/>
    </row>
    <row r="50" spans="1:12" ht="15.75" customHeight="1" x14ac:dyDescent="0.25">
      <c r="A50" t="str">
        <f t="shared" si="0"/>
        <v>27 DE NOVIEMBRE SA</v>
      </c>
      <c r="B50">
        <f t="shared" si="1"/>
        <v>726</v>
      </c>
      <c r="C50" s="67">
        <f t="shared" si="2"/>
        <v>10000000</v>
      </c>
      <c r="D50" s="13">
        <v>46214</v>
      </c>
      <c r="E50" s="64">
        <v>46267</v>
      </c>
      <c r="F50" s="40">
        <f t="shared" si="3"/>
        <v>46269</v>
      </c>
      <c r="G50" s="27"/>
      <c r="L50" s="65"/>
    </row>
    <row r="51" spans="1:12" ht="15.75" customHeight="1" x14ac:dyDescent="0.25">
      <c r="A51" t="str">
        <f t="shared" si="0"/>
        <v>INDUSTRIAS EL CORSARIO S.A.</v>
      </c>
      <c r="B51">
        <f t="shared" si="1"/>
        <v>5221</v>
      </c>
      <c r="C51" s="67">
        <f t="shared" si="2"/>
        <v>1626750</v>
      </c>
      <c r="D51" s="13">
        <v>46215</v>
      </c>
      <c r="E51" s="64">
        <v>46268</v>
      </c>
      <c r="F51" s="40">
        <f t="shared" si="3"/>
        <v>46270</v>
      </c>
      <c r="G51" s="27"/>
      <c r="L51" s="65"/>
    </row>
    <row r="52" spans="1:12" ht="15.75" customHeight="1" x14ac:dyDescent="0.25">
      <c r="A52" t="str">
        <f t="shared" si="0"/>
        <v>LACAR FISH SA</v>
      </c>
      <c r="B52">
        <f t="shared" si="1"/>
        <v>78055905</v>
      </c>
      <c r="C52" s="67">
        <f t="shared" si="2"/>
        <v>960000</v>
      </c>
      <c r="D52" s="13">
        <v>46216</v>
      </c>
      <c r="E52" s="64">
        <v>46269</v>
      </c>
      <c r="F52" s="40">
        <f t="shared" si="3"/>
        <v>46271</v>
      </c>
      <c r="G52" s="27"/>
      <c r="L52" s="65"/>
    </row>
    <row r="53" spans="1:12" ht="15.75" customHeight="1" x14ac:dyDescent="0.25">
      <c r="A53" t="str">
        <f t="shared" si="0"/>
        <v>MARISQUERIA SANTA RITA SRL</v>
      </c>
      <c r="B53">
        <f t="shared" si="1"/>
        <v>4718</v>
      </c>
      <c r="C53" s="67">
        <f t="shared" si="2"/>
        <v>1300000</v>
      </c>
      <c r="D53" s="13">
        <v>46217</v>
      </c>
      <c r="E53" s="64">
        <v>46270</v>
      </c>
      <c r="F53" s="40">
        <f t="shared" si="3"/>
        <v>46272</v>
      </c>
      <c r="G53" s="27"/>
      <c r="L53" s="65"/>
    </row>
    <row r="54" spans="1:12" ht="15.75" customHeight="1" x14ac:dyDescent="0.25">
      <c r="A54" t="str">
        <f t="shared" si="0"/>
        <v>MARISQUERIA SANTA RITA SRL</v>
      </c>
      <c r="B54">
        <f t="shared" si="1"/>
        <v>4744</v>
      </c>
      <c r="C54" s="67">
        <f t="shared" si="2"/>
        <v>1200000</v>
      </c>
      <c r="D54" s="13">
        <v>46218</v>
      </c>
      <c r="E54" s="64">
        <v>46271</v>
      </c>
      <c r="F54" s="40">
        <f t="shared" si="3"/>
        <v>46273</v>
      </c>
      <c r="G54" s="27"/>
      <c r="L54" s="65"/>
    </row>
    <row r="55" spans="1:12" ht="15.75" customHeight="1" x14ac:dyDescent="0.25">
      <c r="A55" t="str">
        <f t="shared" si="0"/>
        <v>MARISQUERIA SANTA RITA SRL</v>
      </c>
      <c r="B55">
        <f t="shared" si="1"/>
        <v>4773</v>
      </c>
      <c r="C55" s="67">
        <f t="shared" si="2"/>
        <v>1300000</v>
      </c>
      <c r="D55" s="13">
        <v>46219</v>
      </c>
      <c r="E55" s="64">
        <v>46272</v>
      </c>
      <c r="F55" s="40">
        <f t="shared" si="3"/>
        <v>46274</v>
      </c>
      <c r="G55" s="27"/>
      <c r="L55" s="65"/>
    </row>
    <row r="56" spans="1:12" ht="15.75" customHeight="1" x14ac:dyDescent="0.25">
      <c r="A56" t="str">
        <f t="shared" si="0"/>
        <v>COOPERATIVA DE TRABAJO CAÑAMAR LIMITADA</v>
      </c>
      <c r="B56">
        <f t="shared" si="1"/>
        <v>29253319</v>
      </c>
      <c r="C56" s="67">
        <f t="shared" si="2"/>
        <v>10000000</v>
      </c>
      <c r="D56" s="13">
        <v>46220</v>
      </c>
      <c r="E56" s="64">
        <v>46273</v>
      </c>
      <c r="F56" s="40">
        <f t="shared" si="3"/>
        <v>46275</v>
      </c>
      <c r="G56" s="27"/>
      <c r="L56" s="65"/>
    </row>
    <row r="57" spans="1:12" ht="15.75" customHeight="1" x14ac:dyDescent="0.25">
      <c r="A57" t="str">
        <f t="shared" si="0"/>
        <v>FRIO SUR SRL</v>
      </c>
      <c r="B57">
        <f t="shared" si="1"/>
        <v>29265630</v>
      </c>
      <c r="C57" s="67">
        <f t="shared" si="2"/>
        <v>9197760</v>
      </c>
      <c r="D57" s="13">
        <v>46221</v>
      </c>
      <c r="E57" s="64">
        <v>46274</v>
      </c>
      <c r="F57" s="40">
        <f t="shared" si="3"/>
        <v>46276</v>
      </c>
      <c r="G57" s="27"/>
      <c r="L57" s="65"/>
    </row>
    <row r="58" spans="1:12" ht="15.75" customHeight="1" x14ac:dyDescent="0.25">
      <c r="A58" t="str">
        <f t="shared" si="0"/>
        <v>LACAR FISH SA</v>
      </c>
      <c r="B58">
        <f t="shared" si="1"/>
        <v>78055911</v>
      </c>
      <c r="C58" s="67">
        <f t="shared" si="2"/>
        <v>1130000</v>
      </c>
      <c r="D58" s="13">
        <v>46222</v>
      </c>
      <c r="E58" s="64">
        <v>46275</v>
      </c>
      <c r="F58" s="40">
        <f t="shared" si="3"/>
        <v>46277</v>
      </c>
      <c r="G58" s="27"/>
      <c r="L58" s="65"/>
    </row>
    <row r="59" spans="1:12" ht="15.75" customHeight="1" x14ac:dyDescent="0.25">
      <c r="A59" t="str">
        <f t="shared" si="0"/>
        <v>LACAR FISH SA</v>
      </c>
      <c r="B59">
        <f t="shared" si="1"/>
        <v>78055921</v>
      </c>
      <c r="C59" s="67">
        <f t="shared" si="2"/>
        <v>1130000</v>
      </c>
      <c r="D59" s="13">
        <v>46223</v>
      </c>
      <c r="E59" s="64">
        <v>46276</v>
      </c>
      <c r="F59" s="40">
        <f t="shared" si="3"/>
        <v>46278</v>
      </c>
      <c r="G59" s="27"/>
      <c r="L59" s="65"/>
    </row>
    <row r="60" spans="1:12" ht="15.75" customHeight="1" x14ac:dyDescent="0.25">
      <c r="A60" t="str">
        <f t="shared" si="0"/>
        <v>MARDI SA</v>
      </c>
      <c r="B60">
        <f t="shared" si="1"/>
        <v>1579</v>
      </c>
      <c r="C60" s="67">
        <f t="shared" si="2"/>
        <v>22000000</v>
      </c>
      <c r="D60" s="13">
        <v>46224</v>
      </c>
      <c r="E60" s="64">
        <v>46277</v>
      </c>
      <c r="F60" s="40">
        <f t="shared" si="3"/>
        <v>46279</v>
      </c>
      <c r="G60" s="27"/>
      <c r="L60" s="65"/>
    </row>
    <row r="61" spans="1:12" ht="15.75" customHeight="1" x14ac:dyDescent="0.25">
      <c r="A61" t="str">
        <f t="shared" si="0"/>
        <v>GUBITI SA</v>
      </c>
      <c r="B61">
        <f t="shared" si="1"/>
        <v>67175417</v>
      </c>
      <c r="C61" s="67">
        <f t="shared" si="2"/>
        <v>7200000</v>
      </c>
      <c r="D61" s="13">
        <v>46225</v>
      </c>
      <c r="E61" s="64">
        <v>46278</v>
      </c>
      <c r="F61" s="40">
        <f t="shared" si="3"/>
        <v>46280</v>
      </c>
      <c r="G61" s="27"/>
      <c r="L61" s="65"/>
    </row>
    <row r="62" spans="1:12" ht="15.75" customHeight="1" x14ac:dyDescent="0.25">
      <c r="A62" t="str">
        <f t="shared" si="0"/>
        <v>CONGELADOS ARTICO SA</v>
      </c>
      <c r="B62">
        <f t="shared" si="1"/>
        <v>1544</v>
      </c>
      <c r="C62" s="67">
        <f t="shared" si="2"/>
        <v>13248793.5</v>
      </c>
      <c r="D62" s="13">
        <v>46226</v>
      </c>
      <c r="E62" s="64">
        <v>46279</v>
      </c>
      <c r="F62" s="40">
        <f t="shared" si="3"/>
        <v>46281</v>
      </c>
      <c r="G62" s="27"/>
      <c r="L62" s="65"/>
    </row>
    <row r="63" spans="1:12" ht="15.75" customHeight="1" x14ac:dyDescent="0.25">
      <c r="A63" t="str">
        <f t="shared" si="0"/>
        <v>CONGELADOS ARTICO SA</v>
      </c>
      <c r="B63">
        <f t="shared" si="1"/>
        <v>18908</v>
      </c>
      <c r="C63" s="67">
        <f t="shared" si="2"/>
        <v>3675116.4</v>
      </c>
      <c r="D63" s="13">
        <v>46227</v>
      </c>
      <c r="E63" s="64">
        <v>46280</v>
      </c>
      <c r="F63" s="40">
        <f t="shared" si="3"/>
        <v>46282</v>
      </c>
      <c r="G63" s="27"/>
      <c r="L63" s="65"/>
    </row>
    <row r="64" spans="1:12" ht="15.75" customHeight="1" x14ac:dyDescent="0.25">
      <c r="A64" t="str">
        <f t="shared" si="0"/>
        <v>NATUSUR SA</v>
      </c>
      <c r="B64">
        <f t="shared" si="1"/>
        <v>6826540</v>
      </c>
      <c r="C64" s="67">
        <f t="shared" si="2"/>
        <v>18000000</v>
      </c>
      <c r="D64" s="13">
        <v>46228</v>
      </c>
      <c r="E64" s="64">
        <v>46281</v>
      </c>
      <c r="F64" s="40">
        <f t="shared" si="3"/>
        <v>46283</v>
      </c>
      <c r="G64" s="27"/>
      <c r="L64" s="65"/>
    </row>
    <row r="65" spans="1:12" ht="15.75" customHeight="1" x14ac:dyDescent="0.25">
      <c r="A65" t="str">
        <f t="shared" si="0"/>
        <v>COMERCIAL INAL 2005 SA</v>
      </c>
      <c r="B65">
        <f t="shared" si="1"/>
        <v>6894</v>
      </c>
      <c r="C65" s="67">
        <f t="shared" si="2"/>
        <v>19015040</v>
      </c>
      <c r="D65" s="13">
        <v>46229</v>
      </c>
      <c r="E65" s="64">
        <v>46282</v>
      </c>
      <c r="F65" s="40">
        <f t="shared" si="3"/>
        <v>46284</v>
      </c>
      <c r="G65" s="27"/>
      <c r="L65" s="65"/>
    </row>
    <row r="66" spans="1:12" ht="15.75" customHeight="1" x14ac:dyDescent="0.25">
      <c r="A66" t="str">
        <f t="shared" si="0"/>
        <v>LACAR FISH SA</v>
      </c>
      <c r="B66">
        <f t="shared" si="1"/>
        <v>78055906</v>
      </c>
      <c r="C66" s="67">
        <f t="shared" si="2"/>
        <v>960000</v>
      </c>
      <c r="D66" s="13">
        <v>46230</v>
      </c>
      <c r="E66" s="64">
        <v>46283</v>
      </c>
      <c r="F66" s="40">
        <f t="shared" si="3"/>
        <v>46285</v>
      </c>
      <c r="G66" s="27"/>
      <c r="L66" s="65"/>
    </row>
    <row r="67" spans="1:12" ht="15.75" customHeight="1" x14ac:dyDescent="0.25">
      <c r="A67" t="str">
        <f t="shared" si="0"/>
        <v>FRIGOSUR SRL</v>
      </c>
      <c r="B67">
        <f t="shared" si="1"/>
        <v>9845350</v>
      </c>
      <c r="C67" s="67">
        <f t="shared" si="2"/>
        <v>10000000</v>
      </c>
      <c r="D67" s="13">
        <v>46231</v>
      </c>
      <c r="E67" s="64">
        <v>46284</v>
      </c>
      <c r="F67" s="40">
        <f t="shared" si="3"/>
        <v>46286</v>
      </c>
      <c r="G67" s="27"/>
      <c r="L67" s="65"/>
    </row>
    <row r="68" spans="1:12" ht="15.75" customHeight="1" x14ac:dyDescent="0.25">
      <c r="A68" t="str">
        <f t="shared" si="0"/>
        <v>FRIGOSUR SRL</v>
      </c>
      <c r="B68">
        <f t="shared" si="1"/>
        <v>9845351</v>
      </c>
      <c r="C68" s="67">
        <f t="shared" si="2"/>
        <v>12575630</v>
      </c>
      <c r="D68" s="13">
        <v>46232</v>
      </c>
      <c r="E68" s="64">
        <v>46285</v>
      </c>
      <c r="F68" s="40">
        <f t="shared" si="3"/>
        <v>46287</v>
      </c>
      <c r="G68" s="27"/>
      <c r="L68" s="65"/>
    </row>
    <row r="69" spans="1:12" ht="15.75" customHeight="1" x14ac:dyDescent="0.25">
      <c r="A69" t="str">
        <f t="shared" ref="A69:A132" si="4">+I536</f>
        <v>MARISQUERIA SANTA RITA SRL</v>
      </c>
      <c r="B69">
        <f t="shared" ref="B69:B132" si="5">+E536</f>
        <v>4782</v>
      </c>
      <c r="C69" s="67">
        <f t="shared" ref="C69:C132" si="6">+H536</f>
        <v>1300000</v>
      </c>
      <c r="D69" s="13">
        <v>46233</v>
      </c>
      <c r="E69" s="64">
        <v>46286</v>
      </c>
      <c r="F69" s="40">
        <f t="shared" ref="F69:F132" si="7">+E69+2</f>
        <v>46288</v>
      </c>
      <c r="G69" s="27"/>
      <c r="L69" s="65"/>
    </row>
    <row r="70" spans="1:12" ht="15.75" customHeight="1" x14ac:dyDescent="0.25">
      <c r="A70" t="str">
        <f t="shared" si="4"/>
        <v>COOPERATIVA DE TRABAJO CAÑAMAR LIMITADA</v>
      </c>
      <c r="B70">
        <f t="shared" si="5"/>
        <v>29253321</v>
      </c>
      <c r="C70" s="67">
        <f t="shared" si="6"/>
        <v>10000000</v>
      </c>
      <c r="D70" s="13">
        <v>46234</v>
      </c>
      <c r="E70" s="64">
        <v>46287</v>
      </c>
      <c r="F70" s="40">
        <f t="shared" si="7"/>
        <v>46289</v>
      </c>
      <c r="G70" s="27"/>
      <c r="L70" s="65"/>
    </row>
    <row r="71" spans="1:12" ht="15.75" customHeight="1" x14ac:dyDescent="0.25">
      <c r="A71" t="str">
        <f t="shared" si="4"/>
        <v>LACAR FISH SA</v>
      </c>
      <c r="B71">
        <f t="shared" si="5"/>
        <v>78055912</v>
      </c>
      <c r="C71" s="67">
        <f t="shared" si="6"/>
        <v>1130000</v>
      </c>
      <c r="D71" s="13">
        <v>46235</v>
      </c>
      <c r="E71" s="64">
        <v>46288</v>
      </c>
      <c r="F71" s="40">
        <f t="shared" si="7"/>
        <v>46290</v>
      </c>
      <c r="G71" s="27"/>
      <c r="L71" s="65"/>
    </row>
    <row r="72" spans="1:12" ht="15.75" customHeight="1" x14ac:dyDescent="0.25">
      <c r="A72" t="str">
        <f t="shared" si="4"/>
        <v>LACAR FISH SA</v>
      </c>
      <c r="B72">
        <f t="shared" si="5"/>
        <v>78055922</v>
      </c>
      <c r="C72" s="67">
        <f t="shared" si="6"/>
        <v>1130000</v>
      </c>
      <c r="D72" s="13">
        <v>46236</v>
      </c>
      <c r="E72" s="64">
        <v>46289</v>
      </c>
      <c r="F72" s="40">
        <f t="shared" si="7"/>
        <v>46291</v>
      </c>
      <c r="G72" s="27"/>
      <c r="L72" s="65"/>
    </row>
    <row r="73" spans="1:12" ht="15.75" customHeight="1" x14ac:dyDescent="0.25">
      <c r="A73" t="str">
        <f t="shared" si="4"/>
        <v>27 DE NOVIEMBRE SA</v>
      </c>
      <c r="B73">
        <f t="shared" si="5"/>
        <v>66789087</v>
      </c>
      <c r="C73" s="67">
        <f t="shared" si="6"/>
        <v>19500000</v>
      </c>
      <c r="D73" s="13">
        <v>46237</v>
      </c>
      <c r="E73" s="64">
        <v>46290</v>
      </c>
      <c r="F73" s="40">
        <f t="shared" si="7"/>
        <v>46292</v>
      </c>
      <c r="G73" s="27"/>
      <c r="L73" s="65"/>
    </row>
    <row r="74" spans="1:12" ht="15.75" customHeight="1" x14ac:dyDescent="0.25">
      <c r="A74" t="str">
        <f t="shared" si="4"/>
        <v>COOPERATIVA DE TRABAJO CAÑAMAR LIMITADA</v>
      </c>
      <c r="B74">
        <f t="shared" si="5"/>
        <v>9917592</v>
      </c>
      <c r="C74" s="67">
        <f t="shared" si="6"/>
        <v>715865.58</v>
      </c>
      <c r="D74" s="13">
        <v>46238</v>
      </c>
      <c r="E74" s="64">
        <v>46291</v>
      </c>
      <c r="F74" s="40">
        <f t="shared" si="7"/>
        <v>46293</v>
      </c>
      <c r="G74" s="27"/>
      <c r="L74" s="65"/>
    </row>
    <row r="75" spans="1:12" ht="15.75" customHeight="1" x14ac:dyDescent="0.25">
      <c r="A75" t="str">
        <f t="shared" si="4"/>
        <v>CONGELADOS ARTICO SA</v>
      </c>
      <c r="B75">
        <f t="shared" si="5"/>
        <v>30069125</v>
      </c>
      <c r="C75" s="67">
        <f t="shared" si="6"/>
        <v>13297142.220000001</v>
      </c>
      <c r="D75" s="13">
        <v>46239</v>
      </c>
      <c r="E75" s="64">
        <v>46292</v>
      </c>
      <c r="F75" s="40">
        <f t="shared" si="7"/>
        <v>46294</v>
      </c>
      <c r="G75" s="27"/>
      <c r="L75" s="65"/>
    </row>
    <row r="76" spans="1:12" ht="15.75" customHeight="1" x14ac:dyDescent="0.25">
      <c r="A76" t="str">
        <f t="shared" si="4"/>
        <v>SAORI SA</v>
      </c>
      <c r="B76">
        <f t="shared" si="5"/>
        <v>66643962</v>
      </c>
      <c r="C76" s="67">
        <f t="shared" si="6"/>
        <v>4457800</v>
      </c>
      <c r="D76" s="13">
        <v>46240</v>
      </c>
      <c r="E76" s="64">
        <v>46293</v>
      </c>
      <c r="F76" s="40">
        <f t="shared" si="7"/>
        <v>46295</v>
      </c>
      <c r="G76" s="27"/>
      <c r="L76" s="65"/>
    </row>
    <row r="77" spans="1:12" ht="15.75" customHeight="1" x14ac:dyDescent="0.25">
      <c r="A77" t="str">
        <f t="shared" si="4"/>
        <v>LACAR FISH SA</v>
      </c>
      <c r="B77">
        <f t="shared" si="5"/>
        <v>78055907</v>
      </c>
      <c r="C77" s="67">
        <f t="shared" si="6"/>
        <v>943200</v>
      </c>
      <c r="D77" s="13">
        <v>46241</v>
      </c>
      <c r="E77" s="64">
        <v>46294</v>
      </c>
      <c r="F77" s="40">
        <f t="shared" si="7"/>
        <v>46296</v>
      </c>
      <c r="G77" s="27"/>
      <c r="L77" s="65"/>
    </row>
    <row r="78" spans="1:12" ht="15.75" customHeight="1" x14ac:dyDescent="0.25">
      <c r="A78" t="str">
        <f t="shared" si="4"/>
        <v>MARISQUERIA SANTA RITA SRL</v>
      </c>
      <c r="B78">
        <f t="shared" si="5"/>
        <v>4783</v>
      </c>
      <c r="C78" s="67">
        <f t="shared" si="6"/>
        <v>1300000</v>
      </c>
      <c r="D78" s="13">
        <v>46242</v>
      </c>
      <c r="E78" s="64">
        <v>46295</v>
      </c>
      <c r="F78" s="40">
        <f t="shared" si="7"/>
        <v>46297</v>
      </c>
      <c r="G78" s="27"/>
      <c r="L78" s="65"/>
    </row>
    <row r="79" spans="1:12" ht="15.75" customHeight="1" x14ac:dyDescent="0.25">
      <c r="A79" t="str">
        <f t="shared" si="4"/>
        <v>LACAR FISH SA</v>
      </c>
      <c r="B79">
        <f t="shared" si="5"/>
        <v>78055913</v>
      </c>
      <c r="C79" s="67">
        <f t="shared" si="6"/>
        <v>1130000</v>
      </c>
      <c r="D79" s="13">
        <v>46243</v>
      </c>
      <c r="E79" s="64">
        <v>46296</v>
      </c>
      <c r="F79" s="40">
        <f t="shared" si="7"/>
        <v>46298</v>
      </c>
      <c r="G79" s="27"/>
      <c r="L79" s="65"/>
    </row>
    <row r="80" spans="1:12" ht="15.75" customHeight="1" x14ac:dyDescent="0.25">
      <c r="A80" t="str">
        <f t="shared" si="4"/>
        <v>LACAR FISH SA</v>
      </c>
      <c r="B80">
        <f t="shared" si="5"/>
        <v>78055923</v>
      </c>
      <c r="C80" s="67">
        <f t="shared" si="6"/>
        <v>1130000</v>
      </c>
      <c r="D80" s="13">
        <v>46244</v>
      </c>
      <c r="E80" s="64">
        <v>46297</v>
      </c>
      <c r="F80" s="40">
        <f t="shared" si="7"/>
        <v>46299</v>
      </c>
      <c r="G80" s="27"/>
      <c r="L80" s="65"/>
    </row>
    <row r="81" spans="1:12" ht="15.75" customHeight="1" x14ac:dyDescent="0.25">
      <c r="A81" t="str">
        <f t="shared" si="4"/>
        <v>LACAR FISH SA</v>
      </c>
      <c r="B81">
        <f t="shared" si="5"/>
        <v>78055930</v>
      </c>
      <c r="C81" s="67">
        <f t="shared" si="6"/>
        <v>1480000</v>
      </c>
      <c r="D81" s="13">
        <v>46245</v>
      </c>
      <c r="E81" s="64">
        <v>46298</v>
      </c>
      <c r="F81" s="40">
        <f t="shared" si="7"/>
        <v>46300</v>
      </c>
      <c r="G81" s="27"/>
      <c r="L81" s="65"/>
    </row>
    <row r="82" spans="1:12" ht="15.75" customHeight="1" x14ac:dyDescent="0.25">
      <c r="A82" t="str">
        <f t="shared" si="4"/>
        <v>LACAR FISH SA</v>
      </c>
      <c r="B82">
        <f t="shared" si="5"/>
        <v>78055940</v>
      </c>
      <c r="C82" s="67">
        <f t="shared" si="6"/>
        <v>1440000</v>
      </c>
      <c r="D82" s="13">
        <v>46246</v>
      </c>
      <c r="E82" s="64">
        <v>46299</v>
      </c>
      <c r="F82" s="40">
        <f t="shared" si="7"/>
        <v>46301</v>
      </c>
      <c r="G82" s="27"/>
      <c r="L82" s="65"/>
    </row>
    <row r="83" spans="1:12" ht="15.75" customHeight="1" x14ac:dyDescent="0.25">
      <c r="A83" t="str">
        <f t="shared" si="4"/>
        <v>SAORI SA</v>
      </c>
      <c r="B83">
        <f t="shared" si="5"/>
        <v>66643850</v>
      </c>
      <c r="C83" s="67">
        <f t="shared" si="6"/>
        <v>4400000</v>
      </c>
      <c r="D83" s="13">
        <v>46247</v>
      </c>
      <c r="E83" s="64">
        <v>46300</v>
      </c>
      <c r="F83" s="40">
        <f t="shared" si="7"/>
        <v>46302</v>
      </c>
      <c r="G83" s="27"/>
      <c r="L83" s="65"/>
    </row>
    <row r="84" spans="1:12" ht="15.75" customHeight="1" x14ac:dyDescent="0.25">
      <c r="A84" t="str">
        <f t="shared" si="4"/>
        <v>MARISQUERIA SANTA RITA SRL</v>
      </c>
      <c r="B84">
        <f t="shared" si="5"/>
        <v>4745</v>
      </c>
      <c r="C84" s="67">
        <f t="shared" si="6"/>
        <v>1200000</v>
      </c>
      <c r="D84" s="13">
        <v>46248</v>
      </c>
      <c r="E84" s="64">
        <v>46301</v>
      </c>
      <c r="F84" s="40">
        <f t="shared" si="7"/>
        <v>46303</v>
      </c>
      <c r="G84" s="27"/>
      <c r="L84" s="65"/>
    </row>
    <row r="85" spans="1:12" ht="15.75" customHeight="1" x14ac:dyDescent="0.25">
      <c r="A85" t="str">
        <f t="shared" si="4"/>
        <v>MARISQUERIA SANTA RITA SRL</v>
      </c>
      <c r="B85">
        <f t="shared" si="5"/>
        <v>4784</v>
      </c>
      <c r="C85" s="67">
        <f t="shared" si="6"/>
        <v>1300000</v>
      </c>
      <c r="D85" s="13">
        <v>46249</v>
      </c>
      <c r="E85" s="64">
        <v>46302</v>
      </c>
      <c r="F85" s="40">
        <f t="shared" si="7"/>
        <v>46304</v>
      </c>
      <c r="G85" s="27"/>
      <c r="L85" s="65"/>
    </row>
    <row r="86" spans="1:12" ht="15.75" customHeight="1" x14ac:dyDescent="0.25">
      <c r="A86" t="str">
        <f t="shared" si="4"/>
        <v>FRIO SUR SRL</v>
      </c>
      <c r="B86">
        <f t="shared" si="5"/>
        <v>29265625</v>
      </c>
      <c r="C86" s="67">
        <f t="shared" si="6"/>
        <v>11202048</v>
      </c>
      <c r="D86" s="13">
        <v>46250</v>
      </c>
      <c r="E86" s="64">
        <v>46303</v>
      </c>
      <c r="F86" s="40">
        <f t="shared" si="7"/>
        <v>46305</v>
      </c>
      <c r="G86" s="27"/>
      <c r="L86" s="65"/>
    </row>
    <row r="87" spans="1:12" ht="15.75" customHeight="1" x14ac:dyDescent="0.25">
      <c r="A87" t="str">
        <f t="shared" si="4"/>
        <v>MARISQUERIA SANTA RITA SRL</v>
      </c>
      <c r="B87">
        <f t="shared" si="5"/>
        <v>4746</v>
      </c>
      <c r="C87" s="67">
        <f t="shared" si="6"/>
        <v>1200000</v>
      </c>
      <c r="D87" s="13">
        <v>46251</v>
      </c>
      <c r="E87" s="64">
        <v>46304</v>
      </c>
      <c r="F87" s="40">
        <f t="shared" si="7"/>
        <v>46306</v>
      </c>
      <c r="G87" s="27"/>
      <c r="L87" s="65"/>
    </row>
    <row r="88" spans="1:12" ht="15.75" customHeight="1" x14ac:dyDescent="0.25">
      <c r="A88" t="str">
        <f t="shared" si="4"/>
        <v>COOPERATIVA DE TRABAJO CAÑAMAR LIMITADA</v>
      </c>
      <c r="B88">
        <f t="shared" si="5"/>
        <v>29253322</v>
      </c>
      <c r="C88" s="67">
        <f t="shared" si="6"/>
        <v>10000000</v>
      </c>
      <c r="D88" s="13">
        <v>46252</v>
      </c>
      <c r="E88" s="64">
        <v>46305</v>
      </c>
      <c r="F88" s="40">
        <f t="shared" si="7"/>
        <v>46307</v>
      </c>
      <c r="G88" s="27"/>
      <c r="L88" s="65"/>
    </row>
    <row r="89" spans="1:12" ht="15.75" customHeight="1" x14ac:dyDescent="0.25">
      <c r="A89" t="str">
        <f t="shared" si="4"/>
        <v>LACAR FISH SA</v>
      </c>
      <c r="B89">
        <f t="shared" si="5"/>
        <v>78055924</v>
      </c>
      <c r="C89" s="67">
        <f t="shared" si="6"/>
        <v>1130000</v>
      </c>
      <c r="D89" s="13">
        <v>46253</v>
      </c>
      <c r="E89" s="64">
        <v>46306</v>
      </c>
      <c r="F89" s="40">
        <f t="shared" si="7"/>
        <v>46308</v>
      </c>
      <c r="G89" s="27"/>
      <c r="L89" s="65"/>
    </row>
    <row r="90" spans="1:12" ht="15.75" customHeight="1" x14ac:dyDescent="0.25">
      <c r="A90" t="str">
        <f t="shared" si="4"/>
        <v>LACAR FISH SA</v>
      </c>
      <c r="B90">
        <f t="shared" si="5"/>
        <v>78055931</v>
      </c>
      <c r="C90" s="67">
        <f t="shared" si="6"/>
        <v>1480000</v>
      </c>
      <c r="D90" s="13">
        <v>46254</v>
      </c>
      <c r="E90" s="64">
        <v>46307</v>
      </c>
      <c r="F90" s="40">
        <f t="shared" si="7"/>
        <v>46309</v>
      </c>
      <c r="G90" s="27"/>
      <c r="L90" s="65"/>
    </row>
    <row r="91" spans="1:12" ht="15.75" customHeight="1" x14ac:dyDescent="0.25">
      <c r="A91" t="str">
        <f t="shared" si="4"/>
        <v>LACAR FISH SA</v>
      </c>
      <c r="B91">
        <f t="shared" si="5"/>
        <v>78055941</v>
      </c>
      <c r="C91" s="67">
        <f t="shared" si="6"/>
        <v>1440000</v>
      </c>
      <c r="D91" s="13">
        <v>46255</v>
      </c>
      <c r="E91" s="64">
        <v>46308</v>
      </c>
      <c r="F91" s="40">
        <f t="shared" si="7"/>
        <v>46310</v>
      </c>
      <c r="G91" s="27"/>
      <c r="L91" s="65"/>
    </row>
    <row r="92" spans="1:12" ht="15.75" customHeight="1" x14ac:dyDescent="0.25">
      <c r="A92" t="str">
        <f t="shared" si="4"/>
        <v>LUDAPEZ SA</v>
      </c>
      <c r="B92">
        <f t="shared" si="5"/>
        <v>13653578</v>
      </c>
      <c r="C92" s="67">
        <f t="shared" si="6"/>
        <v>2342680</v>
      </c>
      <c r="D92" s="13">
        <v>46256</v>
      </c>
      <c r="E92" s="64">
        <v>46309</v>
      </c>
      <c r="F92" s="40">
        <f t="shared" si="7"/>
        <v>46311</v>
      </c>
      <c r="G92" s="27"/>
      <c r="L92" s="65"/>
    </row>
    <row r="93" spans="1:12" ht="15.75" customHeight="1" x14ac:dyDescent="0.25">
      <c r="A93" t="str">
        <f t="shared" si="4"/>
        <v>COMERCIAL INAL 2005 SA</v>
      </c>
      <c r="B93">
        <f t="shared" si="5"/>
        <v>6948</v>
      </c>
      <c r="C93" s="67">
        <f t="shared" si="6"/>
        <v>17842880</v>
      </c>
      <c r="D93" s="13">
        <v>46257</v>
      </c>
      <c r="E93" s="64">
        <v>46310</v>
      </c>
      <c r="F93" s="40">
        <f t="shared" si="7"/>
        <v>46312</v>
      </c>
      <c r="G93" s="27"/>
      <c r="L93" s="65"/>
    </row>
    <row r="94" spans="1:12" ht="15.75" customHeight="1" x14ac:dyDescent="0.25">
      <c r="A94" t="str">
        <f t="shared" si="4"/>
        <v>MARISQUERIA SANTA RITA SRL</v>
      </c>
      <c r="B94">
        <f t="shared" si="5"/>
        <v>4719</v>
      </c>
      <c r="C94" s="67">
        <f t="shared" si="6"/>
        <v>1300000</v>
      </c>
      <c r="D94" s="13">
        <v>46258</v>
      </c>
      <c r="E94" s="64">
        <v>46311</v>
      </c>
      <c r="F94" s="40">
        <f t="shared" si="7"/>
        <v>46313</v>
      </c>
      <c r="G94" s="27"/>
      <c r="L94" s="65"/>
    </row>
    <row r="95" spans="1:12" ht="15.75" customHeight="1" x14ac:dyDescent="0.25">
      <c r="A95" t="str">
        <f t="shared" si="4"/>
        <v>MARISQUERIA SANTA RITA SRL</v>
      </c>
      <c r="B95">
        <f t="shared" si="5"/>
        <v>4747</v>
      </c>
      <c r="C95" s="67">
        <f t="shared" si="6"/>
        <v>953100</v>
      </c>
      <c r="D95" s="13">
        <v>46259</v>
      </c>
      <c r="E95" s="64">
        <v>46312</v>
      </c>
      <c r="F95" s="40">
        <f t="shared" si="7"/>
        <v>46314</v>
      </c>
      <c r="G95" s="27"/>
      <c r="L95" s="65"/>
    </row>
    <row r="96" spans="1:12" ht="15.75" customHeight="1" x14ac:dyDescent="0.25">
      <c r="A96" t="str">
        <f t="shared" si="4"/>
        <v>COOPERATIVA DE TRABAJO CAÑAMAR LIMITADA</v>
      </c>
      <c r="B96">
        <f t="shared" si="5"/>
        <v>29253320</v>
      </c>
      <c r="C96" s="67">
        <f t="shared" si="6"/>
        <v>8077630</v>
      </c>
      <c r="D96" s="13">
        <v>46260</v>
      </c>
      <c r="E96" s="64">
        <v>46313</v>
      </c>
      <c r="F96" s="40">
        <f t="shared" si="7"/>
        <v>46315</v>
      </c>
      <c r="G96" s="27"/>
      <c r="L96" s="65"/>
    </row>
    <row r="97" spans="1:12" ht="15.75" customHeight="1" x14ac:dyDescent="0.25">
      <c r="A97" t="str">
        <f t="shared" si="4"/>
        <v>FRIO SUR SRL</v>
      </c>
      <c r="B97">
        <f t="shared" si="5"/>
        <v>29265626</v>
      </c>
      <c r="C97" s="67">
        <f t="shared" si="6"/>
        <v>10296000</v>
      </c>
      <c r="D97" s="13">
        <v>46261</v>
      </c>
      <c r="E97" s="64">
        <v>46314</v>
      </c>
      <c r="F97" s="40">
        <f t="shared" si="7"/>
        <v>46316</v>
      </c>
      <c r="G97" s="27"/>
      <c r="L97" s="65"/>
    </row>
    <row r="98" spans="1:12" ht="15.75" customHeight="1" x14ac:dyDescent="0.25">
      <c r="A98" t="str">
        <f t="shared" si="4"/>
        <v>LACAR FISH SA</v>
      </c>
      <c r="B98">
        <f t="shared" si="5"/>
        <v>78055915</v>
      </c>
      <c r="C98" s="67">
        <f t="shared" si="6"/>
        <v>1130000</v>
      </c>
      <c r="D98" s="13">
        <v>46262</v>
      </c>
      <c r="E98" s="64">
        <v>46315</v>
      </c>
      <c r="F98" s="40">
        <f t="shared" si="7"/>
        <v>46317</v>
      </c>
      <c r="G98" s="27"/>
      <c r="L98" s="65"/>
    </row>
    <row r="99" spans="1:12" ht="15.75" customHeight="1" x14ac:dyDescent="0.25">
      <c r="A99" t="str">
        <f t="shared" si="4"/>
        <v>LACAR FISH SA</v>
      </c>
      <c r="B99">
        <f t="shared" si="5"/>
        <v>78055925</v>
      </c>
      <c r="C99" s="67">
        <f t="shared" si="6"/>
        <v>1130000</v>
      </c>
      <c r="D99" s="13">
        <v>46263</v>
      </c>
      <c r="E99" s="64">
        <v>46316</v>
      </c>
      <c r="F99" s="40">
        <f t="shared" si="7"/>
        <v>46318</v>
      </c>
      <c r="G99" s="27"/>
      <c r="L99" s="65"/>
    </row>
    <row r="100" spans="1:12" ht="15.75" customHeight="1" x14ac:dyDescent="0.25">
      <c r="A100" t="str">
        <f t="shared" si="4"/>
        <v>LACAR FISH SA</v>
      </c>
      <c r="B100">
        <f t="shared" si="5"/>
        <v>78055932</v>
      </c>
      <c r="C100" s="67">
        <f t="shared" si="6"/>
        <v>1480000</v>
      </c>
      <c r="D100" s="13">
        <v>46264</v>
      </c>
      <c r="E100" s="64">
        <v>46317</v>
      </c>
      <c r="F100" s="40">
        <f t="shared" si="7"/>
        <v>46319</v>
      </c>
      <c r="G100" s="27"/>
      <c r="L100" s="65"/>
    </row>
    <row r="101" spans="1:12" ht="15.75" customHeight="1" x14ac:dyDescent="0.25">
      <c r="A101" t="str">
        <f t="shared" si="4"/>
        <v>COOPERATIVA DE TRABAJO CAÑAMAR LIMITADA</v>
      </c>
      <c r="B101">
        <f t="shared" si="5"/>
        <v>29302289</v>
      </c>
      <c r="C101" s="67">
        <f t="shared" si="6"/>
        <v>465356.51</v>
      </c>
      <c r="D101" s="13">
        <v>46265</v>
      </c>
      <c r="E101" s="64">
        <v>46318</v>
      </c>
      <c r="F101" s="40">
        <f t="shared" si="7"/>
        <v>46320</v>
      </c>
      <c r="G101" s="27"/>
      <c r="L101" s="65"/>
    </row>
    <row r="102" spans="1:12" ht="15.75" customHeight="1" x14ac:dyDescent="0.25">
      <c r="A102" t="str">
        <f t="shared" si="4"/>
        <v>LACAR FISH SA</v>
      </c>
      <c r="B102">
        <f t="shared" si="5"/>
        <v>78055942</v>
      </c>
      <c r="C102" s="67">
        <f t="shared" si="6"/>
        <v>1440000</v>
      </c>
      <c r="D102" s="13">
        <v>46266</v>
      </c>
      <c r="E102" s="64">
        <v>46319</v>
      </c>
      <c r="F102" s="40">
        <f t="shared" si="7"/>
        <v>46321</v>
      </c>
      <c r="G102" s="27"/>
      <c r="L102" s="65"/>
    </row>
    <row r="103" spans="1:12" ht="15.75" customHeight="1" x14ac:dyDescent="0.25">
      <c r="A103" t="str">
        <f t="shared" si="4"/>
        <v>LUDAPEZ SA</v>
      </c>
      <c r="B103">
        <f t="shared" si="5"/>
        <v>13653579</v>
      </c>
      <c r="C103" s="67">
        <f t="shared" si="6"/>
        <v>2250000</v>
      </c>
      <c r="D103" s="13">
        <v>46267</v>
      </c>
      <c r="E103" s="64">
        <v>46320</v>
      </c>
      <c r="F103" s="40">
        <f t="shared" si="7"/>
        <v>46322</v>
      </c>
      <c r="G103" s="27"/>
      <c r="L103" s="65"/>
    </row>
    <row r="104" spans="1:12" ht="15.75" customHeight="1" x14ac:dyDescent="0.25">
      <c r="A104" t="str">
        <f t="shared" si="4"/>
        <v>GUBITI SA</v>
      </c>
      <c r="B104">
        <f t="shared" si="5"/>
        <v>67175571</v>
      </c>
      <c r="C104" s="67">
        <f t="shared" si="6"/>
        <v>7200000</v>
      </c>
      <c r="D104" s="13">
        <v>46268</v>
      </c>
      <c r="E104" s="64">
        <v>46321</v>
      </c>
      <c r="F104" s="40">
        <f t="shared" si="7"/>
        <v>46323</v>
      </c>
      <c r="G104" s="27"/>
      <c r="L104" s="65"/>
    </row>
    <row r="105" spans="1:12" ht="15.75" customHeight="1" x14ac:dyDescent="0.25">
      <c r="A105" t="str">
        <f t="shared" si="4"/>
        <v>CONGELADOS ARTICO SA</v>
      </c>
      <c r="B105">
        <f t="shared" si="5"/>
        <v>18970</v>
      </c>
      <c r="C105" s="67">
        <f t="shared" si="6"/>
        <v>48089.29</v>
      </c>
      <c r="D105" s="13">
        <v>46269</v>
      </c>
      <c r="E105" s="64">
        <v>46322</v>
      </c>
      <c r="F105" s="40">
        <f t="shared" si="7"/>
        <v>46324</v>
      </c>
      <c r="G105" s="27"/>
      <c r="L105" s="65"/>
    </row>
    <row r="106" spans="1:12" ht="15.75" customHeight="1" x14ac:dyDescent="0.25">
      <c r="A106" t="str">
        <f t="shared" si="4"/>
        <v>MARISQUERIA SANTA RITA SRL</v>
      </c>
      <c r="B106">
        <f t="shared" si="5"/>
        <v>4720</v>
      </c>
      <c r="C106" s="67">
        <f t="shared" si="6"/>
        <v>949750</v>
      </c>
      <c r="D106" s="13">
        <v>46270</v>
      </c>
      <c r="E106" s="64">
        <v>46323</v>
      </c>
      <c r="F106" s="40">
        <f t="shared" si="7"/>
        <v>46325</v>
      </c>
      <c r="G106" s="27"/>
      <c r="L106" s="65"/>
    </row>
    <row r="107" spans="1:12" ht="15.75" customHeight="1" x14ac:dyDescent="0.25">
      <c r="A107" t="str">
        <f t="shared" si="4"/>
        <v>MARISQUERIA SANTA RITA SRL</v>
      </c>
      <c r="B107">
        <f t="shared" si="5"/>
        <v>4774</v>
      </c>
      <c r="C107" s="67">
        <f t="shared" si="6"/>
        <v>1300000</v>
      </c>
      <c r="D107" s="13">
        <v>46271</v>
      </c>
      <c r="E107" s="64">
        <v>46324</v>
      </c>
      <c r="F107" s="40">
        <f t="shared" si="7"/>
        <v>46326</v>
      </c>
      <c r="G107" s="27"/>
      <c r="L107" s="65"/>
    </row>
    <row r="108" spans="1:12" ht="15.75" customHeight="1" x14ac:dyDescent="0.25">
      <c r="A108" t="str">
        <f t="shared" si="4"/>
        <v>MARISQUERIA SANTA RITA SRL</v>
      </c>
      <c r="B108">
        <f t="shared" si="5"/>
        <v>4785</v>
      </c>
      <c r="C108" s="67">
        <f t="shared" si="6"/>
        <v>1300000</v>
      </c>
      <c r="D108" s="13">
        <v>46272</v>
      </c>
      <c r="E108" s="64">
        <v>46325</v>
      </c>
      <c r="F108" s="40">
        <f t="shared" si="7"/>
        <v>46327</v>
      </c>
      <c r="G108" s="27"/>
      <c r="L108" s="65"/>
    </row>
    <row r="109" spans="1:12" ht="15.75" customHeight="1" x14ac:dyDescent="0.25">
      <c r="A109" t="str">
        <f t="shared" si="4"/>
        <v>FRIGOSUR SRL</v>
      </c>
      <c r="B109">
        <f t="shared" si="5"/>
        <v>9845354</v>
      </c>
      <c r="C109" s="67">
        <f t="shared" si="6"/>
        <v>18288270</v>
      </c>
      <c r="D109" s="13">
        <v>46273</v>
      </c>
      <c r="E109" s="64">
        <v>46326</v>
      </c>
      <c r="F109" s="40">
        <f t="shared" si="7"/>
        <v>46328</v>
      </c>
      <c r="G109" s="27"/>
      <c r="L109" s="65"/>
    </row>
    <row r="110" spans="1:12" ht="15.75" customHeight="1" x14ac:dyDescent="0.25">
      <c r="A110" t="str">
        <f t="shared" si="4"/>
        <v>FRIO SUR SRL</v>
      </c>
      <c r="B110">
        <f t="shared" si="5"/>
        <v>29265628</v>
      </c>
      <c r="C110" s="67">
        <f t="shared" si="6"/>
        <v>14826240</v>
      </c>
      <c r="D110" s="13">
        <v>46274</v>
      </c>
      <c r="E110" s="64">
        <v>46327</v>
      </c>
      <c r="F110" s="40">
        <f t="shared" si="7"/>
        <v>46329</v>
      </c>
      <c r="G110" s="27"/>
      <c r="L110" s="65"/>
    </row>
    <row r="111" spans="1:12" ht="15.75" customHeight="1" x14ac:dyDescent="0.25">
      <c r="A111" t="str">
        <f t="shared" si="4"/>
        <v>LACAR FISH SA</v>
      </c>
      <c r="B111">
        <f t="shared" si="5"/>
        <v>78055916</v>
      </c>
      <c r="C111" s="67">
        <f t="shared" si="6"/>
        <v>1130000</v>
      </c>
      <c r="D111" s="13">
        <v>46275</v>
      </c>
      <c r="E111" s="64">
        <v>46328</v>
      </c>
      <c r="F111" s="40">
        <f t="shared" si="7"/>
        <v>46330</v>
      </c>
      <c r="G111" s="27"/>
      <c r="L111" s="65"/>
    </row>
    <row r="112" spans="1:12" ht="15.75" customHeight="1" x14ac:dyDescent="0.25">
      <c r="A112" t="str">
        <f t="shared" si="4"/>
        <v>LACAR FISH SA</v>
      </c>
      <c r="B112">
        <f t="shared" si="5"/>
        <v>78055926</v>
      </c>
      <c r="C112" s="67">
        <f t="shared" si="6"/>
        <v>1130000</v>
      </c>
      <c r="D112" s="13">
        <v>46276</v>
      </c>
      <c r="E112" s="64">
        <v>46329</v>
      </c>
      <c r="F112" s="40">
        <f t="shared" si="7"/>
        <v>46331</v>
      </c>
      <c r="G112" s="27"/>
      <c r="L112" s="65"/>
    </row>
    <row r="113" spans="1:12" ht="15.75" customHeight="1" x14ac:dyDescent="0.25">
      <c r="A113" t="str">
        <f t="shared" si="4"/>
        <v>LACAR FISH SA</v>
      </c>
      <c r="B113">
        <f t="shared" si="5"/>
        <v>78055933</v>
      </c>
      <c r="C113" s="67">
        <f t="shared" si="6"/>
        <v>1480000</v>
      </c>
      <c r="D113" s="13">
        <v>46277</v>
      </c>
      <c r="E113" s="64">
        <v>46330</v>
      </c>
      <c r="F113" s="40">
        <f t="shared" si="7"/>
        <v>46332</v>
      </c>
      <c r="G113" s="27"/>
      <c r="L113" s="65"/>
    </row>
    <row r="114" spans="1:12" ht="15.75" customHeight="1" x14ac:dyDescent="0.25">
      <c r="A114" t="str">
        <f t="shared" si="4"/>
        <v>COOPERATIVA  DE TRABAJO DOÑA FRANCISCA LTDA</v>
      </c>
      <c r="B114">
        <f t="shared" si="5"/>
        <v>9564668</v>
      </c>
      <c r="C114" s="67">
        <f t="shared" si="6"/>
        <v>6348840</v>
      </c>
      <c r="D114" s="13">
        <v>46278</v>
      </c>
      <c r="E114" s="64">
        <v>46331</v>
      </c>
      <c r="F114" s="40">
        <f t="shared" si="7"/>
        <v>46333</v>
      </c>
      <c r="G114" s="27"/>
      <c r="L114" s="65"/>
    </row>
    <row r="115" spans="1:12" ht="15.75" customHeight="1" x14ac:dyDescent="0.25">
      <c r="A115" t="str">
        <f t="shared" si="4"/>
        <v>COOPERATIVA  DE TRABAJO DOÑA FRANCISCA LTDA</v>
      </c>
      <c r="B115">
        <f t="shared" si="5"/>
        <v>9564669</v>
      </c>
      <c r="C115" s="67">
        <f t="shared" si="6"/>
        <v>6000000</v>
      </c>
      <c r="D115" s="13">
        <v>46279</v>
      </c>
      <c r="E115" s="64">
        <v>46332</v>
      </c>
      <c r="F115" s="40">
        <f t="shared" si="7"/>
        <v>46334</v>
      </c>
      <c r="G115" s="27"/>
      <c r="L115" s="65"/>
    </row>
    <row r="116" spans="1:12" ht="15.75" customHeight="1" x14ac:dyDescent="0.25">
      <c r="A116" t="str">
        <f t="shared" si="4"/>
        <v>COOPERATIVA  DE TRABAJO DOÑA FRANCISCA LTDA</v>
      </c>
      <c r="B116">
        <f t="shared" si="5"/>
        <v>9564670</v>
      </c>
      <c r="C116" s="67">
        <f t="shared" si="6"/>
        <v>6000000</v>
      </c>
      <c r="D116" s="13">
        <v>46280</v>
      </c>
      <c r="E116" s="64">
        <v>46333</v>
      </c>
      <c r="F116" s="40">
        <f t="shared" si="7"/>
        <v>46335</v>
      </c>
      <c r="G116" s="27"/>
      <c r="L116" s="65"/>
    </row>
    <row r="117" spans="1:12" ht="15.75" customHeight="1" x14ac:dyDescent="0.25">
      <c r="A117" t="str">
        <f t="shared" si="4"/>
        <v>COOPERATIVA  DE TRABAJO DOÑA FRANCISCA LTDA</v>
      </c>
      <c r="B117">
        <f t="shared" si="5"/>
        <v>9564671</v>
      </c>
      <c r="C117" s="67">
        <f t="shared" si="6"/>
        <v>6000000</v>
      </c>
      <c r="D117" s="13">
        <v>46281</v>
      </c>
      <c r="E117" s="64">
        <v>46334</v>
      </c>
      <c r="F117" s="40">
        <f t="shared" si="7"/>
        <v>46336</v>
      </c>
      <c r="G117" s="27"/>
      <c r="L117" s="65"/>
    </row>
    <row r="118" spans="1:12" ht="15.75" customHeight="1" x14ac:dyDescent="0.25">
      <c r="A118" t="str">
        <f t="shared" si="4"/>
        <v>COOPERATIVA  DE TRABAJO DOÑA FRANCISCA LTDA</v>
      </c>
      <c r="B118">
        <f t="shared" si="5"/>
        <v>9564672</v>
      </c>
      <c r="C118" s="67">
        <f t="shared" si="6"/>
        <v>6000000</v>
      </c>
      <c r="D118" s="13">
        <v>46282</v>
      </c>
      <c r="E118" s="64">
        <v>46335</v>
      </c>
      <c r="F118" s="40">
        <f t="shared" si="7"/>
        <v>46337</v>
      </c>
      <c r="G118" s="27"/>
      <c r="L118" s="65"/>
    </row>
    <row r="119" spans="1:12" ht="15.75" customHeight="1" x14ac:dyDescent="0.25">
      <c r="A119" t="str">
        <f t="shared" si="4"/>
        <v>COOPERATIVA  DE TRABAJO DOÑA FRANCISCA LTDA</v>
      </c>
      <c r="B119">
        <f t="shared" si="5"/>
        <v>9564673</v>
      </c>
      <c r="C119" s="67">
        <f t="shared" si="6"/>
        <v>6000000</v>
      </c>
      <c r="D119" s="13">
        <v>46283</v>
      </c>
      <c r="E119" s="64">
        <v>46336</v>
      </c>
      <c r="F119" s="40">
        <f t="shared" si="7"/>
        <v>46338</v>
      </c>
      <c r="G119" s="27"/>
      <c r="L119" s="65"/>
    </row>
    <row r="120" spans="1:12" ht="15.75" customHeight="1" x14ac:dyDescent="0.25">
      <c r="A120" t="str">
        <f t="shared" si="4"/>
        <v>27 DE NOVIEMBRE SA</v>
      </c>
      <c r="B120">
        <f t="shared" si="5"/>
        <v>66789124</v>
      </c>
      <c r="C120" s="67">
        <f t="shared" si="6"/>
        <v>13467723.99</v>
      </c>
      <c r="D120" s="13">
        <v>46284</v>
      </c>
      <c r="E120" s="64">
        <v>46337</v>
      </c>
      <c r="F120" s="40">
        <f t="shared" si="7"/>
        <v>46339</v>
      </c>
      <c r="G120" s="27"/>
      <c r="L120" s="65"/>
    </row>
    <row r="121" spans="1:12" ht="15.75" customHeight="1" x14ac:dyDescent="0.25">
      <c r="A121" t="str">
        <f t="shared" si="4"/>
        <v>LACAR FISH SA</v>
      </c>
      <c r="B121">
        <f t="shared" si="5"/>
        <v>78055943</v>
      </c>
      <c r="C121" s="67">
        <f t="shared" si="6"/>
        <v>1440000</v>
      </c>
      <c r="D121" s="13">
        <v>46285</v>
      </c>
      <c r="E121" s="64">
        <v>46338</v>
      </c>
      <c r="F121" s="40">
        <f t="shared" si="7"/>
        <v>46340</v>
      </c>
      <c r="G121" s="27"/>
      <c r="L121" s="65"/>
    </row>
    <row r="122" spans="1:12" ht="15.75" customHeight="1" x14ac:dyDescent="0.25">
      <c r="A122" t="str">
        <f t="shared" si="4"/>
        <v>LUDAPEZ SA</v>
      </c>
      <c r="B122">
        <f t="shared" si="5"/>
        <v>13653580</v>
      </c>
      <c r="C122" s="67">
        <f t="shared" si="6"/>
        <v>2250000</v>
      </c>
      <c r="D122" s="13">
        <v>46286</v>
      </c>
      <c r="E122" s="64">
        <v>46339</v>
      </c>
      <c r="F122" s="40">
        <f t="shared" si="7"/>
        <v>46341</v>
      </c>
      <c r="G122" s="27"/>
      <c r="L122" s="65"/>
    </row>
    <row r="123" spans="1:12" ht="15.75" customHeight="1" x14ac:dyDescent="0.25">
      <c r="A123" t="str">
        <f t="shared" si="4"/>
        <v>LUDAPEZ SA</v>
      </c>
      <c r="B123">
        <f t="shared" si="5"/>
        <v>13653581</v>
      </c>
      <c r="C123" s="67">
        <f t="shared" si="6"/>
        <v>2250000</v>
      </c>
      <c r="D123" s="13">
        <v>46287</v>
      </c>
      <c r="E123" s="64">
        <v>46340</v>
      </c>
      <c r="F123" s="40">
        <f t="shared" si="7"/>
        <v>46342</v>
      </c>
      <c r="G123" s="27"/>
      <c r="L123" s="65"/>
    </row>
    <row r="124" spans="1:12" ht="15.75" customHeight="1" x14ac:dyDescent="0.25">
      <c r="A124" t="str">
        <f t="shared" si="4"/>
        <v>LUMELL SA</v>
      </c>
      <c r="B124">
        <f t="shared" si="5"/>
        <v>147</v>
      </c>
      <c r="C124" s="67">
        <f t="shared" si="6"/>
        <v>2015000</v>
      </c>
      <c r="D124" s="13">
        <v>46288</v>
      </c>
      <c r="E124" s="64">
        <v>46341</v>
      </c>
      <c r="F124" s="40">
        <f t="shared" si="7"/>
        <v>46343</v>
      </c>
      <c r="G124" s="27"/>
      <c r="L124" s="65"/>
    </row>
    <row r="125" spans="1:12" ht="15.75" customHeight="1" x14ac:dyDescent="0.25">
      <c r="A125" t="str">
        <f t="shared" si="4"/>
        <v>LUMELL SA</v>
      </c>
      <c r="B125">
        <f t="shared" si="5"/>
        <v>148</v>
      </c>
      <c r="C125" s="67">
        <f t="shared" si="6"/>
        <v>2000100</v>
      </c>
      <c r="D125" s="13">
        <v>46289</v>
      </c>
      <c r="E125" s="64">
        <v>46342</v>
      </c>
      <c r="F125" s="40">
        <f t="shared" si="7"/>
        <v>46344</v>
      </c>
      <c r="G125" s="27"/>
      <c r="L125" s="65"/>
    </row>
    <row r="126" spans="1:12" ht="15.75" customHeight="1" x14ac:dyDescent="0.25">
      <c r="A126" t="str">
        <f t="shared" si="4"/>
        <v>LUMELL SA</v>
      </c>
      <c r="B126">
        <f t="shared" si="5"/>
        <v>149</v>
      </c>
      <c r="C126" s="67">
        <f t="shared" si="6"/>
        <v>3000070</v>
      </c>
      <c r="D126" s="13">
        <v>46290</v>
      </c>
      <c r="E126" s="64">
        <v>46343</v>
      </c>
      <c r="F126" s="40">
        <f t="shared" si="7"/>
        <v>46345</v>
      </c>
      <c r="G126" s="27"/>
      <c r="L126" s="65"/>
    </row>
    <row r="127" spans="1:12" ht="15.75" customHeight="1" x14ac:dyDescent="0.25">
      <c r="A127" t="str">
        <f t="shared" si="4"/>
        <v>LUMELL SA</v>
      </c>
      <c r="B127">
        <f t="shared" si="5"/>
        <v>150</v>
      </c>
      <c r="C127" s="67">
        <f t="shared" si="6"/>
        <v>3000007.69</v>
      </c>
      <c r="D127" s="13">
        <v>46291</v>
      </c>
      <c r="E127" s="64">
        <v>46344</v>
      </c>
      <c r="F127" s="40">
        <f t="shared" si="7"/>
        <v>46346</v>
      </c>
      <c r="G127" s="27"/>
      <c r="L127" s="65"/>
    </row>
    <row r="128" spans="1:12" ht="15.75" customHeight="1" x14ac:dyDescent="0.25">
      <c r="A128" t="str">
        <f t="shared" si="4"/>
        <v>LUMELL SA</v>
      </c>
      <c r="B128">
        <f t="shared" si="5"/>
        <v>144</v>
      </c>
      <c r="C128" s="67">
        <f t="shared" si="6"/>
        <v>3000818.18</v>
      </c>
      <c r="D128" s="13">
        <v>46292</v>
      </c>
      <c r="E128" s="64">
        <v>46345</v>
      </c>
      <c r="F128" s="40">
        <f t="shared" si="7"/>
        <v>46347</v>
      </c>
      <c r="G128" s="27"/>
      <c r="L128" s="65"/>
    </row>
    <row r="129" spans="1:12" ht="15.75" customHeight="1" x14ac:dyDescent="0.25">
      <c r="A129" t="str">
        <f t="shared" si="4"/>
        <v>LUMELL SA</v>
      </c>
      <c r="B129">
        <f t="shared" si="5"/>
        <v>145</v>
      </c>
      <c r="C129" s="67">
        <f t="shared" si="6"/>
        <v>3050000</v>
      </c>
      <c r="D129" s="13">
        <v>46293</v>
      </c>
      <c r="E129" s="64">
        <v>46346</v>
      </c>
      <c r="F129" s="40">
        <f t="shared" si="7"/>
        <v>46348</v>
      </c>
      <c r="G129" s="27"/>
      <c r="L129" s="65"/>
    </row>
    <row r="130" spans="1:12" ht="15.75" customHeight="1" x14ac:dyDescent="0.25">
      <c r="A130" t="str">
        <f t="shared" si="4"/>
        <v>LUMELL SA</v>
      </c>
      <c r="B130">
        <f t="shared" si="5"/>
        <v>146</v>
      </c>
      <c r="C130" s="67">
        <f t="shared" si="6"/>
        <v>3004000</v>
      </c>
      <c r="D130" s="13">
        <v>46294</v>
      </c>
      <c r="E130" s="64">
        <v>46347</v>
      </c>
      <c r="F130" s="40">
        <f t="shared" si="7"/>
        <v>46349</v>
      </c>
      <c r="G130" s="27"/>
      <c r="L130" s="65"/>
    </row>
    <row r="131" spans="1:12" ht="15.75" customHeight="1" x14ac:dyDescent="0.25">
      <c r="A131" t="str">
        <f t="shared" si="4"/>
        <v>SAORI SA</v>
      </c>
      <c r="B131">
        <f t="shared" si="5"/>
        <v>66787400</v>
      </c>
      <c r="C131" s="67">
        <f t="shared" si="6"/>
        <v>4000000</v>
      </c>
      <c r="D131" s="13">
        <v>46295</v>
      </c>
      <c r="E131" s="64">
        <v>46348</v>
      </c>
      <c r="F131" s="40">
        <f t="shared" si="7"/>
        <v>46350</v>
      </c>
      <c r="G131" s="27"/>
      <c r="L131" s="65"/>
    </row>
    <row r="132" spans="1:12" ht="15.75" customHeight="1" x14ac:dyDescent="0.25">
      <c r="A132" t="str">
        <f t="shared" si="4"/>
        <v>COOPERATIVA  DE TRABAJO DOÑA FRANCISCA LTDA</v>
      </c>
      <c r="B132">
        <f t="shared" si="5"/>
        <v>9564661</v>
      </c>
      <c r="C132" s="67">
        <f t="shared" si="6"/>
        <v>4851540</v>
      </c>
      <c r="D132" s="13">
        <v>46296</v>
      </c>
      <c r="E132" s="64">
        <v>46349</v>
      </c>
      <c r="F132" s="40">
        <f t="shared" si="7"/>
        <v>46351</v>
      </c>
      <c r="G132" s="27"/>
      <c r="L132" s="65"/>
    </row>
    <row r="133" spans="1:12" ht="15.75" customHeight="1" x14ac:dyDescent="0.25">
      <c r="A133" t="str">
        <f t="shared" ref="A133:A196" si="8">+I600</f>
        <v>COOPERATIVA  DE TRABAJO DOÑA FRANCISCA LTDA</v>
      </c>
      <c r="B133">
        <f t="shared" ref="B133:B196" si="9">+E600</f>
        <v>9564662</v>
      </c>
      <c r="C133" s="67">
        <f t="shared" ref="C133:C196" si="10">+H600</f>
        <v>4700000</v>
      </c>
      <c r="D133" s="13">
        <v>46297</v>
      </c>
      <c r="E133" s="64">
        <v>46350</v>
      </c>
      <c r="F133" s="40">
        <f t="shared" ref="F133:F196" si="11">+E133+2</f>
        <v>46352</v>
      </c>
      <c r="G133" s="27"/>
      <c r="L133" s="65"/>
    </row>
    <row r="134" spans="1:12" ht="15.75" customHeight="1" x14ac:dyDescent="0.25">
      <c r="A134" t="str">
        <f t="shared" si="8"/>
        <v>COOPERATIVA  DE TRABAJO DOÑA FRANCISCA LTDA</v>
      </c>
      <c r="B134">
        <f t="shared" si="9"/>
        <v>9564663</v>
      </c>
      <c r="C134" s="67">
        <f t="shared" si="10"/>
        <v>4700000</v>
      </c>
      <c r="D134" s="13">
        <v>46298</v>
      </c>
      <c r="E134" s="64">
        <v>46351</v>
      </c>
      <c r="F134" s="40">
        <f t="shared" si="11"/>
        <v>46353</v>
      </c>
      <c r="G134" s="27"/>
      <c r="L134" s="65"/>
    </row>
    <row r="135" spans="1:12" ht="15.75" customHeight="1" x14ac:dyDescent="0.25">
      <c r="A135" t="str">
        <f t="shared" si="8"/>
        <v>COOPERATIVA  DE TRABAJO DOÑA FRANCISCA LTDA</v>
      </c>
      <c r="B135">
        <f t="shared" si="9"/>
        <v>9564664</v>
      </c>
      <c r="C135" s="67">
        <f t="shared" si="10"/>
        <v>4700000</v>
      </c>
      <c r="D135" s="13">
        <v>46299</v>
      </c>
      <c r="E135" s="64">
        <v>46352</v>
      </c>
      <c r="F135" s="40">
        <f t="shared" si="11"/>
        <v>46354</v>
      </c>
      <c r="G135" s="27"/>
      <c r="L135" s="65"/>
    </row>
    <row r="136" spans="1:12" ht="15.75" customHeight="1" x14ac:dyDescent="0.25">
      <c r="A136" t="str">
        <f t="shared" si="8"/>
        <v>CONGELADOS ARTICO SA</v>
      </c>
      <c r="B136">
        <f t="shared" si="9"/>
        <v>90028097</v>
      </c>
      <c r="C136" s="67">
        <f t="shared" si="10"/>
        <v>5540000</v>
      </c>
      <c r="D136" s="13">
        <v>46300</v>
      </c>
      <c r="E136" s="64">
        <v>46353</v>
      </c>
      <c r="F136" s="40">
        <f t="shared" si="11"/>
        <v>46355</v>
      </c>
      <c r="G136" s="27"/>
      <c r="L136" s="65"/>
    </row>
    <row r="137" spans="1:12" ht="15.75" customHeight="1" x14ac:dyDescent="0.25">
      <c r="A137" t="str">
        <f t="shared" si="8"/>
        <v>CONGELADOS ARTICO SA</v>
      </c>
      <c r="B137">
        <f t="shared" si="9"/>
        <v>146</v>
      </c>
      <c r="C137" s="67">
        <f t="shared" si="10"/>
        <v>137025146.13</v>
      </c>
      <c r="D137" s="13">
        <v>46301</v>
      </c>
      <c r="E137" s="64">
        <v>46354</v>
      </c>
      <c r="F137" s="40">
        <f t="shared" si="11"/>
        <v>46356</v>
      </c>
      <c r="G137" s="27"/>
      <c r="L137" s="65"/>
    </row>
    <row r="138" spans="1:12" ht="15.75" customHeight="1" x14ac:dyDescent="0.25">
      <c r="A138" t="str">
        <f t="shared" si="8"/>
        <v>CONGELADOS ARTICO SA</v>
      </c>
      <c r="B138">
        <f t="shared" si="9"/>
        <v>90001953</v>
      </c>
      <c r="C138" s="67">
        <f t="shared" si="10"/>
        <v>16359543.16</v>
      </c>
      <c r="D138" s="13">
        <v>46302</v>
      </c>
      <c r="E138" s="64">
        <v>46355</v>
      </c>
      <c r="F138" s="40">
        <f t="shared" si="11"/>
        <v>46357</v>
      </c>
      <c r="G138" s="27"/>
      <c r="L138" s="65"/>
    </row>
    <row r="139" spans="1:12" ht="15.75" customHeight="1" x14ac:dyDescent="0.25">
      <c r="A139" t="str">
        <f t="shared" si="8"/>
        <v>NATUSUR SA</v>
      </c>
      <c r="B139">
        <f t="shared" si="9"/>
        <v>6826541</v>
      </c>
      <c r="C139" s="67">
        <f t="shared" si="10"/>
        <v>24000000</v>
      </c>
      <c r="D139" s="13">
        <v>46303</v>
      </c>
      <c r="E139" s="64">
        <v>46356</v>
      </c>
      <c r="F139" s="40">
        <f t="shared" si="11"/>
        <v>46358</v>
      </c>
      <c r="G139" s="27"/>
      <c r="L139" s="65"/>
    </row>
    <row r="140" spans="1:12" ht="15.75" customHeight="1" x14ac:dyDescent="0.25">
      <c r="A140" t="str">
        <f t="shared" si="8"/>
        <v>NATUSUR SA</v>
      </c>
      <c r="B140">
        <f t="shared" si="9"/>
        <v>6826542</v>
      </c>
      <c r="C140" s="67">
        <f t="shared" si="10"/>
        <v>31000000</v>
      </c>
      <c r="D140" s="13">
        <v>46304</v>
      </c>
      <c r="E140" s="64">
        <v>46357</v>
      </c>
      <c r="F140" s="40">
        <f t="shared" si="11"/>
        <v>46359</v>
      </c>
      <c r="G140" s="27"/>
      <c r="L140" s="65"/>
    </row>
    <row r="141" spans="1:12" ht="15.75" customHeight="1" x14ac:dyDescent="0.25">
      <c r="A141" t="str">
        <f t="shared" si="8"/>
        <v>MARISQUERIA SANTA RITA SRL</v>
      </c>
      <c r="B141">
        <f t="shared" si="9"/>
        <v>4775</v>
      </c>
      <c r="C141" s="67">
        <f t="shared" si="10"/>
        <v>1300000</v>
      </c>
      <c r="D141" s="13">
        <v>46305</v>
      </c>
      <c r="E141" s="64">
        <v>46358</v>
      </c>
      <c r="F141" s="40">
        <f t="shared" si="11"/>
        <v>46360</v>
      </c>
      <c r="G141" s="27"/>
      <c r="L141" s="65"/>
    </row>
    <row r="142" spans="1:12" ht="15.75" customHeight="1" x14ac:dyDescent="0.25">
      <c r="A142" t="str">
        <f t="shared" si="8"/>
        <v>MARISQUERIA SANTA RITA SRL</v>
      </c>
      <c r="B142">
        <f t="shared" si="9"/>
        <v>4786</v>
      </c>
      <c r="C142" s="67">
        <f t="shared" si="10"/>
        <v>1300000</v>
      </c>
      <c r="D142" s="13">
        <v>46306</v>
      </c>
      <c r="E142" s="64">
        <v>46359</v>
      </c>
      <c r="F142" s="40">
        <f t="shared" si="11"/>
        <v>46361</v>
      </c>
      <c r="G142" s="27"/>
      <c r="L142" s="65"/>
    </row>
    <row r="143" spans="1:12" ht="15.75" customHeight="1" x14ac:dyDescent="0.25">
      <c r="A143" t="str">
        <f t="shared" si="8"/>
        <v>LACAR FISH SA</v>
      </c>
      <c r="B143">
        <f t="shared" si="9"/>
        <v>78055917</v>
      </c>
      <c r="C143" s="67">
        <f t="shared" si="10"/>
        <v>1143500</v>
      </c>
      <c r="D143" s="13">
        <v>46307</v>
      </c>
      <c r="E143" s="64">
        <v>46360</v>
      </c>
      <c r="F143" s="40">
        <f t="shared" si="11"/>
        <v>46362</v>
      </c>
      <c r="G143" s="27"/>
      <c r="L143" s="65"/>
    </row>
    <row r="144" spans="1:12" ht="15.75" customHeight="1" x14ac:dyDescent="0.25">
      <c r="A144" t="str">
        <f t="shared" si="8"/>
        <v>LACAR FISH SA</v>
      </c>
      <c r="B144">
        <f t="shared" si="9"/>
        <v>78055927</v>
      </c>
      <c r="C144" s="67">
        <f t="shared" si="10"/>
        <v>1130000</v>
      </c>
      <c r="D144" s="13">
        <v>46308</v>
      </c>
      <c r="E144" s="64">
        <v>46361</v>
      </c>
      <c r="F144" s="40">
        <f t="shared" si="11"/>
        <v>46363</v>
      </c>
      <c r="G144" s="27"/>
      <c r="L144" s="65"/>
    </row>
    <row r="145" spans="1:12" ht="15.75" customHeight="1" x14ac:dyDescent="0.25">
      <c r="A145" t="str">
        <f t="shared" si="8"/>
        <v>LACAR FISH SA</v>
      </c>
      <c r="B145">
        <f t="shared" si="9"/>
        <v>78055934</v>
      </c>
      <c r="C145" s="67">
        <f t="shared" si="10"/>
        <v>1480000</v>
      </c>
      <c r="D145" s="13">
        <v>46309</v>
      </c>
      <c r="E145" s="64">
        <v>46362</v>
      </c>
      <c r="F145" s="40">
        <f t="shared" si="11"/>
        <v>46364</v>
      </c>
      <c r="G145" s="27"/>
      <c r="L145" s="65"/>
    </row>
    <row r="146" spans="1:12" ht="15.75" customHeight="1" x14ac:dyDescent="0.25">
      <c r="A146" t="str">
        <f t="shared" si="8"/>
        <v>LACAR FISH SA</v>
      </c>
      <c r="B146">
        <f t="shared" si="9"/>
        <v>78055944</v>
      </c>
      <c r="C146" s="67">
        <f t="shared" si="10"/>
        <v>1440000</v>
      </c>
      <c r="D146" s="13">
        <v>46310</v>
      </c>
      <c r="E146" s="64">
        <v>46363</v>
      </c>
      <c r="F146" s="40">
        <f t="shared" si="11"/>
        <v>46365</v>
      </c>
      <c r="G146" s="27"/>
      <c r="L146" s="65"/>
    </row>
    <row r="147" spans="1:12" ht="15.75" customHeight="1" x14ac:dyDescent="0.25">
      <c r="A147" t="str">
        <f t="shared" si="8"/>
        <v>CONGELADOS ARTICO SA</v>
      </c>
      <c r="B147">
        <f t="shared" si="9"/>
        <v>1402324</v>
      </c>
      <c r="C147" s="67">
        <f t="shared" si="10"/>
        <v>4840000</v>
      </c>
      <c r="D147" s="13">
        <v>46311</v>
      </c>
      <c r="E147" s="64">
        <v>46364</v>
      </c>
      <c r="F147" s="40">
        <f t="shared" si="11"/>
        <v>46366</v>
      </c>
      <c r="G147" s="27"/>
      <c r="L147" s="65"/>
    </row>
    <row r="148" spans="1:12" ht="15.75" customHeight="1" x14ac:dyDescent="0.25">
      <c r="A148" t="str">
        <f t="shared" si="8"/>
        <v>MARISQUERIA SANTA RITA SRL</v>
      </c>
      <c r="B148">
        <f t="shared" si="9"/>
        <v>4776</v>
      </c>
      <c r="C148" s="67">
        <f t="shared" si="10"/>
        <v>1300000</v>
      </c>
      <c r="D148" s="13">
        <v>46312</v>
      </c>
      <c r="E148" s="64">
        <v>46365</v>
      </c>
      <c r="F148" s="40">
        <f t="shared" si="11"/>
        <v>46367</v>
      </c>
      <c r="G148" s="27"/>
      <c r="L148" s="65"/>
    </row>
    <row r="149" spans="1:12" ht="15.75" customHeight="1" x14ac:dyDescent="0.25">
      <c r="A149" t="str">
        <f t="shared" si="8"/>
        <v>MARISQUERIA SANTA RITA SRL</v>
      </c>
      <c r="B149">
        <f t="shared" si="9"/>
        <v>4787</v>
      </c>
      <c r="C149" s="67">
        <f t="shared" si="10"/>
        <v>1162600</v>
      </c>
      <c r="D149" s="13">
        <v>46313</v>
      </c>
      <c r="E149" s="64">
        <v>46366</v>
      </c>
      <c r="F149" s="40">
        <f t="shared" si="11"/>
        <v>46368</v>
      </c>
      <c r="G149" s="27"/>
      <c r="L149" s="65"/>
    </row>
    <row r="150" spans="1:12" ht="15.75" customHeight="1" x14ac:dyDescent="0.25">
      <c r="A150" t="str">
        <f t="shared" si="8"/>
        <v>FRIGOSUR SRL</v>
      </c>
      <c r="B150">
        <f t="shared" si="9"/>
        <v>9845358</v>
      </c>
      <c r="C150" s="67">
        <f t="shared" si="10"/>
        <v>26628525</v>
      </c>
      <c r="D150" s="13">
        <v>46314</v>
      </c>
      <c r="E150" s="64">
        <v>46367</v>
      </c>
      <c r="F150" s="40">
        <f t="shared" si="11"/>
        <v>46369</v>
      </c>
      <c r="G150" s="27"/>
      <c r="L150" s="65"/>
    </row>
    <row r="151" spans="1:12" ht="15.75" customHeight="1" x14ac:dyDescent="0.25">
      <c r="A151" t="str">
        <f t="shared" si="8"/>
        <v>FRIGOSUR SRL</v>
      </c>
      <c r="B151">
        <f t="shared" si="9"/>
        <v>9845359</v>
      </c>
      <c r="C151" s="67">
        <f t="shared" si="10"/>
        <v>26628525</v>
      </c>
      <c r="D151" s="13">
        <v>46315</v>
      </c>
      <c r="E151" s="64">
        <v>46368</v>
      </c>
      <c r="F151" s="40">
        <f t="shared" si="11"/>
        <v>46370</v>
      </c>
      <c r="G151" s="27"/>
      <c r="L151" s="65"/>
    </row>
    <row r="152" spans="1:12" ht="15.75" customHeight="1" x14ac:dyDescent="0.25">
      <c r="A152" t="str">
        <f t="shared" si="8"/>
        <v>MARDI SA</v>
      </c>
      <c r="B152">
        <f t="shared" si="9"/>
        <v>1580</v>
      </c>
      <c r="C152" s="67">
        <f t="shared" si="10"/>
        <v>22500000</v>
      </c>
      <c r="D152" s="13">
        <v>46316</v>
      </c>
      <c r="E152" s="64">
        <v>46369</v>
      </c>
      <c r="F152" s="40">
        <f t="shared" si="11"/>
        <v>46371</v>
      </c>
      <c r="G152" s="27"/>
      <c r="L152" s="65"/>
    </row>
    <row r="153" spans="1:12" ht="15.75" customHeight="1" x14ac:dyDescent="0.25">
      <c r="A153" t="str">
        <f t="shared" si="8"/>
        <v>SAORI SA</v>
      </c>
      <c r="B153">
        <f t="shared" si="9"/>
        <v>66787457</v>
      </c>
      <c r="C153" s="67">
        <f t="shared" si="10"/>
        <v>4000000</v>
      </c>
      <c r="D153" s="13">
        <v>46317</v>
      </c>
      <c r="E153" s="64">
        <v>46370</v>
      </c>
      <c r="F153" s="40">
        <f t="shared" si="11"/>
        <v>46372</v>
      </c>
      <c r="G153" s="27"/>
      <c r="L153" s="65"/>
    </row>
    <row r="154" spans="1:12" ht="15.75" customHeight="1" x14ac:dyDescent="0.25">
      <c r="A154" t="str">
        <f t="shared" si="8"/>
        <v>CONGELADOS ARTICO SA</v>
      </c>
      <c r="B154">
        <f t="shared" si="9"/>
        <v>9953736</v>
      </c>
      <c r="C154" s="67">
        <f t="shared" si="10"/>
        <v>7500000</v>
      </c>
      <c r="D154" s="13">
        <v>46318</v>
      </c>
      <c r="E154" s="64">
        <v>46371</v>
      </c>
      <c r="F154" s="40">
        <f t="shared" si="11"/>
        <v>46373</v>
      </c>
      <c r="G154" s="27"/>
      <c r="L154" s="65"/>
    </row>
    <row r="155" spans="1:12" ht="15.75" customHeight="1" x14ac:dyDescent="0.25">
      <c r="A155" t="str">
        <f t="shared" si="8"/>
        <v>LACAR FISH SA</v>
      </c>
      <c r="B155">
        <f t="shared" si="9"/>
        <v>78055928</v>
      </c>
      <c r="C155" s="67">
        <f t="shared" si="10"/>
        <v>1130000</v>
      </c>
      <c r="D155" s="13">
        <v>46319</v>
      </c>
      <c r="E155" s="64">
        <v>46372</v>
      </c>
      <c r="F155" s="40">
        <f t="shared" si="11"/>
        <v>46374</v>
      </c>
      <c r="G155" s="27"/>
      <c r="L155" s="65"/>
    </row>
    <row r="156" spans="1:12" ht="15.75" customHeight="1" x14ac:dyDescent="0.25">
      <c r="A156" t="str">
        <f t="shared" si="8"/>
        <v>LACAR FISH SA</v>
      </c>
      <c r="B156">
        <f t="shared" si="9"/>
        <v>78055935</v>
      </c>
      <c r="C156" s="67">
        <f t="shared" si="10"/>
        <v>1480000</v>
      </c>
      <c r="D156" s="13">
        <v>46320</v>
      </c>
      <c r="E156" s="64">
        <v>46373</v>
      </c>
      <c r="F156" s="40">
        <f t="shared" si="11"/>
        <v>46375</v>
      </c>
      <c r="G156" s="27"/>
      <c r="L156" s="65"/>
    </row>
    <row r="157" spans="1:12" ht="15.75" customHeight="1" x14ac:dyDescent="0.25">
      <c r="A157" t="str">
        <f t="shared" si="8"/>
        <v>LACAR FISH SA</v>
      </c>
      <c r="B157">
        <f t="shared" si="9"/>
        <v>78055945</v>
      </c>
      <c r="C157" s="67">
        <f t="shared" si="10"/>
        <v>1440000</v>
      </c>
      <c r="D157" s="13">
        <v>46321</v>
      </c>
      <c r="E157" s="64">
        <v>46374</v>
      </c>
      <c r="F157" s="40">
        <f t="shared" si="11"/>
        <v>46376</v>
      </c>
      <c r="G157" s="27"/>
      <c r="L157" s="65"/>
    </row>
    <row r="158" spans="1:12" ht="15.75" customHeight="1" x14ac:dyDescent="0.25">
      <c r="A158" t="str">
        <f t="shared" si="8"/>
        <v>CONGELADOS ARTICO SA</v>
      </c>
      <c r="B158">
        <f t="shared" si="9"/>
        <v>30069126</v>
      </c>
      <c r="C158" s="67">
        <f t="shared" si="10"/>
        <v>40518212.380000003</v>
      </c>
      <c r="D158" s="13">
        <v>46322</v>
      </c>
      <c r="E158" s="64">
        <v>46375</v>
      </c>
      <c r="F158" s="40">
        <f t="shared" si="11"/>
        <v>46377</v>
      </c>
      <c r="G158" s="27"/>
      <c r="L158" s="65"/>
    </row>
    <row r="159" spans="1:12" ht="15.75" customHeight="1" x14ac:dyDescent="0.25">
      <c r="A159" t="str">
        <f t="shared" si="8"/>
        <v>NATUSUR SA</v>
      </c>
      <c r="B159">
        <f t="shared" si="9"/>
        <v>6760642</v>
      </c>
      <c r="C159" s="67">
        <f t="shared" si="10"/>
        <v>24824194.600000001</v>
      </c>
      <c r="D159" s="13">
        <v>46323</v>
      </c>
      <c r="E159" s="64">
        <v>46376</v>
      </c>
      <c r="F159" s="40">
        <f t="shared" si="11"/>
        <v>46378</v>
      </c>
      <c r="G159" s="27"/>
      <c r="L159" s="65"/>
    </row>
    <row r="160" spans="1:12" ht="15.75" customHeight="1" x14ac:dyDescent="0.25">
      <c r="A160" t="str">
        <f t="shared" si="8"/>
        <v>MARISQUERIA SANTA RITA SRL</v>
      </c>
      <c r="B160">
        <f t="shared" si="9"/>
        <v>4777</v>
      </c>
      <c r="C160" s="67">
        <f t="shared" si="10"/>
        <v>1269025</v>
      </c>
      <c r="D160" s="13">
        <v>46324</v>
      </c>
      <c r="E160" s="64">
        <v>46377</v>
      </c>
      <c r="F160" s="40">
        <f t="shared" si="11"/>
        <v>46379</v>
      </c>
      <c r="G160" s="27"/>
      <c r="L160" s="65"/>
    </row>
    <row r="161" spans="1:12" ht="15.75" customHeight="1" x14ac:dyDescent="0.25">
      <c r="A161" t="str">
        <f t="shared" si="8"/>
        <v>COMERCIAL INAL 2005 SA</v>
      </c>
      <c r="B161">
        <f t="shared" si="9"/>
        <v>6973</v>
      </c>
      <c r="C161" s="67">
        <f t="shared" si="10"/>
        <v>43814020</v>
      </c>
      <c r="D161" s="13">
        <v>46325</v>
      </c>
      <c r="E161" s="64">
        <v>46378</v>
      </c>
      <c r="F161" s="40">
        <f t="shared" si="11"/>
        <v>46380</v>
      </c>
      <c r="G161" s="27"/>
      <c r="L161" s="65"/>
    </row>
    <row r="162" spans="1:12" ht="15.75" customHeight="1" x14ac:dyDescent="0.25">
      <c r="A162" t="str">
        <f t="shared" si="8"/>
        <v>LACAR FISH SA</v>
      </c>
      <c r="B162">
        <f t="shared" si="9"/>
        <v>78055929</v>
      </c>
      <c r="C162" s="67">
        <f t="shared" si="10"/>
        <v>1148175</v>
      </c>
      <c r="D162" s="13">
        <v>46326</v>
      </c>
      <c r="E162" s="64">
        <v>46379</v>
      </c>
      <c r="F162" s="40">
        <f t="shared" si="11"/>
        <v>46381</v>
      </c>
      <c r="G162" s="27"/>
      <c r="L162" s="65"/>
    </row>
    <row r="163" spans="1:12" ht="15.75" customHeight="1" x14ac:dyDescent="0.25">
      <c r="A163" t="str">
        <f t="shared" si="8"/>
        <v>LACAR FISH SA</v>
      </c>
      <c r="B163">
        <f t="shared" si="9"/>
        <v>78055936</v>
      </c>
      <c r="C163" s="67">
        <f t="shared" si="10"/>
        <v>1480000</v>
      </c>
      <c r="D163" s="13">
        <v>46327</v>
      </c>
      <c r="E163" s="64">
        <v>46380</v>
      </c>
      <c r="F163" s="40">
        <f t="shared" si="11"/>
        <v>46382</v>
      </c>
      <c r="G163" s="27"/>
      <c r="L163" s="65"/>
    </row>
    <row r="164" spans="1:12" ht="15.75" customHeight="1" x14ac:dyDescent="0.25">
      <c r="A164" t="str">
        <f t="shared" si="8"/>
        <v>COOPERATIVA DE TRABAJO CAÑAMAR LIMITADA</v>
      </c>
      <c r="B164">
        <f t="shared" si="9"/>
        <v>29273703</v>
      </c>
      <c r="C164" s="67">
        <f t="shared" si="10"/>
        <v>1339800</v>
      </c>
      <c r="D164" s="13">
        <v>46328</v>
      </c>
      <c r="E164" s="64">
        <v>46381</v>
      </c>
      <c r="F164" s="40">
        <f t="shared" si="11"/>
        <v>46383</v>
      </c>
      <c r="G164" s="27"/>
      <c r="L164" s="65"/>
    </row>
    <row r="165" spans="1:12" ht="15.75" customHeight="1" x14ac:dyDescent="0.25">
      <c r="A165" t="str">
        <f t="shared" si="8"/>
        <v>LACAR FISH SA</v>
      </c>
      <c r="B165">
        <f t="shared" si="9"/>
        <v>78055946</v>
      </c>
      <c r="C165" s="67">
        <f t="shared" si="10"/>
        <v>1440000</v>
      </c>
      <c r="D165" s="13">
        <v>46329</v>
      </c>
      <c r="E165" s="64">
        <v>46382</v>
      </c>
      <c r="F165" s="40">
        <f t="shared" si="11"/>
        <v>46384</v>
      </c>
      <c r="G165" s="27"/>
      <c r="L165" s="65"/>
    </row>
    <row r="166" spans="1:12" ht="15.75" customHeight="1" x14ac:dyDescent="0.25">
      <c r="A166" t="str">
        <f t="shared" si="8"/>
        <v>MARDI SA</v>
      </c>
      <c r="B166">
        <f t="shared" si="9"/>
        <v>1581</v>
      </c>
      <c r="C166" s="67">
        <f t="shared" si="10"/>
        <v>21500000</v>
      </c>
      <c r="D166" s="13">
        <v>46330</v>
      </c>
      <c r="E166" s="64">
        <v>46383</v>
      </c>
      <c r="F166" s="40">
        <f t="shared" si="11"/>
        <v>46385</v>
      </c>
      <c r="G166" s="27"/>
      <c r="L166" s="65"/>
    </row>
    <row r="167" spans="1:12" ht="15.75" customHeight="1" x14ac:dyDescent="0.25">
      <c r="A167" t="str">
        <f t="shared" si="8"/>
        <v>SAORI SA</v>
      </c>
      <c r="B167">
        <f t="shared" si="9"/>
        <v>66787525</v>
      </c>
      <c r="C167" s="67">
        <f t="shared" si="10"/>
        <v>4000000</v>
      </c>
      <c r="D167" s="13">
        <v>46331</v>
      </c>
      <c r="E167" s="64">
        <v>46384</v>
      </c>
      <c r="F167" s="40">
        <f t="shared" si="11"/>
        <v>46386</v>
      </c>
      <c r="G167" s="27"/>
      <c r="L167" s="65"/>
    </row>
    <row r="168" spans="1:12" ht="15.75" customHeight="1" x14ac:dyDescent="0.25">
      <c r="A168" t="str">
        <f t="shared" si="8"/>
        <v>SAORI SA</v>
      </c>
      <c r="B168">
        <f t="shared" si="9"/>
        <v>66787578</v>
      </c>
      <c r="C168" s="67">
        <f t="shared" si="10"/>
        <v>250230</v>
      </c>
      <c r="D168" s="13">
        <v>46332</v>
      </c>
      <c r="E168" s="64">
        <v>46385</v>
      </c>
      <c r="F168" s="40">
        <f t="shared" si="11"/>
        <v>46387</v>
      </c>
      <c r="G168" s="27"/>
      <c r="L168" s="65"/>
    </row>
    <row r="169" spans="1:12" ht="15.75" customHeight="1" x14ac:dyDescent="0.25">
      <c r="A169" t="str">
        <f t="shared" si="8"/>
        <v>GUBITI SA</v>
      </c>
      <c r="B169">
        <f t="shared" si="9"/>
        <v>67175703</v>
      </c>
      <c r="C169" s="67">
        <f t="shared" si="10"/>
        <v>7286515</v>
      </c>
      <c r="D169" s="13">
        <v>46333</v>
      </c>
      <c r="E169" s="64">
        <v>46386</v>
      </c>
      <c r="F169" s="40">
        <f t="shared" si="11"/>
        <v>46388</v>
      </c>
      <c r="G169" s="27"/>
      <c r="L169" s="65"/>
    </row>
    <row r="170" spans="1:12" ht="15.75" customHeight="1" x14ac:dyDescent="0.25">
      <c r="A170" t="str">
        <f t="shared" si="8"/>
        <v>LA ISOLANA SA</v>
      </c>
      <c r="B170">
        <f t="shared" si="9"/>
        <v>90018056</v>
      </c>
      <c r="C170" s="67">
        <f t="shared" si="10"/>
        <v>12295800</v>
      </c>
      <c r="D170" s="13">
        <v>46334</v>
      </c>
      <c r="E170" s="64">
        <v>46387</v>
      </c>
      <c r="F170" s="40">
        <f t="shared" si="11"/>
        <v>46389</v>
      </c>
      <c r="G170" s="27"/>
      <c r="L170" s="65"/>
    </row>
    <row r="171" spans="1:12" ht="15.75" customHeight="1" x14ac:dyDescent="0.25">
      <c r="A171" t="str">
        <f t="shared" si="8"/>
        <v>LA ISOLANA SA</v>
      </c>
      <c r="B171">
        <f t="shared" si="9"/>
        <v>90018057</v>
      </c>
      <c r="C171" s="67">
        <f t="shared" si="10"/>
        <v>12240330</v>
      </c>
      <c r="D171" s="13">
        <v>46335</v>
      </c>
      <c r="E171" s="64">
        <v>46388</v>
      </c>
      <c r="F171" s="40">
        <f t="shared" si="11"/>
        <v>46390</v>
      </c>
      <c r="G171" s="27"/>
      <c r="L171" s="65"/>
    </row>
    <row r="172" spans="1:12" ht="15.75" customHeight="1" x14ac:dyDescent="0.25">
      <c r="A172" t="str">
        <f t="shared" si="8"/>
        <v>PROYECTOS DEL MAR SRL</v>
      </c>
      <c r="B172">
        <f t="shared" si="9"/>
        <v>9487748</v>
      </c>
      <c r="C172" s="67">
        <f t="shared" si="10"/>
        <v>9263100</v>
      </c>
      <c r="D172" s="13">
        <v>46336</v>
      </c>
      <c r="E172" s="64">
        <v>46389</v>
      </c>
      <c r="F172" s="40">
        <f t="shared" si="11"/>
        <v>46391</v>
      </c>
      <c r="G172" s="27"/>
      <c r="L172" s="65"/>
    </row>
    <row r="173" spans="1:12" ht="15.75" customHeight="1" x14ac:dyDescent="0.25">
      <c r="A173" t="str">
        <f t="shared" si="8"/>
        <v>FERNANDEZ CARLOS LEONARDO</v>
      </c>
      <c r="B173">
        <f t="shared" si="9"/>
        <v>90000116</v>
      </c>
      <c r="C173" s="67">
        <f t="shared" si="10"/>
        <v>6000000</v>
      </c>
      <c r="D173" s="13">
        <v>46337</v>
      </c>
      <c r="E173" s="64">
        <v>46390</v>
      </c>
      <c r="F173" s="40">
        <f t="shared" si="11"/>
        <v>46392</v>
      </c>
      <c r="G173" s="27"/>
      <c r="L173" s="65"/>
    </row>
    <row r="174" spans="1:12" ht="15.75" customHeight="1" x14ac:dyDescent="0.25">
      <c r="A174" t="str">
        <f t="shared" si="8"/>
        <v>FERNANDEZ CARLOS LEONARDO</v>
      </c>
      <c r="B174">
        <f t="shared" si="9"/>
        <v>90000117</v>
      </c>
      <c r="C174" s="67">
        <f t="shared" si="10"/>
        <v>6000000</v>
      </c>
      <c r="D174" s="13">
        <v>46338</v>
      </c>
      <c r="E174" s="64">
        <v>46391</v>
      </c>
      <c r="F174" s="40">
        <f t="shared" si="11"/>
        <v>46393</v>
      </c>
      <c r="G174" s="27"/>
      <c r="L174" s="65"/>
    </row>
    <row r="175" spans="1:12" ht="15.75" customHeight="1" x14ac:dyDescent="0.25">
      <c r="A175" t="str">
        <f t="shared" si="8"/>
        <v>FERNANDEZ CARLOS LEONARDO</v>
      </c>
      <c r="B175">
        <f t="shared" si="9"/>
        <v>90000118</v>
      </c>
      <c r="C175" s="67">
        <f t="shared" si="10"/>
        <v>4658569</v>
      </c>
      <c r="D175" s="13">
        <v>46339</v>
      </c>
      <c r="E175" s="64">
        <v>46392</v>
      </c>
      <c r="F175" s="40">
        <f t="shared" si="11"/>
        <v>46394</v>
      </c>
      <c r="G175" s="27"/>
      <c r="L175" s="65"/>
    </row>
    <row r="176" spans="1:12" ht="15.75" customHeight="1" x14ac:dyDescent="0.25">
      <c r="A176" t="str">
        <f t="shared" si="8"/>
        <v>LUMELL SA</v>
      </c>
      <c r="B176">
        <f t="shared" si="9"/>
        <v>152</v>
      </c>
      <c r="C176" s="67">
        <f t="shared" si="10"/>
        <v>3004000</v>
      </c>
      <c r="D176" s="13">
        <v>46340</v>
      </c>
      <c r="E176" s="64">
        <v>46393</v>
      </c>
      <c r="F176" s="40">
        <f t="shared" si="11"/>
        <v>46395</v>
      </c>
      <c r="G176" s="27"/>
      <c r="L176" s="65"/>
    </row>
    <row r="177" spans="1:12" ht="15.75" customHeight="1" x14ac:dyDescent="0.25">
      <c r="A177" t="str">
        <f t="shared" si="8"/>
        <v>LUMELL SA</v>
      </c>
      <c r="B177">
        <f t="shared" si="9"/>
        <v>153</v>
      </c>
      <c r="C177" s="67">
        <f t="shared" si="10"/>
        <v>3050000</v>
      </c>
      <c r="D177" s="13">
        <v>46341</v>
      </c>
      <c r="E177" s="64">
        <v>46394</v>
      </c>
      <c r="F177" s="40">
        <f t="shared" si="11"/>
        <v>46396</v>
      </c>
      <c r="G177" s="27"/>
      <c r="L177" s="65"/>
    </row>
    <row r="178" spans="1:12" ht="15.75" customHeight="1" x14ac:dyDescent="0.25">
      <c r="A178" t="str">
        <f t="shared" si="8"/>
        <v>LUMELL SA</v>
      </c>
      <c r="B178">
        <f t="shared" si="9"/>
        <v>154</v>
      </c>
      <c r="C178" s="67">
        <f t="shared" si="10"/>
        <v>1200000</v>
      </c>
      <c r="D178" s="13">
        <v>46342</v>
      </c>
      <c r="E178" s="64">
        <v>46395</v>
      </c>
      <c r="F178" s="40">
        <f t="shared" si="11"/>
        <v>46397</v>
      </c>
      <c r="G178" s="27"/>
      <c r="L178" s="65"/>
    </row>
    <row r="179" spans="1:12" ht="15.75" customHeight="1" x14ac:dyDescent="0.25">
      <c r="A179" t="str">
        <f t="shared" si="8"/>
        <v>LACAR FISH SA</v>
      </c>
      <c r="B179">
        <f t="shared" si="9"/>
        <v>78055937</v>
      </c>
      <c r="C179" s="67">
        <f t="shared" si="10"/>
        <v>1480000</v>
      </c>
      <c r="D179" s="13">
        <v>46343</v>
      </c>
      <c r="E179" s="64">
        <v>46396</v>
      </c>
      <c r="F179" s="40">
        <f t="shared" si="11"/>
        <v>46398</v>
      </c>
      <c r="G179" s="27"/>
      <c r="L179" s="65"/>
    </row>
    <row r="180" spans="1:12" ht="15.75" customHeight="1" x14ac:dyDescent="0.25">
      <c r="A180" t="str">
        <f t="shared" si="8"/>
        <v>LACAR FISH SA</v>
      </c>
      <c r="B180">
        <f t="shared" si="9"/>
        <v>78055947</v>
      </c>
      <c r="C180" s="67">
        <f t="shared" si="10"/>
        <v>1440000</v>
      </c>
      <c r="D180" s="13">
        <v>46344</v>
      </c>
      <c r="E180" s="64">
        <v>46397</v>
      </c>
      <c r="F180" s="40">
        <f t="shared" si="11"/>
        <v>46399</v>
      </c>
      <c r="G180" s="27"/>
      <c r="L180" s="65"/>
    </row>
    <row r="181" spans="1:12" ht="15.75" customHeight="1" x14ac:dyDescent="0.25">
      <c r="A181" t="str">
        <f t="shared" si="8"/>
        <v>LUDAPEZ SA</v>
      </c>
      <c r="B181">
        <f t="shared" si="9"/>
        <v>13653569</v>
      </c>
      <c r="C181" s="67">
        <f t="shared" si="10"/>
        <v>2983045</v>
      </c>
      <c r="D181" s="13">
        <v>46345</v>
      </c>
      <c r="E181" s="64">
        <v>46398</v>
      </c>
      <c r="F181" s="40">
        <f t="shared" si="11"/>
        <v>46400</v>
      </c>
      <c r="G181" s="27"/>
      <c r="L181" s="65"/>
    </row>
    <row r="182" spans="1:12" ht="15.75" customHeight="1" x14ac:dyDescent="0.25">
      <c r="A182" t="str">
        <f t="shared" si="8"/>
        <v>MARISQUERIA SANTA RITA SRL</v>
      </c>
      <c r="B182">
        <f t="shared" si="9"/>
        <v>4857</v>
      </c>
      <c r="C182" s="67">
        <f t="shared" si="10"/>
        <v>1300000</v>
      </c>
      <c r="D182" s="13">
        <v>46346</v>
      </c>
      <c r="E182" s="64">
        <v>46399</v>
      </c>
      <c r="F182" s="40">
        <f t="shared" si="11"/>
        <v>46401</v>
      </c>
      <c r="G182" s="27"/>
      <c r="L182" s="65"/>
    </row>
    <row r="183" spans="1:12" ht="15.75" customHeight="1" x14ac:dyDescent="0.25">
      <c r="A183" t="str">
        <f t="shared" si="8"/>
        <v>LACAR FISH SA</v>
      </c>
      <c r="B183">
        <f t="shared" si="9"/>
        <v>7</v>
      </c>
      <c r="C183" s="67">
        <f t="shared" si="10"/>
        <v>1500000</v>
      </c>
      <c r="D183" s="13">
        <v>46347</v>
      </c>
      <c r="E183" s="64">
        <v>46400</v>
      </c>
      <c r="F183" s="40">
        <f t="shared" si="11"/>
        <v>46402</v>
      </c>
      <c r="G183" s="27"/>
      <c r="L183" s="65"/>
    </row>
    <row r="184" spans="1:12" ht="15.75" customHeight="1" x14ac:dyDescent="0.25">
      <c r="A184" t="str">
        <f t="shared" si="8"/>
        <v>LACAR FISH SA</v>
      </c>
      <c r="B184">
        <f t="shared" si="9"/>
        <v>2</v>
      </c>
      <c r="C184" s="67">
        <f t="shared" si="10"/>
        <v>1400000</v>
      </c>
      <c r="D184" s="13">
        <v>46348</v>
      </c>
      <c r="E184" s="64">
        <v>46401</v>
      </c>
      <c r="F184" s="40">
        <f t="shared" si="11"/>
        <v>46403</v>
      </c>
      <c r="G184" s="27"/>
      <c r="L184" s="65"/>
    </row>
    <row r="185" spans="1:12" ht="15.75" customHeight="1" x14ac:dyDescent="0.25">
      <c r="A185" t="str">
        <f t="shared" si="8"/>
        <v>LUCRINO MARE SA</v>
      </c>
      <c r="B185">
        <f t="shared" si="9"/>
        <v>33905282</v>
      </c>
      <c r="C185" s="67">
        <f t="shared" si="10"/>
        <v>1000000</v>
      </c>
      <c r="D185" s="13">
        <v>46349</v>
      </c>
      <c r="E185" s="64">
        <v>46402</v>
      </c>
      <c r="F185" s="40">
        <f t="shared" si="11"/>
        <v>46404</v>
      </c>
      <c r="G185" s="27"/>
      <c r="L185" s="65"/>
    </row>
    <row r="186" spans="1:12" ht="15.75" customHeight="1" x14ac:dyDescent="0.25">
      <c r="A186" t="str">
        <f t="shared" si="8"/>
        <v>LUCRINO MARE SA</v>
      </c>
      <c r="B186">
        <f t="shared" si="9"/>
        <v>85786683</v>
      </c>
      <c r="C186" s="67">
        <f t="shared" si="10"/>
        <v>400000</v>
      </c>
      <c r="D186" s="13">
        <v>46350</v>
      </c>
      <c r="E186" s="64">
        <v>46403</v>
      </c>
      <c r="F186" s="40">
        <f t="shared" si="11"/>
        <v>46405</v>
      </c>
      <c r="G186" s="27"/>
      <c r="L186" s="65"/>
    </row>
    <row r="187" spans="1:12" ht="15.75" customHeight="1" x14ac:dyDescent="0.25">
      <c r="A187" t="str">
        <f t="shared" si="8"/>
        <v>MARDI SA</v>
      </c>
      <c r="B187">
        <f t="shared" si="9"/>
        <v>1677</v>
      </c>
      <c r="C187" s="67">
        <f t="shared" si="10"/>
        <v>18000000</v>
      </c>
      <c r="D187" s="13">
        <v>46351</v>
      </c>
      <c r="E187" s="64">
        <v>46404</v>
      </c>
      <c r="F187" s="40">
        <f t="shared" si="11"/>
        <v>46406</v>
      </c>
      <c r="G187" s="27"/>
      <c r="L187" s="65"/>
    </row>
    <row r="188" spans="1:12" ht="15.75" customHeight="1" x14ac:dyDescent="0.25">
      <c r="A188" t="str">
        <f t="shared" si="8"/>
        <v>PROYECTOS DEL MAR SRL</v>
      </c>
      <c r="B188">
        <f t="shared" si="9"/>
        <v>23476997385</v>
      </c>
      <c r="C188" s="67">
        <f t="shared" si="10"/>
        <v>11744287.5</v>
      </c>
      <c r="D188" s="13">
        <v>46352</v>
      </c>
      <c r="E188" s="64">
        <v>46405</v>
      </c>
      <c r="F188" s="40">
        <f t="shared" si="11"/>
        <v>46407</v>
      </c>
      <c r="G188" s="27"/>
      <c r="L188" s="65"/>
    </row>
    <row r="189" spans="1:12" ht="15.75" customHeight="1" x14ac:dyDescent="0.25">
      <c r="A189" t="str">
        <f t="shared" si="8"/>
        <v>COOPERATIVA DE TRABAJO CAÑAMAR LIMITADA</v>
      </c>
      <c r="B189">
        <f t="shared" si="9"/>
        <v>90001609</v>
      </c>
      <c r="C189" s="67">
        <f t="shared" si="10"/>
        <v>428070</v>
      </c>
      <c r="D189" s="13">
        <v>46353</v>
      </c>
      <c r="E189" s="64">
        <v>46406</v>
      </c>
      <c r="F189" s="40">
        <f t="shared" si="11"/>
        <v>46408</v>
      </c>
      <c r="G189" s="27"/>
      <c r="L189" s="65"/>
    </row>
    <row r="190" spans="1:12" ht="15.75" customHeight="1" x14ac:dyDescent="0.25">
      <c r="A190" t="str">
        <f t="shared" si="8"/>
        <v>LACAR FISH SA</v>
      </c>
      <c r="B190">
        <f t="shared" si="9"/>
        <v>78055938</v>
      </c>
      <c r="C190" s="67">
        <f t="shared" si="10"/>
        <v>1480000</v>
      </c>
      <c r="D190" s="13">
        <v>46354</v>
      </c>
      <c r="E190" s="64">
        <v>46407</v>
      </c>
      <c r="F190" s="40">
        <f t="shared" si="11"/>
        <v>46409</v>
      </c>
      <c r="G190" s="27"/>
      <c r="L190" s="65"/>
    </row>
    <row r="191" spans="1:12" ht="15.75" customHeight="1" x14ac:dyDescent="0.25">
      <c r="A191" t="str">
        <f t="shared" si="8"/>
        <v>LACAR FISH SA</v>
      </c>
      <c r="B191">
        <f t="shared" si="9"/>
        <v>78055948</v>
      </c>
      <c r="C191" s="67">
        <f t="shared" si="10"/>
        <v>1440000</v>
      </c>
      <c r="D191" s="13">
        <v>46355</v>
      </c>
      <c r="E191" s="64">
        <v>46408</v>
      </c>
      <c r="F191" s="40">
        <f t="shared" si="11"/>
        <v>46410</v>
      </c>
      <c r="G191" s="27"/>
      <c r="L191" s="65"/>
    </row>
    <row r="192" spans="1:12" ht="15.75" customHeight="1" x14ac:dyDescent="0.25">
      <c r="A192" t="str">
        <f t="shared" si="8"/>
        <v>LUDAPEZ SA</v>
      </c>
      <c r="B192">
        <f t="shared" si="9"/>
        <v>13653570</v>
      </c>
      <c r="C192" s="67">
        <f t="shared" si="10"/>
        <v>3050000</v>
      </c>
      <c r="D192" s="13">
        <v>46356</v>
      </c>
      <c r="E192" s="64">
        <v>46409</v>
      </c>
      <c r="F192" s="40">
        <f t="shared" si="11"/>
        <v>46411</v>
      </c>
      <c r="G192" s="27"/>
      <c r="L192" s="65"/>
    </row>
    <row r="193" spans="1:12" ht="15.75" customHeight="1" x14ac:dyDescent="0.25">
      <c r="A193" t="str">
        <f t="shared" si="8"/>
        <v>MARISQUERIA SANTA RITA SRL</v>
      </c>
      <c r="B193">
        <f t="shared" si="9"/>
        <v>4858</v>
      </c>
      <c r="C193" s="67">
        <f t="shared" si="10"/>
        <v>1300000</v>
      </c>
      <c r="D193" s="13">
        <v>46357</v>
      </c>
      <c r="E193" s="64">
        <v>46410</v>
      </c>
      <c r="F193" s="40">
        <f t="shared" si="11"/>
        <v>46412</v>
      </c>
      <c r="G193" s="27"/>
      <c r="L193" s="65"/>
    </row>
    <row r="194" spans="1:12" ht="15.75" customHeight="1" x14ac:dyDescent="0.25">
      <c r="A194" t="str">
        <f t="shared" si="8"/>
        <v>LACAR FISH SA</v>
      </c>
      <c r="B194">
        <f t="shared" si="9"/>
        <v>10</v>
      </c>
      <c r="C194" s="67">
        <f t="shared" si="10"/>
        <v>1500000</v>
      </c>
      <c r="D194" s="13">
        <v>46358</v>
      </c>
      <c r="E194" s="64">
        <v>46411</v>
      </c>
      <c r="F194" s="40">
        <f t="shared" si="11"/>
        <v>46413</v>
      </c>
      <c r="G194" s="27"/>
      <c r="L194" s="65"/>
    </row>
    <row r="195" spans="1:12" ht="15.75" customHeight="1" x14ac:dyDescent="0.25">
      <c r="A195" t="str">
        <f t="shared" si="8"/>
        <v>LACAR FISH SA</v>
      </c>
      <c r="B195">
        <f t="shared" si="9"/>
        <v>9</v>
      </c>
      <c r="C195" s="67">
        <f t="shared" si="10"/>
        <v>1400000</v>
      </c>
      <c r="D195" s="13">
        <v>46359</v>
      </c>
      <c r="E195" s="64">
        <v>46412</v>
      </c>
      <c r="F195" s="40">
        <f t="shared" si="11"/>
        <v>46414</v>
      </c>
      <c r="G195" s="27"/>
      <c r="L195" s="65"/>
    </row>
    <row r="196" spans="1:12" ht="15.75" customHeight="1" x14ac:dyDescent="0.25">
      <c r="A196" t="str">
        <f t="shared" si="8"/>
        <v>MARISQUERIA SANTA RITA SRL</v>
      </c>
      <c r="B196">
        <f t="shared" si="9"/>
        <v>4893</v>
      </c>
      <c r="C196" s="67">
        <f t="shared" si="10"/>
        <v>1700000</v>
      </c>
      <c r="D196" s="13">
        <v>46360</v>
      </c>
      <c r="E196" s="64">
        <v>46413</v>
      </c>
      <c r="F196" s="40">
        <f t="shared" si="11"/>
        <v>46415</v>
      </c>
      <c r="G196" s="27"/>
      <c r="L196" s="65"/>
    </row>
    <row r="197" spans="1:12" ht="15.75" customHeight="1" x14ac:dyDescent="0.25">
      <c r="A197" t="str">
        <f t="shared" ref="A197:A260" si="12">+I664</f>
        <v>ALIMENPES SA</v>
      </c>
      <c r="B197">
        <f t="shared" ref="B197:B260" si="13">+E664</f>
        <v>9894200</v>
      </c>
      <c r="C197" s="67">
        <f t="shared" ref="C197:C260" si="14">+H664</f>
        <v>5814016</v>
      </c>
      <c r="D197" s="13">
        <v>46361</v>
      </c>
      <c r="E197" s="64">
        <v>46414</v>
      </c>
      <c r="F197" s="40">
        <f t="shared" ref="F197:F260" si="15">+E197+2</f>
        <v>46416</v>
      </c>
      <c r="G197" s="27"/>
      <c r="L197" s="65"/>
    </row>
    <row r="198" spans="1:12" ht="15.75" customHeight="1" x14ac:dyDescent="0.25">
      <c r="A198" t="str">
        <f t="shared" si="12"/>
        <v>CONGELADOS ARTICO SA</v>
      </c>
      <c r="B198">
        <f t="shared" si="13"/>
        <v>19053</v>
      </c>
      <c r="C198" s="67">
        <f t="shared" si="14"/>
        <v>9494944.0700000003</v>
      </c>
      <c r="D198" s="13">
        <v>46362</v>
      </c>
      <c r="E198" s="64">
        <v>46415</v>
      </c>
      <c r="F198" s="40">
        <f t="shared" si="15"/>
        <v>46417</v>
      </c>
      <c r="G198" s="27"/>
      <c r="L198" s="65"/>
    </row>
    <row r="199" spans="1:12" ht="15.75" customHeight="1" x14ac:dyDescent="0.25">
      <c r="A199" t="str">
        <f t="shared" si="12"/>
        <v>CONGELADOS ARTICO SA</v>
      </c>
      <c r="B199">
        <f t="shared" si="13"/>
        <v>19052</v>
      </c>
      <c r="C199" s="67">
        <f t="shared" si="14"/>
        <v>8000000</v>
      </c>
      <c r="D199" s="13">
        <v>46363</v>
      </c>
      <c r="E199" s="64">
        <v>46416</v>
      </c>
      <c r="F199" s="40">
        <f t="shared" si="15"/>
        <v>46418</v>
      </c>
      <c r="G199" s="27"/>
      <c r="L199" s="65"/>
    </row>
    <row r="200" spans="1:12" ht="15.75" customHeight="1" x14ac:dyDescent="0.25">
      <c r="A200" t="str">
        <f t="shared" si="12"/>
        <v>LACAR FISH SA</v>
      </c>
      <c r="B200">
        <f t="shared" si="13"/>
        <v>78055939</v>
      </c>
      <c r="C200" s="67">
        <f t="shared" si="14"/>
        <v>1460205</v>
      </c>
      <c r="D200" s="13">
        <v>46364</v>
      </c>
      <c r="E200" s="64">
        <v>46417</v>
      </c>
      <c r="F200" s="40">
        <f t="shared" si="15"/>
        <v>46419</v>
      </c>
      <c r="G200" s="27"/>
      <c r="L200" s="65"/>
    </row>
    <row r="201" spans="1:12" ht="15.75" customHeight="1" x14ac:dyDescent="0.25">
      <c r="A201" t="str">
        <f t="shared" si="12"/>
        <v>LACAR FISH SA</v>
      </c>
      <c r="B201">
        <f t="shared" si="13"/>
        <v>78055949</v>
      </c>
      <c r="C201" s="67">
        <f t="shared" si="14"/>
        <v>1420740</v>
      </c>
      <c r="D201" s="13">
        <v>46365</v>
      </c>
      <c r="E201" s="64">
        <v>46418</v>
      </c>
      <c r="F201" s="40">
        <f t="shared" si="15"/>
        <v>46420</v>
      </c>
      <c r="G201" s="27"/>
      <c r="L201" s="65"/>
    </row>
    <row r="202" spans="1:12" ht="15.75" customHeight="1" x14ac:dyDescent="0.25">
      <c r="A202" t="str">
        <f t="shared" si="12"/>
        <v>LUDAPEZ SA</v>
      </c>
      <c r="B202">
        <f t="shared" si="13"/>
        <v>13653571</v>
      </c>
      <c r="C202" s="67">
        <f t="shared" si="14"/>
        <v>3050000</v>
      </c>
      <c r="D202" s="13">
        <v>46366</v>
      </c>
      <c r="E202" s="64">
        <v>46419</v>
      </c>
      <c r="F202" s="40">
        <f t="shared" si="15"/>
        <v>46421</v>
      </c>
      <c r="G202" s="27"/>
      <c r="L202" s="65"/>
    </row>
    <row r="203" spans="1:12" ht="15.75" customHeight="1" x14ac:dyDescent="0.25">
      <c r="A203" t="str">
        <f t="shared" si="12"/>
        <v>LACAR FISH SA</v>
      </c>
      <c r="B203">
        <f t="shared" si="13"/>
        <v>8</v>
      </c>
      <c r="C203" s="67">
        <f t="shared" si="14"/>
        <v>1400000</v>
      </c>
      <c r="D203" s="13">
        <v>46367</v>
      </c>
      <c r="E203" s="64">
        <v>46420</v>
      </c>
      <c r="F203" s="40">
        <f t="shared" si="15"/>
        <v>46422</v>
      </c>
      <c r="G203" s="27"/>
      <c r="L203" s="65"/>
    </row>
    <row r="204" spans="1:12" ht="15.75" customHeight="1" x14ac:dyDescent="0.25">
      <c r="A204" t="str">
        <f t="shared" si="12"/>
        <v>MARISQUERIA SANTA RITA SRL</v>
      </c>
      <c r="B204">
        <f t="shared" si="13"/>
        <v>4954</v>
      </c>
      <c r="C204" s="67">
        <f t="shared" si="14"/>
        <v>843325</v>
      </c>
      <c r="D204" s="13">
        <v>46368</v>
      </c>
      <c r="E204" s="64">
        <v>46421</v>
      </c>
      <c r="F204" s="40">
        <f t="shared" si="15"/>
        <v>46423</v>
      </c>
      <c r="G204" s="27"/>
      <c r="L204" s="65"/>
    </row>
    <row r="205" spans="1:12" ht="15.75" customHeight="1" x14ac:dyDescent="0.25">
      <c r="A205" t="str">
        <f t="shared" si="12"/>
        <v>COOPERATIVA DE TRABAJO CAÑAMAR LIMITADA</v>
      </c>
      <c r="B205">
        <f t="shared" si="13"/>
        <v>9625</v>
      </c>
      <c r="C205" s="67">
        <f t="shared" si="14"/>
        <v>2000000</v>
      </c>
      <c r="D205" s="13">
        <v>46369</v>
      </c>
      <c r="E205" s="64">
        <v>46422</v>
      </c>
      <c r="F205" s="40">
        <f t="shared" si="15"/>
        <v>46424</v>
      </c>
      <c r="G205" s="27"/>
      <c r="L205" s="65"/>
    </row>
    <row r="206" spans="1:12" ht="15.75" customHeight="1" x14ac:dyDescent="0.25">
      <c r="A206" t="str">
        <f t="shared" si="12"/>
        <v>COMERCIAL INAL 2005 SA</v>
      </c>
      <c r="B206">
        <f t="shared" si="13"/>
        <v>7069</v>
      </c>
      <c r="C206" s="67">
        <f t="shared" si="14"/>
        <v>28375270</v>
      </c>
      <c r="D206" s="13">
        <v>46370</v>
      </c>
      <c r="E206" s="64">
        <v>46423</v>
      </c>
      <c r="F206" s="40">
        <f t="shared" si="15"/>
        <v>46425</v>
      </c>
      <c r="G206" s="27"/>
      <c r="L206" s="65"/>
    </row>
    <row r="207" spans="1:12" ht="15.75" customHeight="1" x14ac:dyDescent="0.25">
      <c r="A207" t="str">
        <f t="shared" si="12"/>
        <v>COOPERATIVA DE TRABAJO CAÑAMAR LIMITADA</v>
      </c>
      <c r="B207">
        <f t="shared" si="13"/>
        <v>29273700</v>
      </c>
      <c r="C207" s="67">
        <f t="shared" si="14"/>
        <v>1339800</v>
      </c>
      <c r="D207" s="13">
        <v>46371</v>
      </c>
      <c r="E207" s="64">
        <v>46424</v>
      </c>
      <c r="F207" s="40">
        <f t="shared" si="15"/>
        <v>46426</v>
      </c>
      <c r="G207" s="27"/>
      <c r="L207" s="65"/>
    </row>
    <row r="208" spans="1:12" ht="15.75" customHeight="1" x14ac:dyDescent="0.25">
      <c r="A208" t="str">
        <f t="shared" si="12"/>
        <v>LUDAPEZ SA</v>
      </c>
      <c r="B208">
        <f t="shared" si="13"/>
        <v>13653572</v>
      </c>
      <c r="C208" s="67">
        <f t="shared" si="14"/>
        <v>3050000</v>
      </c>
      <c r="D208" s="13">
        <v>46372</v>
      </c>
      <c r="E208" s="64">
        <v>46425</v>
      </c>
      <c r="F208" s="40">
        <f t="shared" si="15"/>
        <v>46427</v>
      </c>
      <c r="G208" s="27"/>
      <c r="L208" s="65"/>
    </row>
    <row r="209" spans="1:12" ht="15.75" customHeight="1" x14ac:dyDescent="0.25">
      <c r="A209" t="str">
        <f t="shared" si="12"/>
        <v>MARDI SA</v>
      </c>
      <c r="B209">
        <f t="shared" si="13"/>
        <v>1582</v>
      </c>
      <c r="C209" s="67">
        <f t="shared" si="14"/>
        <v>21096432.5</v>
      </c>
      <c r="D209" s="13">
        <v>46373</v>
      </c>
      <c r="E209" s="64">
        <v>46426</v>
      </c>
      <c r="F209" s="40">
        <f t="shared" si="15"/>
        <v>46428</v>
      </c>
      <c r="G209" s="27"/>
      <c r="L209" s="65"/>
    </row>
    <row r="210" spans="1:12" ht="15.75" customHeight="1" x14ac:dyDescent="0.25">
      <c r="A210" t="str">
        <f t="shared" si="12"/>
        <v>LUMELL SA</v>
      </c>
      <c r="B210">
        <f t="shared" si="13"/>
        <v>157</v>
      </c>
      <c r="C210" s="67">
        <f t="shared" si="14"/>
        <v>3000060</v>
      </c>
      <c r="D210" s="13">
        <v>46374</v>
      </c>
      <c r="E210" s="64">
        <v>46427</v>
      </c>
      <c r="F210" s="40">
        <f t="shared" si="15"/>
        <v>46429</v>
      </c>
      <c r="G210" s="27"/>
      <c r="L210" s="65"/>
    </row>
    <row r="211" spans="1:12" ht="15.75" customHeight="1" x14ac:dyDescent="0.25">
      <c r="A211" t="str">
        <f t="shared" si="12"/>
        <v>LUMELL SA</v>
      </c>
      <c r="B211">
        <f t="shared" si="13"/>
        <v>158</v>
      </c>
      <c r="C211" s="67">
        <f t="shared" si="14"/>
        <v>3000900</v>
      </c>
      <c r="D211" s="13">
        <v>46375</v>
      </c>
      <c r="E211" s="64">
        <v>46428</v>
      </c>
      <c r="F211" s="40">
        <f t="shared" si="15"/>
        <v>46430</v>
      </c>
      <c r="G211" s="27"/>
      <c r="L211" s="65"/>
    </row>
    <row r="212" spans="1:12" ht="15.75" customHeight="1" x14ac:dyDescent="0.25">
      <c r="A212" t="str">
        <f t="shared" si="12"/>
        <v>LUMELL SA</v>
      </c>
      <c r="B212">
        <f t="shared" si="13"/>
        <v>159</v>
      </c>
      <c r="C212" s="67">
        <f t="shared" si="14"/>
        <v>2364000</v>
      </c>
      <c r="D212" s="13">
        <v>46376</v>
      </c>
      <c r="E212" s="64">
        <v>46429</v>
      </c>
      <c r="F212" s="40">
        <f t="shared" si="15"/>
        <v>46431</v>
      </c>
      <c r="G212" s="27"/>
      <c r="L212" s="65"/>
    </row>
    <row r="213" spans="1:12" ht="15.75" customHeight="1" x14ac:dyDescent="0.25">
      <c r="A213" t="str">
        <f t="shared" si="12"/>
        <v>MARISQUERIA SANTA RITA SRL</v>
      </c>
      <c r="B213">
        <f t="shared" si="13"/>
        <v>4859</v>
      </c>
      <c r="C213" s="67">
        <f t="shared" si="14"/>
        <v>1300000</v>
      </c>
      <c r="D213" s="13">
        <v>46377</v>
      </c>
      <c r="E213" s="64">
        <v>46430</v>
      </c>
      <c r="F213" s="40">
        <f t="shared" si="15"/>
        <v>46432</v>
      </c>
      <c r="G213" s="27"/>
      <c r="L213" s="65"/>
    </row>
    <row r="214" spans="1:12" ht="15.75" customHeight="1" x14ac:dyDescent="0.25">
      <c r="A214" t="str">
        <f t="shared" si="12"/>
        <v>LACAR FISH SA</v>
      </c>
      <c r="B214">
        <f t="shared" si="13"/>
        <v>6</v>
      </c>
      <c r="C214" s="67">
        <f t="shared" si="14"/>
        <v>1500000</v>
      </c>
      <c r="D214" s="13">
        <v>46378</v>
      </c>
      <c r="E214" s="64">
        <v>46431</v>
      </c>
      <c r="F214" s="40">
        <f t="shared" si="15"/>
        <v>46433</v>
      </c>
      <c r="G214" s="27"/>
      <c r="L214" s="65"/>
    </row>
    <row r="215" spans="1:12" ht="15.75" customHeight="1" x14ac:dyDescent="0.25">
      <c r="A215" t="str">
        <f t="shared" si="12"/>
        <v>LACAR FISH SA</v>
      </c>
      <c r="B215">
        <f t="shared" si="13"/>
        <v>3</v>
      </c>
      <c r="C215" s="67">
        <f t="shared" si="14"/>
        <v>1400000</v>
      </c>
      <c r="D215" s="13">
        <v>46379</v>
      </c>
      <c r="E215" s="64">
        <v>46432</v>
      </c>
      <c r="F215" s="40">
        <f t="shared" si="15"/>
        <v>46434</v>
      </c>
      <c r="G215" s="27"/>
      <c r="L215" s="65"/>
    </row>
    <row r="216" spans="1:12" ht="15.75" customHeight="1" x14ac:dyDescent="0.25">
      <c r="A216" t="str">
        <f t="shared" si="12"/>
        <v>MARISQUERIA SANTA RITA SRL</v>
      </c>
      <c r="B216">
        <f t="shared" si="13"/>
        <v>4894</v>
      </c>
      <c r="C216" s="67">
        <f t="shared" si="14"/>
        <v>1700000</v>
      </c>
      <c r="D216" s="13">
        <v>46380</v>
      </c>
      <c r="E216" s="64">
        <v>46433</v>
      </c>
      <c r="F216" s="40">
        <f t="shared" si="15"/>
        <v>46435</v>
      </c>
      <c r="G216" s="27"/>
      <c r="L216" s="65"/>
    </row>
    <row r="217" spans="1:12" ht="15.75" customHeight="1" x14ac:dyDescent="0.25">
      <c r="A217" t="str">
        <f t="shared" si="12"/>
        <v>ALIMENPES SA</v>
      </c>
      <c r="B217">
        <f t="shared" si="13"/>
        <v>6141</v>
      </c>
      <c r="C217" s="67">
        <f t="shared" si="14"/>
        <v>1000000</v>
      </c>
      <c r="D217" s="13">
        <v>46381</v>
      </c>
      <c r="E217" s="64">
        <v>46434</v>
      </c>
      <c r="F217" s="40">
        <f t="shared" si="15"/>
        <v>46436</v>
      </c>
      <c r="G217" s="27"/>
      <c r="L217" s="65"/>
    </row>
    <row r="218" spans="1:12" ht="15.75" customHeight="1" x14ac:dyDescent="0.25">
      <c r="A218" t="str">
        <f t="shared" si="12"/>
        <v>LUDAPEZ SA</v>
      </c>
      <c r="B218">
        <f t="shared" si="13"/>
        <v>13653573</v>
      </c>
      <c r="C218" s="67">
        <f t="shared" si="14"/>
        <v>3050000</v>
      </c>
      <c r="D218" s="13">
        <v>46382</v>
      </c>
      <c r="E218" s="64">
        <v>46435</v>
      </c>
      <c r="F218" s="40">
        <f t="shared" si="15"/>
        <v>46437</v>
      </c>
      <c r="G218" s="27"/>
      <c r="L218" s="65"/>
    </row>
    <row r="219" spans="1:12" ht="15.75" customHeight="1" x14ac:dyDescent="0.25">
      <c r="A219" t="str">
        <f t="shared" si="12"/>
        <v>LUDAPEZ SA</v>
      </c>
      <c r="B219">
        <f t="shared" si="13"/>
        <v>13653574</v>
      </c>
      <c r="C219" s="67">
        <f t="shared" si="14"/>
        <v>3050000</v>
      </c>
      <c r="D219" s="13">
        <v>46383</v>
      </c>
      <c r="E219" s="64">
        <v>46436</v>
      </c>
      <c r="F219" s="40">
        <f t="shared" si="15"/>
        <v>46438</v>
      </c>
      <c r="G219" s="27"/>
      <c r="L219" s="65"/>
    </row>
    <row r="220" spans="1:12" ht="15.75" customHeight="1" x14ac:dyDescent="0.25">
      <c r="A220" t="str">
        <f t="shared" si="12"/>
        <v>LUDAPEZ SA</v>
      </c>
      <c r="B220">
        <f t="shared" si="13"/>
        <v>13653575</v>
      </c>
      <c r="C220" s="67">
        <f t="shared" si="14"/>
        <v>3050000</v>
      </c>
      <c r="D220" s="13">
        <v>46384</v>
      </c>
      <c r="E220" s="64">
        <v>46437</v>
      </c>
      <c r="F220" s="40">
        <f t="shared" si="15"/>
        <v>46439</v>
      </c>
      <c r="G220" s="27"/>
      <c r="L220" s="65"/>
    </row>
    <row r="221" spans="1:12" ht="15.75" customHeight="1" x14ac:dyDescent="0.25">
      <c r="A221" t="str">
        <f t="shared" si="12"/>
        <v>LUMELL SA</v>
      </c>
      <c r="B221">
        <f t="shared" si="13"/>
        <v>155</v>
      </c>
      <c r="C221" s="67">
        <f t="shared" si="14"/>
        <v>3000380</v>
      </c>
      <c r="D221" s="13">
        <v>46385</v>
      </c>
      <c r="E221" s="64">
        <v>46438</v>
      </c>
      <c r="F221" s="40">
        <f t="shared" si="15"/>
        <v>46440</v>
      </c>
      <c r="G221" s="27"/>
      <c r="L221" s="65"/>
    </row>
    <row r="222" spans="1:12" ht="15.75" customHeight="1" x14ac:dyDescent="0.25">
      <c r="A222" t="str">
        <f t="shared" si="12"/>
        <v>LUMELL SA</v>
      </c>
      <c r="B222">
        <f t="shared" si="13"/>
        <v>156</v>
      </c>
      <c r="C222" s="67">
        <f t="shared" si="14"/>
        <v>3019000</v>
      </c>
      <c r="D222" s="13">
        <v>46386</v>
      </c>
      <c r="E222" s="64">
        <v>46439</v>
      </c>
      <c r="F222" s="40">
        <f t="shared" si="15"/>
        <v>46441</v>
      </c>
      <c r="G222" s="27"/>
      <c r="L222" s="65"/>
    </row>
    <row r="223" spans="1:12" ht="15.75" customHeight="1" x14ac:dyDescent="0.25">
      <c r="A223" t="str">
        <f t="shared" si="12"/>
        <v>FRIGOSUR SRL</v>
      </c>
      <c r="B223">
        <f t="shared" si="13"/>
        <v>9845372</v>
      </c>
      <c r="C223" s="67">
        <f t="shared" si="14"/>
        <v>14268870</v>
      </c>
      <c r="D223" s="13">
        <v>46387</v>
      </c>
      <c r="E223" s="64">
        <v>46440</v>
      </c>
      <c r="F223" s="40">
        <f t="shared" si="15"/>
        <v>46442</v>
      </c>
      <c r="G223" s="27"/>
      <c r="L223" s="65"/>
    </row>
    <row r="224" spans="1:12" ht="15.75" customHeight="1" x14ac:dyDescent="0.25">
      <c r="A224" t="str">
        <f t="shared" si="12"/>
        <v>MARISQUERIA SANTA RITA SRL</v>
      </c>
      <c r="B224">
        <f t="shared" si="13"/>
        <v>4860</v>
      </c>
      <c r="C224" s="67">
        <f t="shared" si="14"/>
        <v>1300000</v>
      </c>
      <c r="D224" s="13">
        <v>46388</v>
      </c>
      <c r="E224" s="64">
        <v>46441</v>
      </c>
      <c r="F224" s="40">
        <f t="shared" si="15"/>
        <v>46443</v>
      </c>
      <c r="G224" s="27"/>
      <c r="L224" s="65"/>
    </row>
    <row r="225" spans="1:12" ht="15.75" customHeight="1" x14ac:dyDescent="0.25">
      <c r="A225" t="str">
        <f t="shared" si="12"/>
        <v>COOPERATIVA  DE TRABAJO DOÑA FRANCISCA LTDA</v>
      </c>
      <c r="B225">
        <f t="shared" si="13"/>
        <v>9985872</v>
      </c>
      <c r="C225" s="67">
        <f t="shared" si="14"/>
        <v>6526515</v>
      </c>
      <c r="D225" s="13">
        <v>46389</v>
      </c>
      <c r="E225" s="64">
        <v>46442</v>
      </c>
      <c r="F225" s="40">
        <f t="shared" si="15"/>
        <v>46444</v>
      </c>
      <c r="G225" s="27"/>
      <c r="L225" s="65"/>
    </row>
    <row r="226" spans="1:12" ht="15.75" customHeight="1" x14ac:dyDescent="0.25">
      <c r="A226" t="str">
        <f t="shared" si="12"/>
        <v>COOPERATIVA  DE TRABAJO DOÑA FRANCISCA LTDA</v>
      </c>
      <c r="B226">
        <f t="shared" si="13"/>
        <v>9985873</v>
      </c>
      <c r="C226" s="67">
        <f t="shared" si="14"/>
        <v>10000000</v>
      </c>
      <c r="D226" s="13">
        <v>46390</v>
      </c>
      <c r="E226" s="64">
        <v>46443</v>
      </c>
      <c r="F226" s="40">
        <f t="shared" si="15"/>
        <v>46445</v>
      </c>
      <c r="G226" s="27"/>
      <c r="L226" s="65"/>
    </row>
    <row r="227" spans="1:12" ht="15.75" customHeight="1" x14ac:dyDescent="0.25">
      <c r="A227" t="str">
        <f t="shared" si="12"/>
        <v>COOPERATIVA  DE TRABAJO DOÑA FRANCISCA LTDA</v>
      </c>
      <c r="B227">
        <f t="shared" si="13"/>
        <v>9985874</v>
      </c>
      <c r="C227" s="67">
        <f t="shared" si="14"/>
        <v>10000000</v>
      </c>
      <c r="D227" s="13">
        <v>46391</v>
      </c>
      <c r="E227" s="64">
        <v>46444</v>
      </c>
      <c r="F227" s="40">
        <f t="shared" si="15"/>
        <v>46446</v>
      </c>
      <c r="G227" s="27"/>
      <c r="L227" s="65"/>
    </row>
    <row r="228" spans="1:12" ht="15.75" customHeight="1" x14ac:dyDescent="0.25">
      <c r="A228" t="str">
        <f t="shared" si="12"/>
        <v>COOPERATIVA  DE TRABAJO DOÑA FRANCISCA LTDA</v>
      </c>
      <c r="B228">
        <f t="shared" si="13"/>
        <v>9985875</v>
      </c>
      <c r="C228" s="67">
        <f t="shared" si="14"/>
        <v>10000000</v>
      </c>
      <c r="D228" s="13">
        <v>46392</v>
      </c>
      <c r="E228" s="64">
        <v>46445</v>
      </c>
      <c r="F228" s="40">
        <f t="shared" si="15"/>
        <v>46447</v>
      </c>
      <c r="G228" s="27"/>
      <c r="L228" s="65"/>
    </row>
    <row r="229" spans="1:12" ht="15.75" customHeight="1" x14ac:dyDescent="0.25">
      <c r="A229" t="str">
        <f t="shared" si="12"/>
        <v>COOPERATIVA  DE TRABAJO DOÑA FRANCISCA LTDA</v>
      </c>
      <c r="B229">
        <f t="shared" si="13"/>
        <v>9985876</v>
      </c>
      <c r="C229" s="67">
        <f t="shared" si="14"/>
        <v>10000000</v>
      </c>
      <c r="D229" s="13">
        <v>46393</v>
      </c>
      <c r="E229" s="64">
        <v>46446</v>
      </c>
      <c r="F229" s="40">
        <f t="shared" si="15"/>
        <v>46448</v>
      </c>
      <c r="G229" s="27"/>
      <c r="L229" s="65"/>
    </row>
    <row r="230" spans="1:12" ht="15.75" customHeight="1" x14ac:dyDescent="0.25">
      <c r="A230" t="str">
        <f t="shared" si="12"/>
        <v>COOPERATIVA  DE TRABAJO DOÑA FRANCISCA LTDA</v>
      </c>
      <c r="B230">
        <f t="shared" si="13"/>
        <v>9985877</v>
      </c>
      <c r="C230" s="67">
        <f t="shared" si="14"/>
        <v>10000000</v>
      </c>
      <c r="D230" s="13">
        <v>46394</v>
      </c>
      <c r="E230" s="64">
        <v>46447</v>
      </c>
      <c r="F230" s="40">
        <f t="shared" si="15"/>
        <v>46449</v>
      </c>
      <c r="G230" s="27"/>
      <c r="L230" s="65"/>
    </row>
    <row r="231" spans="1:12" ht="15.75" customHeight="1" x14ac:dyDescent="0.25">
      <c r="A231" t="str">
        <f t="shared" si="12"/>
        <v>COOPERATIVA  DE TRABAJO DOÑA FRANCISCA LTDA</v>
      </c>
      <c r="B231">
        <f t="shared" si="13"/>
        <v>9985878</v>
      </c>
      <c r="C231" s="67">
        <f t="shared" si="14"/>
        <v>10000000</v>
      </c>
      <c r="D231" s="13">
        <v>46395</v>
      </c>
      <c r="E231" s="64">
        <v>46448</v>
      </c>
      <c r="F231" s="40">
        <f t="shared" si="15"/>
        <v>46450</v>
      </c>
      <c r="G231" s="27"/>
      <c r="L231" s="65"/>
    </row>
    <row r="232" spans="1:12" ht="15.75" customHeight="1" x14ac:dyDescent="0.25">
      <c r="A232" t="str">
        <f t="shared" si="12"/>
        <v>LACAR FISH SA</v>
      </c>
      <c r="B232">
        <f t="shared" si="13"/>
        <v>8</v>
      </c>
      <c r="C232" s="67">
        <f t="shared" si="14"/>
        <v>1500000</v>
      </c>
      <c r="D232" s="13">
        <v>46396</v>
      </c>
      <c r="E232" s="64">
        <v>46449</v>
      </c>
      <c r="F232" s="40">
        <f t="shared" si="15"/>
        <v>46451</v>
      </c>
      <c r="G232" s="27"/>
      <c r="L232" s="65"/>
    </row>
    <row r="233" spans="1:12" ht="15.75" customHeight="1" x14ac:dyDescent="0.25">
      <c r="A233" t="str">
        <f t="shared" si="12"/>
        <v>LACAR FISH SA</v>
      </c>
      <c r="B233">
        <f t="shared" si="13"/>
        <v>1</v>
      </c>
      <c r="C233" s="67">
        <f t="shared" si="14"/>
        <v>1400000</v>
      </c>
      <c r="D233" s="13">
        <v>46397</v>
      </c>
      <c r="E233" s="64">
        <v>46450</v>
      </c>
      <c r="F233" s="40">
        <f t="shared" si="15"/>
        <v>46452</v>
      </c>
      <c r="G233" s="27"/>
      <c r="L233" s="65"/>
    </row>
    <row r="234" spans="1:12" ht="15.75" customHeight="1" x14ac:dyDescent="0.25">
      <c r="A234" t="str">
        <f t="shared" si="12"/>
        <v>LACAR FISH SA</v>
      </c>
      <c r="B234">
        <f t="shared" si="13"/>
        <v>10</v>
      </c>
      <c r="C234" s="67">
        <f t="shared" si="14"/>
        <v>1400000</v>
      </c>
      <c r="D234" s="13">
        <v>46398</v>
      </c>
      <c r="E234" s="64">
        <v>46451</v>
      </c>
      <c r="F234" s="40">
        <f t="shared" si="15"/>
        <v>46453</v>
      </c>
      <c r="G234" s="27"/>
      <c r="L234" s="65"/>
    </row>
    <row r="235" spans="1:12" ht="15.75" customHeight="1" x14ac:dyDescent="0.25">
      <c r="A235" t="str">
        <f t="shared" si="12"/>
        <v>MARISQUERIA SANTA RITA SRL</v>
      </c>
      <c r="B235">
        <f t="shared" si="13"/>
        <v>4895</v>
      </c>
      <c r="C235" s="67">
        <f t="shared" si="14"/>
        <v>1700000</v>
      </c>
      <c r="D235" s="13">
        <v>46399</v>
      </c>
      <c r="E235" s="64">
        <v>46452</v>
      </c>
      <c r="F235" s="40">
        <f t="shared" si="15"/>
        <v>46454</v>
      </c>
      <c r="G235" s="27"/>
      <c r="L235" s="65"/>
    </row>
    <row r="236" spans="1:12" ht="15.75" customHeight="1" x14ac:dyDescent="0.25">
      <c r="A236" t="str">
        <f t="shared" si="12"/>
        <v>MARISQUERIA SANTA RITA SRL</v>
      </c>
      <c r="B236">
        <f t="shared" si="13"/>
        <v>4949</v>
      </c>
      <c r="C236" s="67">
        <f t="shared" si="14"/>
        <v>1300000</v>
      </c>
      <c r="D236" s="13">
        <v>46400</v>
      </c>
      <c r="E236" s="64">
        <v>46453</v>
      </c>
      <c r="F236" s="40">
        <f t="shared" si="15"/>
        <v>46455</v>
      </c>
      <c r="G236" s="27"/>
      <c r="L236" s="65"/>
    </row>
    <row r="237" spans="1:12" ht="15.75" customHeight="1" x14ac:dyDescent="0.25">
      <c r="A237" t="str">
        <f t="shared" si="12"/>
        <v>NATUSUR SA</v>
      </c>
      <c r="B237">
        <f t="shared" si="13"/>
        <v>6826543</v>
      </c>
      <c r="C237" s="67">
        <f t="shared" si="14"/>
        <v>28000000</v>
      </c>
      <c r="D237" s="13">
        <v>46401</v>
      </c>
      <c r="E237" s="64">
        <v>46454</v>
      </c>
      <c r="F237" s="40">
        <f t="shared" si="15"/>
        <v>46456</v>
      </c>
      <c r="G237" s="27"/>
      <c r="L237" s="65"/>
    </row>
    <row r="238" spans="1:12" ht="15.75" customHeight="1" x14ac:dyDescent="0.25">
      <c r="A238" t="str">
        <f t="shared" si="12"/>
        <v>NATUSUR SA</v>
      </c>
      <c r="B238">
        <f t="shared" si="13"/>
        <v>6826544</v>
      </c>
      <c r="C238" s="67">
        <f t="shared" si="14"/>
        <v>32881480.800000001</v>
      </c>
      <c r="D238" s="13">
        <v>46402</v>
      </c>
      <c r="E238" s="64">
        <v>46455</v>
      </c>
      <c r="F238" s="40">
        <f t="shared" si="15"/>
        <v>46457</v>
      </c>
      <c r="G238" s="27"/>
      <c r="L238" s="65"/>
    </row>
    <row r="239" spans="1:12" ht="15.75" customHeight="1" x14ac:dyDescent="0.25">
      <c r="A239" t="str">
        <f t="shared" si="12"/>
        <v>FRIO SUR SRL</v>
      </c>
      <c r="B239">
        <f t="shared" si="13"/>
        <v>29507859</v>
      </c>
      <c r="C239" s="67">
        <f t="shared" si="14"/>
        <v>14620320</v>
      </c>
      <c r="D239" s="13">
        <v>46403</v>
      </c>
      <c r="E239" s="64">
        <v>46456</v>
      </c>
      <c r="F239" s="40">
        <f t="shared" si="15"/>
        <v>46458</v>
      </c>
      <c r="G239" s="27"/>
      <c r="L239" s="65"/>
    </row>
    <row r="240" spans="1:12" ht="15.75" customHeight="1" x14ac:dyDescent="0.25">
      <c r="A240" t="str">
        <f t="shared" si="12"/>
        <v>SAORI SA</v>
      </c>
      <c r="B240">
        <f t="shared" si="13"/>
        <v>67807232</v>
      </c>
      <c r="C240" s="67">
        <f t="shared" si="14"/>
        <v>8200000</v>
      </c>
      <c r="D240" s="13">
        <v>46404</v>
      </c>
      <c r="E240" s="64">
        <v>46457</v>
      </c>
      <c r="F240" s="40">
        <f t="shared" si="15"/>
        <v>46459</v>
      </c>
      <c r="G240" s="27"/>
      <c r="L240" s="65"/>
    </row>
    <row r="241" spans="1:12" ht="15.75" customHeight="1" x14ac:dyDescent="0.25">
      <c r="A241" t="str">
        <f t="shared" si="12"/>
        <v>SAORI SA</v>
      </c>
      <c r="B241">
        <f t="shared" si="13"/>
        <v>67807298</v>
      </c>
      <c r="C241" s="67">
        <f t="shared" si="14"/>
        <v>8200000</v>
      </c>
      <c r="D241" s="13">
        <v>46405</v>
      </c>
      <c r="E241" s="64">
        <v>46458</v>
      </c>
      <c r="F241" s="40">
        <f t="shared" si="15"/>
        <v>46460</v>
      </c>
      <c r="G241" s="27"/>
      <c r="L241" s="65"/>
    </row>
    <row r="242" spans="1:12" ht="15.75" customHeight="1" x14ac:dyDescent="0.25">
      <c r="A242" t="str">
        <f t="shared" si="12"/>
        <v>SAORI SA</v>
      </c>
      <c r="B242">
        <f t="shared" si="13"/>
        <v>67807403</v>
      </c>
      <c r="C242" s="67">
        <f t="shared" si="14"/>
        <v>8152000</v>
      </c>
      <c r="D242" s="13">
        <v>46406</v>
      </c>
      <c r="E242" s="64">
        <v>46459</v>
      </c>
      <c r="F242" s="40">
        <f t="shared" si="15"/>
        <v>46461</v>
      </c>
      <c r="G242" s="27"/>
      <c r="L242" s="65"/>
    </row>
    <row r="243" spans="1:12" ht="15.75" customHeight="1" x14ac:dyDescent="0.25">
      <c r="A243" t="str">
        <f t="shared" si="12"/>
        <v>COOPERATIVA DE TRABAJO CAÑAMAR LIMITADA</v>
      </c>
      <c r="B243">
        <f t="shared" si="13"/>
        <v>73031556</v>
      </c>
      <c r="C243" s="67">
        <f t="shared" si="14"/>
        <v>1411594.11</v>
      </c>
      <c r="D243" s="13">
        <v>46407</v>
      </c>
      <c r="E243" s="64">
        <v>46460</v>
      </c>
      <c r="F243" s="40">
        <f t="shared" si="15"/>
        <v>46462</v>
      </c>
      <c r="G243" s="27"/>
      <c r="L243" s="65"/>
    </row>
    <row r="244" spans="1:12" ht="15.75" customHeight="1" x14ac:dyDescent="0.25">
      <c r="A244" t="str">
        <f t="shared" si="12"/>
        <v>LUDAPEZ SA</v>
      </c>
      <c r="B244">
        <f t="shared" si="13"/>
        <v>13653576</v>
      </c>
      <c r="C244" s="67">
        <f t="shared" si="14"/>
        <v>3050000</v>
      </c>
      <c r="D244" s="13">
        <v>46408</v>
      </c>
      <c r="E244" s="64">
        <v>46461</v>
      </c>
      <c r="F244" s="40">
        <f t="shared" si="15"/>
        <v>46463</v>
      </c>
      <c r="G244" s="27"/>
      <c r="L244" s="65"/>
    </row>
    <row r="245" spans="1:12" ht="15.75" customHeight="1" x14ac:dyDescent="0.25">
      <c r="A245" t="str">
        <f t="shared" si="12"/>
        <v>MARISQUERIA SANTA RITA SRL</v>
      </c>
      <c r="B245">
        <f t="shared" si="13"/>
        <v>4861</v>
      </c>
      <c r="C245" s="67">
        <f t="shared" si="14"/>
        <v>1300000</v>
      </c>
      <c r="D245" s="13">
        <v>46409</v>
      </c>
      <c r="E245" s="64">
        <v>46462</v>
      </c>
      <c r="F245" s="40">
        <f t="shared" si="15"/>
        <v>46464</v>
      </c>
      <c r="G245" s="27"/>
      <c r="L245" s="65"/>
    </row>
    <row r="246" spans="1:12" ht="15.75" customHeight="1" x14ac:dyDescent="0.25">
      <c r="A246" t="str">
        <f t="shared" si="12"/>
        <v>LACAR FISH SA</v>
      </c>
      <c r="B246">
        <f t="shared" si="13"/>
        <v>9</v>
      </c>
      <c r="C246" s="67">
        <f t="shared" si="14"/>
        <v>1500000</v>
      </c>
      <c r="D246" s="13">
        <v>46410</v>
      </c>
      <c r="E246" s="64">
        <v>46463</v>
      </c>
      <c r="F246" s="40">
        <f t="shared" si="15"/>
        <v>46465</v>
      </c>
      <c r="G246" s="27"/>
      <c r="L246" s="65"/>
    </row>
    <row r="247" spans="1:12" ht="15.75" customHeight="1" x14ac:dyDescent="0.25">
      <c r="A247" t="str">
        <f t="shared" si="12"/>
        <v>LACAR FISH SA</v>
      </c>
      <c r="B247">
        <f t="shared" si="13"/>
        <v>6</v>
      </c>
      <c r="C247" s="67">
        <f t="shared" si="14"/>
        <v>1400000</v>
      </c>
      <c r="D247" s="13">
        <v>46411</v>
      </c>
      <c r="E247" s="64">
        <v>46464</v>
      </c>
      <c r="F247" s="40">
        <f t="shared" si="15"/>
        <v>46466</v>
      </c>
      <c r="G247" s="27"/>
      <c r="L247" s="65"/>
    </row>
    <row r="248" spans="1:12" ht="15.75" customHeight="1" x14ac:dyDescent="0.25">
      <c r="A248" t="str">
        <f t="shared" si="12"/>
        <v>LACAR FISH SA</v>
      </c>
      <c r="B248">
        <f t="shared" si="13"/>
        <v>78056232</v>
      </c>
      <c r="C248" s="67">
        <f t="shared" si="14"/>
        <v>1420000</v>
      </c>
      <c r="D248" s="13">
        <v>46412</v>
      </c>
      <c r="E248" s="64">
        <v>46465</v>
      </c>
      <c r="F248" s="40">
        <f t="shared" si="15"/>
        <v>46467</v>
      </c>
      <c r="G248" s="27"/>
      <c r="L248" s="65"/>
    </row>
    <row r="249" spans="1:12" ht="15.75" customHeight="1" x14ac:dyDescent="0.25">
      <c r="A249" t="str">
        <f t="shared" si="12"/>
        <v>MARISQUERIA SANTA RITA SRL</v>
      </c>
      <c r="B249">
        <f t="shared" si="13"/>
        <v>4896</v>
      </c>
      <c r="C249" s="67">
        <f t="shared" si="14"/>
        <v>1700000</v>
      </c>
      <c r="D249" s="13">
        <v>46413</v>
      </c>
      <c r="E249" s="64">
        <v>46466</v>
      </c>
      <c r="F249" s="40">
        <f t="shared" si="15"/>
        <v>46468</v>
      </c>
      <c r="G249" s="27"/>
      <c r="L249" s="65"/>
    </row>
    <row r="250" spans="1:12" ht="15.75" customHeight="1" x14ac:dyDescent="0.25">
      <c r="A250" t="str">
        <f t="shared" si="12"/>
        <v>MARISQUERIA SANTA RITA SRL</v>
      </c>
      <c r="B250">
        <f t="shared" si="13"/>
        <v>4950</v>
      </c>
      <c r="C250" s="67">
        <f t="shared" si="14"/>
        <v>1300000</v>
      </c>
      <c r="D250" s="13">
        <v>46414</v>
      </c>
      <c r="E250" s="64">
        <v>46467</v>
      </c>
      <c r="F250" s="40">
        <f t="shared" si="15"/>
        <v>46469</v>
      </c>
      <c r="G250" s="27"/>
      <c r="L250" s="65"/>
    </row>
    <row r="251" spans="1:12" ht="15.75" customHeight="1" x14ac:dyDescent="0.25">
      <c r="A251" t="str">
        <f t="shared" si="12"/>
        <v>LUDAPEZ SA</v>
      </c>
      <c r="B251">
        <f t="shared" si="13"/>
        <v>13653577</v>
      </c>
      <c r="C251" s="67">
        <f t="shared" si="14"/>
        <v>3050000</v>
      </c>
      <c r="D251" s="13">
        <v>46415</v>
      </c>
      <c r="E251" s="64">
        <v>46468</v>
      </c>
      <c r="F251" s="40">
        <f t="shared" si="15"/>
        <v>46470</v>
      </c>
      <c r="G251" s="27"/>
      <c r="L251" s="65"/>
    </row>
    <row r="252" spans="1:12" ht="15.75" customHeight="1" x14ac:dyDescent="0.25">
      <c r="A252" t="str">
        <f t="shared" si="12"/>
        <v>FRIO SUR SRL</v>
      </c>
      <c r="B252">
        <f t="shared" si="13"/>
        <v>29339958</v>
      </c>
      <c r="C252" s="67">
        <f t="shared" si="14"/>
        <v>9609600</v>
      </c>
      <c r="D252" s="13">
        <v>46416</v>
      </c>
      <c r="E252" s="64">
        <v>46469</v>
      </c>
      <c r="F252" s="40">
        <f t="shared" si="15"/>
        <v>46471</v>
      </c>
      <c r="G252" s="27"/>
      <c r="L252" s="65"/>
    </row>
    <row r="253" spans="1:12" ht="15.75" customHeight="1" x14ac:dyDescent="0.25">
      <c r="A253" t="str">
        <f t="shared" si="12"/>
        <v>MARISQUERIA SANTA RITA SRL</v>
      </c>
      <c r="B253">
        <f t="shared" si="13"/>
        <v>4862</v>
      </c>
      <c r="C253" s="67">
        <f t="shared" si="14"/>
        <v>949750</v>
      </c>
      <c r="D253" s="13">
        <v>46417</v>
      </c>
      <c r="E253" s="64">
        <v>46470</v>
      </c>
      <c r="F253" s="40">
        <f t="shared" si="15"/>
        <v>46472</v>
      </c>
      <c r="G253" s="27"/>
      <c r="L253" s="65"/>
    </row>
    <row r="254" spans="1:12" ht="15.75" customHeight="1" x14ac:dyDescent="0.25">
      <c r="A254" t="str">
        <f t="shared" si="12"/>
        <v>MARISQUERIA SANTA RITA SRL</v>
      </c>
      <c r="B254">
        <f t="shared" si="13"/>
        <v>4897</v>
      </c>
      <c r="C254" s="67">
        <f t="shared" si="14"/>
        <v>1700000</v>
      </c>
      <c r="D254" s="13">
        <v>46418</v>
      </c>
      <c r="E254" s="64">
        <v>46471</v>
      </c>
      <c r="F254" s="40">
        <f t="shared" si="15"/>
        <v>46473</v>
      </c>
      <c r="G254" s="27"/>
      <c r="L254" s="65"/>
    </row>
    <row r="255" spans="1:12" ht="15.75" customHeight="1" x14ac:dyDescent="0.25">
      <c r="A255" t="str">
        <f t="shared" si="12"/>
        <v>MARISQUERIA SANTA RITA SRL</v>
      </c>
      <c r="B255">
        <f t="shared" si="13"/>
        <v>4995</v>
      </c>
      <c r="C255" s="67">
        <f t="shared" si="14"/>
        <v>860000</v>
      </c>
      <c r="D255" s="13">
        <v>46419</v>
      </c>
      <c r="E255" s="64">
        <v>46472</v>
      </c>
      <c r="F255" s="40">
        <f t="shared" si="15"/>
        <v>46474</v>
      </c>
      <c r="G255" s="27"/>
      <c r="L255" s="65"/>
    </row>
    <row r="256" spans="1:12" ht="15.75" customHeight="1" x14ac:dyDescent="0.25">
      <c r="A256" t="str">
        <f t="shared" si="12"/>
        <v>MARISQUERIA SANTA RITA SRL</v>
      </c>
      <c r="B256">
        <f t="shared" si="13"/>
        <v>4951</v>
      </c>
      <c r="C256" s="67">
        <f t="shared" si="14"/>
        <v>1300000</v>
      </c>
      <c r="D256" s="13">
        <v>46420</v>
      </c>
      <c r="E256" s="64">
        <v>46473</v>
      </c>
      <c r="F256" s="40">
        <f t="shared" si="15"/>
        <v>46475</v>
      </c>
      <c r="G256" s="27"/>
      <c r="L256" s="65"/>
    </row>
    <row r="257" spans="1:12" ht="15.75" customHeight="1" x14ac:dyDescent="0.25">
      <c r="A257" t="str">
        <f t="shared" si="12"/>
        <v>LACAR FISH SA</v>
      </c>
      <c r="B257">
        <f t="shared" si="13"/>
        <v>3</v>
      </c>
      <c r="C257" s="67">
        <f t="shared" si="14"/>
        <v>1500000</v>
      </c>
      <c r="D257" s="13">
        <v>46421</v>
      </c>
      <c r="E257" s="64">
        <v>46474</v>
      </c>
      <c r="F257" s="40">
        <f t="shared" si="15"/>
        <v>46476</v>
      </c>
      <c r="G257" s="27"/>
      <c r="L257" s="65"/>
    </row>
    <row r="258" spans="1:12" ht="15.75" customHeight="1" x14ac:dyDescent="0.25">
      <c r="A258" t="str">
        <f t="shared" si="12"/>
        <v>LACAR FISH SA</v>
      </c>
      <c r="B258">
        <f t="shared" si="13"/>
        <v>78056233</v>
      </c>
      <c r="C258" s="67">
        <f t="shared" si="14"/>
        <v>1420000</v>
      </c>
      <c r="D258" s="13">
        <v>46422</v>
      </c>
      <c r="E258" s="64">
        <v>46475</v>
      </c>
      <c r="F258" s="40">
        <f t="shared" si="15"/>
        <v>46477</v>
      </c>
      <c r="G258" s="27"/>
      <c r="L258" s="65"/>
    </row>
    <row r="259" spans="1:12" ht="15.75" customHeight="1" x14ac:dyDescent="0.25">
      <c r="A259" t="str">
        <f t="shared" si="12"/>
        <v>LACAR FISH SA</v>
      </c>
      <c r="B259">
        <f t="shared" si="13"/>
        <v>78056242</v>
      </c>
      <c r="C259" s="67">
        <f t="shared" si="14"/>
        <v>932000</v>
      </c>
      <c r="D259" s="13">
        <v>46423</v>
      </c>
      <c r="E259" s="64">
        <v>46476</v>
      </c>
      <c r="F259" s="40">
        <f t="shared" si="15"/>
        <v>46478</v>
      </c>
      <c r="G259" s="27"/>
      <c r="L259" s="65"/>
    </row>
    <row r="260" spans="1:12" ht="15.75" customHeight="1" x14ac:dyDescent="0.25">
      <c r="A260" t="str">
        <f t="shared" si="12"/>
        <v>LUCRINO MARE SA</v>
      </c>
      <c r="B260">
        <f t="shared" si="13"/>
        <v>63573435</v>
      </c>
      <c r="C260" s="67">
        <f t="shared" si="14"/>
        <v>1700000</v>
      </c>
      <c r="D260" s="13">
        <v>46424</v>
      </c>
      <c r="E260" s="64">
        <v>46477</v>
      </c>
      <c r="F260" s="40">
        <f t="shared" si="15"/>
        <v>46479</v>
      </c>
      <c r="G260" s="27"/>
      <c r="L260" s="65"/>
    </row>
    <row r="261" spans="1:12" ht="15.75" customHeight="1" x14ac:dyDescent="0.25">
      <c r="A261" t="str">
        <f t="shared" ref="A261:A324" si="16">+I728</f>
        <v>LUCRINO MARE SA</v>
      </c>
      <c r="B261">
        <f t="shared" ref="B261:B324" si="17">+E728</f>
        <v>12924573</v>
      </c>
      <c r="C261" s="67">
        <f t="shared" ref="C261:C324" si="18">+H728</f>
        <v>5000000</v>
      </c>
      <c r="D261" s="13">
        <v>46425</v>
      </c>
      <c r="E261" s="64">
        <v>46478</v>
      </c>
      <c r="F261" s="40">
        <f t="shared" ref="F261:F324" si="19">+E261+2</f>
        <v>46480</v>
      </c>
      <c r="G261" s="27"/>
      <c r="L261" s="65"/>
    </row>
    <row r="262" spans="1:12" ht="15.75" customHeight="1" x14ac:dyDescent="0.25">
      <c r="A262" t="str">
        <f t="shared" si="16"/>
        <v>ALIMENPES SA</v>
      </c>
      <c r="B262">
        <f t="shared" si="17"/>
        <v>820</v>
      </c>
      <c r="C262" s="67">
        <f t="shared" si="18"/>
        <v>769560</v>
      </c>
      <c r="D262" s="13">
        <v>46426</v>
      </c>
      <c r="E262" s="64">
        <v>46479</v>
      </c>
      <c r="F262" s="40">
        <f t="shared" si="19"/>
        <v>46481</v>
      </c>
      <c r="G262" s="27"/>
      <c r="L262" s="65"/>
    </row>
    <row r="263" spans="1:12" ht="15.75" customHeight="1" x14ac:dyDescent="0.25">
      <c r="A263" t="str">
        <f t="shared" si="16"/>
        <v>COOPERATIVA DE TRABAJO CAÑAMAR LIMITADA</v>
      </c>
      <c r="B263">
        <f t="shared" si="17"/>
        <v>9621</v>
      </c>
      <c r="C263" s="67">
        <f t="shared" si="18"/>
        <v>2000000</v>
      </c>
      <c r="D263" s="13">
        <v>46427</v>
      </c>
      <c r="E263" s="64">
        <v>46480</v>
      </c>
      <c r="F263" s="40">
        <f t="shared" si="19"/>
        <v>46482</v>
      </c>
      <c r="G263" s="27"/>
      <c r="L263" s="65"/>
    </row>
    <row r="264" spans="1:12" ht="15.75" customHeight="1" x14ac:dyDescent="0.25">
      <c r="A264" t="str">
        <f t="shared" si="16"/>
        <v>COMERCIAL INAL 2005 SA</v>
      </c>
      <c r="B264">
        <f t="shared" si="17"/>
        <v>7067</v>
      </c>
      <c r="C264" s="67">
        <f t="shared" si="18"/>
        <v>23839200</v>
      </c>
      <c r="D264" s="13">
        <v>46428</v>
      </c>
      <c r="E264" s="64">
        <v>46481</v>
      </c>
      <c r="F264" s="40">
        <f t="shared" si="19"/>
        <v>46483</v>
      </c>
      <c r="G264" s="27"/>
      <c r="L264" s="65"/>
    </row>
    <row r="265" spans="1:12" ht="15.75" customHeight="1" x14ac:dyDescent="0.25">
      <c r="A265" t="str">
        <f t="shared" si="16"/>
        <v>LACAR FISH SA</v>
      </c>
      <c r="B265">
        <f t="shared" si="17"/>
        <v>4</v>
      </c>
      <c r="C265" s="67">
        <f t="shared" si="18"/>
        <v>1500000</v>
      </c>
      <c r="D265" s="13">
        <v>46429</v>
      </c>
      <c r="E265" s="64">
        <v>46482</v>
      </c>
      <c r="F265" s="40">
        <f t="shared" si="19"/>
        <v>46484</v>
      </c>
      <c r="G265" s="27"/>
      <c r="L265" s="65"/>
    </row>
    <row r="266" spans="1:12" ht="15.75" customHeight="1" x14ac:dyDescent="0.25">
      <c r="A266" t="str">
        <f t="shared" si="16"/>
        <v>LACAR FISH SA</v>
      </c>
      <c r="B266">
        <f t="shared" si="17"/>
        <v>7</v>
      </c>
      <c r="C266" s="67">
        <f t="shared" si="18"/>
        <v>1400000</v>
      </c>
      <c r="D266" s="13">
        <v>46430</v>
      </c>
      <c r="E266" s="64">
        <v>46483</v>
      </c>
      <c r="F266" s="40">
        <f t="shared" si="19"/>
        <v>46485</v>
      </c>
      <c r="G266" s="27"/>
      <c r="L266" s="65"/>
    </row>
    <row r="267" spans="1:12" ht="15.75" customHeight="1" x14ac:dyDescent="0.25">
      <c r="A267" t="str">
        <f t="shared" si="16"/>
        <v>LACAR FISH SA</v>
      </c>
      <c r="B267">
        <f t="shared" si="17"/>
        <v>78056234</v>
      </c>
      <c r="C267" s="67">
        <f t="shared" si="18"/>
        <v>1420000</v>
      </c>
      <c r="D267" s="13">
        <v>46431</v>
      </c>
      <c r="E267" s="64">
        <v>46484</v>
      </c>
      <c r="F267" s="40">
        <f t="shared" si="19"/>
        <v>46486</v>
      </c>
      <c r="G267" s="27"/>
      <c r="L267" s="65"/>
    </row>
    <row r="268" spans="1:12" ht="15.75" customHeight="1" x14ac:dyDescent="0.25">
      <c r="A268" t="str">
        <f t="shared" si="16"/>
        <v>LACAR FISH SA</v>
      </c>
      <c r="B268">
        <f t="shared" si="17"/>
        <v>78056243</v>
      </c>
      <c r="C268" s="67">
        <f t="shared" si="18"/>
        <v>932000</v>
      </c>
      <c r="D268" s="13">
        <v>46432</v>
      </c>
      <c r="E268" s="64">
        <v>46485</v>
      </c>
      <c r="F268" s="40">
        <f t="shared" si="19"/>
        <v>46487</v>
      </c>
      <c r="G268" s="27"/>
      <c r="L268" s="65"/>
    </row>
    <row r="269" spans="1:12" ht="15.75" customHeight="1" x14ac:dyDescent="0.25">
      <c r="A269" t="str">
        <f t="shared" si="16"/>
        <v>LUCRINO MARE SA</v>
      </c>
      <c r="B269">
        <f t="shared" si="17"/>
        <v>12924574</v>
      </c>
      <c r="C269" s="67">
        <f t="shared" si="18"/>
        <v>5000000</v>
      </c>
      <c r="D269" s="13">
        <v>46433</v>
      </c>
      <c r="E269" s="64">
        <v>46486</v>
      </c>
      <c r="F269" s="40">
        <f t="shared" si="19"/>
        <v>46488</v>
      </c>
      <c r="G269" s="27"/>
      <c r="L269" s="65"/>
    </row>
    <row r="270" spans="1:12" ht="15.75" customHeight="1" x14ac:dyDescent="0.25">
      <c r="A270" t="str">
        <f t="shared" si="16"/>
        <v>MARISQUERIA SANTA RITA SRL</v>
      </c>
      <c r="B270">
        <f t="shared" si="17"/>
        <v>4898</v>
      </c>
      <c r="C270" s="67">
        <f t="shared" si="18"/>
        <v>1433000</v>
      </c>
      <c r="D270" s="13">
        <v>46434</v>
      </c>
      <c r="E270" s="64">
        <v>46487</v>
      </c>
      <c r="F270" s="40">
        <f t="shared" si="19"/>
        <v>46489</v>
      </c>
      <c r="G270" s="27"/>
      <c r="L270" s="65"/>
    </row>
    <row r="271" spans="1:12" ht="15.75" customHeight="1" x14ac:dyDescent="0.25">
      <c r="A271" t="str">
        <f t="shared" si="16"/>
        <v>ALIMENPES SA</v>
      </c>
      <c r="B271">
        <f t="shared" si="17"/>
        <v>363</v>
      </c>
      <c r="C271" s="67">
        <f t="shared" si="18"/>
        <v>6000000</v>
      </c>
      <c r="D271" s="13">
        <v>46435</v>
      </c>
      <c r="E271" s="64">
        <v>46488</v>
      </c>
      <c r="F271" s="40">
        <f t="shared" si="19"/>
        <v>46490</v>
      </c>
      <c r="G271" s="27"/>
      <c r="L271" s="65"/>
    </row>
    <row r="272" spans="1:12" ht="15.75" customHeight="1" x14ac:dyDescent="0.25">
      <c r="A272" t="str">
        <f t="shared" si="16"/>
        <v>ALIMENPES SA</v>
      </c>
      <c r="B272">
        <f t="shared" si="17"/>
        <v>364</v>
      </c>
      <c r="C272" s="67">
        <f t="shared" si="18"/>
        <v>7872560</v>
      </c>
      <c r="D272" s="13">
        <v>46436</v>
      </c>
      <c r="E272" s="64">
        <v>46489</v>
      </c>
      <c r="F272" s="40">
        <f t="shared" si="19"/>
        <v>46491</v>
      </c>
      <c r="G272" s="27"/>
      <c r="L272" s="65"/>
    </row>
    <row r="273" spans="1:12" ht="15.75" customHeight="1" x14ac:dyDescent="0.25">
      <c r="A273" t="str">
        <f t="shared" si="16"/>
        <v>MARDI SA</v>
      </c>
      <c r="B273">
        <f t="shared" si="17"/>
        <v>1678</v>
      </c>
      <c r="C273" s="67">
        <f t="shared" si="18"/>
        <v>16500000</v>
      </c>
      <c r="D273" s="13">
        <v>46437</v>
      </c>
      <c r="E273" s="64">
        <v>46490</v>
      </c>
      <c r="F273" s="40">
        <f t="shared" si="19"/>
        <v>46492</v>
      </c>
      <c r="G273" s="27"/>
      <c r="L273" s="65"/>
    </row>
    <row r="274" spans="1:12" ht="15.75" customHeight="1" x14ac:dyDescent="0.25">
      <c r="A274" t="str">
        <f t="shared" si="16"/>
        <v>MARDI SA</v>
      </c>
      <c r="B274">
        <f t="shared" si="17"/>
        <v>1679</v>
      </c>
      <c r="C274" s="67">
        <f t="shared" si="18"/>
        <v>17304197.5</v>
      </c>
      <c r="D274" s="13">
        <v>46438</v>
      </c>
      <c r="E274" s="64">
        <v>46491</v>
      </c>
      <c r="F274" s="40">
        <f t="shared" si="19"/>
        <v>46493</v>
      </c>
      <c r="G274" s="27"/>
      <c r="L274" s="65"/>
    </row>
    <row r="275" spans="1:12" ht="15.75" customHeight="1" x14ac:dyDescent="0.25">
      <c r="A275" t="str">
        <f t="shared" si="16"/>
        <v>MARISQUERIA SANTA RITA SRL</v>
      </c>
      <c r="B275">
        <f t="shared" si="17"/>
        <v>4996</v>
      </c>
      <c r="C275" s="67">
        <f t="shared" si="18"/>
        <v>860000</v>
      </c>
      <c r="D275" s="13">
        <v>46439</v>
      </c>
      <c r="E275" s="64">
        <v>46492</v>
      </c>
      <c r="F275" s="40">
        <f t="shared" si="19"/>
        <v>46494</v>
      </c>
      <c r="G275" s="27"/>
      <c r="L275" s="65"/>
    </row>
    <row r="276" spans="1:12" ht="15.75" customHeight="1" x14ac:dyDescent="0.25">
      <c r="A276" t="str">
        <f t="shared" si="16"/>
        <v>MARISQUERIA SANTA RITA SRL</v>
      </c>
      <c r="B276">
        <f t="shared" si="17"/>
        <v>4952</v>
      </c>
      <c r="C276" s="67">
        <f t="shared" si="18"/>
        <v>1300000</v>
      </c>
      <c r="D276" s="13">
        <v>46440</v>
      </c>
      <c r="E276" s="64">
        <v>46493</v>
      </c>
      <c r="F276" s="40">
        <f t="shared" si="19"/>
        <v>46495</v>
      </c>
      <c r="G276" s="27"/>
      <c r="L276" s="65"/>
    </row>
    <row r="277" spans="1:12" ht="15.75" customHeight="1" x14ac:dyDescent="0.25">
      <c r="A277" t="str">
        <f t="shared" si="16"/>
        <v>SAORI SA</v>
      </c>
      <c r="B277">
        <f t="shared" si="17"/>
        <v>67322072</v>
      </c>
      <c r="C277" s="67">
        <f t="shared" si="18"/>
        <v>5690000</v>
      </c>
      <c r="D277" s="13">
        <v>46441</v>
      </c>
      <c r="E277" s="64">
        <v>46494</v>
      </c>
      <c r="F277" s="40">
        <f t="shared" si="19"/>
        <v>46496</v>
      </c>
      <c r="G277" s="27"/>
      <c r="L277" s="65"/>
    </row>
    <row r="278" spans="1:12" ht="15.75" customHeight="1" x14ac:dyDescent="0.25">
      <c r="A278" t="str">
        <f t="shared" si="16"/>
        <v>LUMELL SA</v>
      </c>
      <c r="B278">
        <f t="shared" si="17"/>
        <v>160</v>
      </c>
      <c r="C278" s="67">
        <f t="shared" si="18"/>
        <v>3000720</v>
      </c>
      <c r="D278" s="13">
        <v>46442</v>
      </c>
      <c r="E278" s="64">
        <v>46495</v>
      </c>
      <c r="F278" s="40">
        <f t="shared" si="19"/>
        <v>46497</v>
      </c>
      <c r="G278" s="27"/>
      <c r="L278" s="65"/>
    </row>
    <row r="279" spans="1:12" ht="15.75" customHeight="1" x14ac:dyDescent="0.25">
      <c r="A279" t="str">
        <f t="shared" si="16"/>
        <v>LUMELL SA</v>
      </c>
      <c r="B279">
        <f t="shared" si="17"/>
        <v>161</v>
      </c>
      <c r="C279" s="67">
        <f t="shared" si="18"/>
        <v>2086000</v>
      </c>
      <c r="D279" s="13">
        <v>46443</v>
      </c>
      <c r="E279" s="64">
        <v>46496</v>
      </c>
      <c r="F279" s="40">
        <f t="shared" si="19"/>
        <v>46498</v>
      </c>
      <c r="G279" s="27"/>
      <c r="L279" s="65"/>
    </row>
    <row r="280" spans="1:12" ht="15.75" customHeight="1" x14ac:dyDescent="0.25">
      <c r="A280" t="str">
        <f t="shared" si="16"/>
        <v>LUMELL SA</v>
      </c>
      <c r="B280">
        <f t="shared" si="17"/>
        <v>162</v>
      </c>
      <c r="C280" s="67">
        <f t="shared" si="18"/>
        <v>2600000</v>
      </c>
      <c r="D280" s="13">
        <v>46444</v>
      </c>
      <c r="E280" s="64">
        <v>46497</v>
      </c>
      <c r="F280" s="40">
        <f t="shared" si="19"/>
        <v>46499</v>
      </c>
      <c r="G280" s="27"/>
      <c r="L280" s="65"/>
    </row>
    <row r="281" spans="1:12" ht="15.75" customHeight="1" x14ac:dyDescent="0.25">
      <c r="A281" t="str">
        <f t="shared" si="16"/>
        <v>LUMELL SA</v>
      </c>
      <c r="B281">
        <f t="shared" si="17"/>
        <v>163</v>
      </c>
      <c r="C281" s="67">
        <f t="shared" si="18"/>
        <v>3000040</v>
      </c>
      <c r="D281" s="13">
        <v>46445</v>
      </c>
      <c r="E281" s="64">
        <v>46498</v>
      </c>
      <c r="F281" s="40">
        <f t="shared" si="19"/>
        <v>46500</v>
      </c>
      <c r="G281" s="27"/>
      <c r="L281" s="65"/>
    </row>
    <row r="282" spans="1:12" ht="15.75" customHeight="1" x14ac:dyDescent="0.25">
      <c r="A282" t="str">
        <f t="shared" si="16"/>
        <v>LUMELL SA</v>
      </c>
      <c r="B282">
        <f t="shared" si="17"/>
        <v>164</v>
      </c>
      <c r="C282" s="67">
        <f t="shared" si="18"/>
        <v>3000400</v>
      </c>
      <c r="D282" s="13">
        <v>46446</v>
      </c>
      <c r="E282" s="64">
        <v>46499</v>
      </c>
      <c r="F282" s="40">
        <f t="shared" si="19"/>
        <v>46501</v>
      </c>
      <c r="G282" s="27"/>
      <c r="L282" s="65"/>
    </row>
    <row r="283" spans="1:12" ht="15.75" customHeight="1" x14ac:dyDescent="0.25">
      <c r="A283" t="str">
        <f t="shared" si="16"/>
        <v>LUMELL SA</v>
      </c>
      <c r="B283">
        <f t="shared" si="17"/>
        <v>165</v>
      </c>
      <c r="C283" s="67">
        <f t="shared" si="18"/>
        <v>3500000</v>
      </c>
      <c r="D283" s="13">
        <v>46447</v>
      </c>
      <c r="E283" s="64">
        <v>46500</v>
      </c>
      <c r="F283" s="40">
        <f t="shared" si="19"/>
        <v>46502</v>
      </c>
      <c r="G283" s="27"/>
      <c r="L283" s="65"/>
    </row>
    <row r="284" spans="1:12" ht="15.75" customHeight="1" x14ac:dyDescent="0.25">
      <c r="A284" t="str">
        <f t="shared" si="16"/>
        <v>LUMELL SA</v>
      </c>
      <c r="B284">
        <f t="shared" si="17"/>
        <v>166</v>
      </c>
      <c r="C284" s="67">
        <f t="shared" si="18"/>
        <v>3047000</v>
      </c>
      <c r="D284" s="13">
        <v>46448</v>
      </c>
      <c r="E284" s="64">
        <v>46501</v>
      </c>
      <c r="F284" s="40">
        <f t="shared" si="19"/>
        <v>46503</v>
      </c>
      <c r="G284" s="27"/>
      <c r="L284" s="65"/>
    </row>
    <row r="285" spans="1:12" ht="15.75" customHeight="1" x14ac:dyDescent="0.25">
      <c r="A285" t="str">
        <f t="shared" si="16"/>
        <v>PROYECTOS DEL MAR SRL</v>
      </c>
      <c r="B285">
        <f t="shared" si="17"/>
        <v>8393</v>
      </c>
      <c r="C285" s="67">
        <f t="shared" si="18"/>
        <v>23687070</v>
      </c>
      <c r="D285" s="13">
        <v>46449</v>
      </c>
      <c r="E285" s="64">
        <v>46502</v>
      </c>
      <c r="F285" s="40">
        <f t="shared" si="19"/>
        <v>46504</v>
      </c>
      <c r="G285" s="27"/>
      <c r="L285" s="65"/>
    </row>
    <row r="286" spans="1:12" ht="15.75" customHeight="1" x14ac:dyDescent="0.25">
      <c r="A286" t="str">
        <f t="shared" si="16"/>
        <v>LACAR FISH SA</v>
      </c>
      <c r="B286">
        <f t="shared" si="17"/>
        <v>5</v>
      </c>
      <c r="C286" s="67">
        <f t="shared" si="18"/>
        <v>1500000</v>
      </c>
      <c r="D286" s="13">
        <v>46450</v>
      </c>
      <c r="E286" s="64">
        <v>46503</v>
      </c>
      <c r="F286" s="40">
        <f t="shared" si="19"/>
        <v>46505</v>
      </c>
      <c r="G286" s="27"/>
      <c r="L286" s="65"/>
    </row>
    <row r="287" spans="1:12" ht="15.75" customHeight="1" x14ac:dyDescent="0.25">
      <c r="A287" t="str">
        <f t="shared" si="16"/>
        <v>LACAR FISH SA</v>
      </c>
      <c r="B287">
        <f t="shared" si="17"/>
        <v>4</v>
      </c>
      <c r="C287" s="67">
        <f t="shared" si="18"/>
        <v>1400000</v>
      </c>
      <c r="D287" s="13">
        <v>46451</v>
      </c>
      <c r="E287" s="64">
        <v>46504</v>
      </c>
      <c r="F287" s="40">
        <f t="shared" si="19"/>
        <v>46506</v>
      </c>
      <c r="G287" s="27"/>
      <c r="L287" s="65"/>
    </row>
    <row r="288" spans="1:12" ht="15.75" customHeight="1" x14ac:dyDescent="0.25">
      <c r="A288" t="str">
        <f t="shared" si="16"/>
        <v>27 DE NOVIEMBRE SA</v>
      </c>
      <c r="B288">
        <f t="shared" si="17"/>
        <v>766</v>
      </c>
      <c r="C288" s="67">
        <f t="shared" si="18"/>
        <v>11791139.880000001</v>
      </c>
      <c r="D288" s="13">
        <v>46452</v>
      </c>
      <c r="E288" s="64">
        <v>46505</v>
      </c>
      <c r="F288" s="40">
        <f t="shared" si="19"/>
        <v>46507</v>
      </c>
      <c r="G288" s="27"/>
      <c r="L288" s="65"/>
    </row>
    <row r="289" spans="1:12" ht="15.75" customHeight="1" x14ac:dyDescent="0.25">
      <c r="A289" t="str">
        <f t="shared" si="16"/>
        <v>COOPERATIVA DE TRABAJO CAÑAMAR LIMITADA</v>
      </c>
      <c r="B289">
        <f t="shared" si="17"/>
        <v>375</v>
      </c>
      <c r="C289" s="67">
        <f t="shared" si="18"/>
        <v>9174159.5</v>
      </c>
      <c r="D289" s="13">
        <v>46453</v>
      </c>
      <c r="E289" s="64">
        <v>46506</v>
      </c>
      <c r="F289" s="40">
        <f t="shared" si="19"/>
        <v>46508</v>
      </c>
      <c r="G289" s="27"/>
      <c r="L289" s="65"/>
    </row>
    <row r="290" spans="1:12" ht="15.75" customHeight="1" x14ac:dyDescent="0.25">
      <c r="A290" t="str">
        <f t="shared" si="16"/>
        <v>LACAR FISH SA</v>
      </c>
      <c r="B290">
        <f t="shared" si="17"/>
        <v>78056235</v>
      </c>
      <c r="C290" s="67">
        <f t="shared" si="18"/>
        <v>1420000</v>
      </c>
      <c r="D290" s="13">
        <v>46454</v>
      </c>
      <c r="E290" s="64">
        <v>46507</v>
      </c>
      <c r="F290" s="40">
        <f t="shared" si="19"/>
        <v>46509</v>
      </c>
      <c r="G290" s="27"/>
      <c r="L290" s="65"/>
    </row>
    <row r="291" spans="1:12" ht="15.75" customHeight="1" x14ac:dyDescent="0.25">
      <c r="A291" t="str">
        <f t="shared" si="16"/>
        <v>LACAR FISH SA</v>
      </c>
      <c r="B291">
        <f t="shared" si="17"/>
        <v>78056244</v>
      </c>
      <c r="C291" s="67">
        <f t="shared" si="18"/>
        <v>932000</v>
      </c>
      <c r="D291" s="13">
        <v>46455</v>
      </c>
      <c r="E291" s="64">
        <v>46508</v>
      </c>
      <c r="F291" s="40">
        <f t="shared" si="19"/>
        <v>46510</v>
      </c>
      <c r="G291" s="27"/>
      <c r="L291" s="65"/>
    </row>
    <row r="292" spans="1:12" ht="15.75" customHeight="1" x14ac:dyDescent="0.25">
      <c r="A292" t="str">
        <f t="shared" si="16"/>
        <v>LUCRINO MARE SA</v>
      </c>
      <c r="B292">
        <f t="shared" si="17"/>
        <v>12924575</v>
      </c>
      <c r="C292" s="67">
        <f t="shared" si="18"/>
        <v>5000000</v>
      </c>
      <c r="D292" s="13">
        <v>46456</v>
      </c>
      <c r="E292" s="64">
        <v>46509</v>
      </c>
      <c r="F292" s="40">
        <f t="shared" si="19"/>
        <v>46511</v>
      </c>
      <c r="G292" s="27"/>
      <c r="L292" s="65"/>
    </row>
    <row r="293" spans="1:12" ht="15.75" customHeight="1" x14ac:dyDescent="0.25">
      <c r="A293" t="str">
        <f t="shared" si="16"/>
        <v>LUCRINO MARE SA</v>
      </c>
      <c r="B293">
        <f t="shared" si="17"/>
        <v>12924576</v>
      </c>
      <c r="C293" s="67">
        <f t="shared" si="18"/>
        <v>5000000</v>
      </c>
      <c r="D293" s="13">
        <v>46457</v>
      </c>
      <c r="E293" s="64">
        <v>46510</v>
      </c>
      <c r="F293" s="40">
        <f t="shared" si="19"/>
        <v>46512</v>
      </c>
      <c r="G293" s="27"/>
      <c r="L293" s="65"/>
    </row>
    <row r="294" spans="1:12" ht="15.75" customHeight="1" x14ac:dyDescent="0.25">
      <c r="A294" t="str">
        <f t="shared" si="16"/>
        <v>LUCRINO MARE SA</v>
      </c>
      <c r="B294">
        <f t="shared" si="17"/>
        <v>12924577</v>
      </c>
      <c r="C294" s="67">
        <f t="shared" si="18"/>
        <v>5000000</v>
      </c>
      <c r="D294" s="13">
        <v>46458</v>
      </c>
      <c r="E294" s="64">
        <v>46511</v>
      </c>
      <c r="F294" s="40">
        <f t="shared" si="19"/>
        <v>46513</v>
      </c>
      <c r="G294" s="27"/>
      <c r="L294" s="65"/>
    </row>
    <row r="295" spans="1:12" ht="15.75" customHeight="1" x14ac:dyDescent="0.25">
      <c r="A295" t="str">
        <f t="shared" si="16"/>
        <v>LACAR FISH SA</v>
      </c>
      <c r="B295">
        <f t="shared" si="17"/>
        <v>78056252</v>
      </c>
      <c r="C295" s="67">
        <f t="shared" si="18"/>
        <v>1380000</v>
      </c>
      <c r="D295" s="13">
        <v>46459</v>
      </c>
      <c r="E295" s="64">
        <v>46512</v>
      </c>
      <c r="F295" s="40">
        <f t="shared" si="19"/>
        <v>46514</v>
      </c>
      <c r="G295" s="27"/>
      <c r="L295" s="65"/>
    </row>
    <row r="296" spans="1:12" ht="15.75" customHeight="1" x14ac:dyDescent="0.25">
      <c r="A296" t="str">
        <f t="shared" si="16"/>
        <v>FRIO SUR SRL</v>
      </c>
      <c r="B296">
        <f t="shared" si="17"/>
        <v>29411502</v>
      </c>
      <c r="C296" s="67">
        <f t="shared" si="18"/>
        <v>14002560</v>
      </c>
      <c r="D296" s="13">
        <v>46460</v>
      </c>
      <c r="E296" s="64">
        <v>46513</v>
      </c>
      <c r="F296" s="40">
        <f t="shared" si="19"/>
        <v>46515</v>
      </c>
      <c r="G296" s="27"/>
      <c r="L296" s="65"/>
    </row>
    <row r="297" spans="1:12" ht="15.75" customHeight="1" x14ac:dyDescent="0.25">
      <c r="A297" t="str">
        <f t="shared" si="16"/>
        <v>ALIMENPES SA</v>
      </c>
      <c r="B297">
        <f t="shared" si="17"/>
        <v>721</v>
      </c>
      <c r="C297" s="67">
        <f t="shared" si="18"/>
        <v>10000250.289999999</v>
      </c>
      <c r="D297" s="13">
        <v>46461</v>
      </c>
      <c r="E297" s="64">
        <v>46514</v>
      </c>
      <c r="F297" s="40">
        <f t="shared" si="19"/>
        <v>46516</v>
      </c>
      <c r="G297" s="27"/>
      <c r="L297" s="65"/>
    </row>
    <row r="298" spans="1:12" ht="15.75" customHeight="1" x14ac:dyDescent="0.25">
      <c r="A298" t="str">
        <f t="shared" si="16"/>
        <v>MARISQUERIA SANTA RITA SRL</v>
      </c>
      <c r="B298">
        <f t="shared" si="17"/>
        <v>5073</v>
      </c>
      <c r="C298" s="67">
        <f t="shared" si="18"/>
        <v>1300000</v>
      </c>
      <c r="D298" s="13">
        <v>46462</v>
      </c>
      <c r="E298" s="64">
        <v>46515</v>
      </c>
      <c r="F298" s="40">
        <f t="shared" si="19"/>
        <v>46517</v>
      </c>
      <c r="G298" s="27"/>
      <c r="L298" s="65"/>
    </row>
    <row r="299" spans="1:12" ht="15.75" customHeight="1" x14ac:dyDescent="0.25">
      <c r="A299" t="str">
        <f t="shared" si="16"/>
        <v>FRIGOSUR SRL</v>
      </c>
      <c r="B299">
        <f t="shared" si="17"/>
        <v>9845378</v>
      </c>
      <c r="C299" s="67">
        <f t="shared" si="18"/>
        <v>14107155</v>
      </c>
      <c r="D299" s="13">
        <v>46463</v>
      </c>
      <c r="E299" s="64">
        <v>46516</v>
      </c>
      <c r="F299" s="40">
        <f t="shared" si="19"/>
        <v>46518</v>
      </c>
      <c r="G299" s="27"/>
      <c r="L299" s="65"/>
    </row>
    <row r="300" spans="1:12" ht="15.75" customHeight="1" x14ac:dyDescent="0.25">
      <c r="A300" t="str">
        <f t="shared" si="16"/>
        <v>FRIGOSUR SRL</v>
      </c>
      <c r="B300">
        <f t="shared" si="17"/>
        <v>9845377</v>
      </c>
      <c r="C300" s="67">
        <f t="shared" si="18"/>
        <v>15000000</v>
      </c>
      <c r="D300" s="13">
        <v>46464</v>
      </c>
      <c r="E300" s="64">
        <v>46517</v>
      </c>
      <c r="F300" s="40">
        <f t="shared" si="19"/>
        <v>46519</v>
      </c>
      <c r="G300" s="27"/>
      <c r="L300" s="65"/>
    </row>
    <row r="301" spans="1:12" ht="15.75" customHeight="1" x14ac:dyDescent="0.25">
      <c r="A301" t="str">
        <f t="shared" si="16"/>
        <v>OLAMAR SA</v>
      </c>
      <c r="B301">
        <f t="shared" si="17"/>
        <v>72199155</v>
      </c>
      <c r="C301" s="67">
        <f t="shared" si="18"/>
        <v>45101475</v>
      </c>
      <c r="D301" s="13">
        <v>46465</v>
      </c>
      <c r="E301" s="64">
        <v>46518</v>
      </c>
      <c r="F301" s="40">
        <f t="shared" si="19"/>
        <v>46520</v>
      </c>
      <c r="G301" s="27"/>
      <c r="L301" s="65"/>
    </row>
    <row r="302" spans="1:12" ht="15.75" customHeight="1" x14ac:dyDescent="0.25">
      <c r="A302" t="str">
        <f t="shared" si="16"/>
        <v>MARISQUERIA SANTA RITA SRL</v>
      </c>
      <c r="B302">
        <f t="shared" si="17"/>
        <v>4997</v>
      </c>
      <c r="C302" s="67">
        <f t="shared" si="18"/>
        <v>860000</v>
      </c>
      <c r="D302" s="13">
        <v>46466</v>
      </c>
      <c r="E302" s="64">
        <v>46519</v>
      </c>
      <c r="F302" s="40">
        <f t="shared" si="19"/>
        <v>46521</v>
      </c>
      <c r="G302" s="27"/>
      <c r="L302" s="65"/>
    </row>
    <row r="303" spans="1:12" ht="15.75" customHeight="1" x14ac:dyDescent="0.25">
      <c r="A303" t="str">
        <f t="shared" si="16"/>
        <v>MARISQUERIA SANTA RITA SRL</v>
      </c>
      <c r="B303">
        <f t="shared" si="17"/>
        <v>4953</v>
      </c>
      <c r="C303" s="67">
        <f t="shared" si="18"/>
        <v>1300000</v>
      </c>
      <c r="D303" s="13">
        <v>46467</v>
      </c>
      <c r="E303" s="64">
        <v>46520</v>
      </c>
      <c r="F303" s="40">
        <f t="shared" si="19"/>
        <v>46522</v>
      </c>
      <c r="G303" s="27"/>
      <c r="L303" s="65"/>
    </row>
    <row r="304" spans="1:12" ht="15.75" customHeight="1" x14ac:dyDescent="0.25">
      <c r="A304" t="str">
        <f t="shared" si="16"/>
        <v>SAORI SA</v>
      </c>
      <c r="B304">
        <f t="shared" si="17"/>
        <v>67321835</v>
      </c>
      <c r="C304" s="67">
        <f t="shared" si="18"/>
        <v>5000000</v>
      </c>
      <c r="D304" s="13">
        <v>46468</v>
      </c>
      <c r="E304" s="64">
        <v>46521</v>
      </c>
      <c r="F304" s="40">
        <f t="shared" si="19"/>
        <v>46523</v>
      </c>
      <c r="G304" s="27"/>
      <c r="L304" s="65"/>
    </row>
    <row r="305" spans="1:12" ht="15.75" customHeight="1" x14ac:dyDescent="0.25">
      <c r="A305" t="str">
        <f t="shared" si="16"/>
        <v>SAORI SA</v>
      </c>
      <c r="B305">
        <f t="shared" si="17"/>
        <v>67321896</v>
      </c>
      <c r="C305" s="67">
        <f t="shared" si="18"/>
        <v>5000000</v>
      </c>
      <c r="D305" s="13">
        <v>46469</v>
      </c>
      <c r="E305" s="64">
        <v>46522</v>
      </c>
      <c r="F305" s="40">
        <f t="shared" si="19"/>
        <v>46524</v>
      </c>
      <c r="G305" s="27"/>
      <c r="L305" s="65"/>
    </row>
    <row r="306" spans="1:12" ht="15.75" customHeight="1" x14ac:dyDescent="0.25">
      <c r="A306" t="str">
        <f t="shared" si="16"/>
        <v>SAORI SA</v>
      </c>
      <c r="B306">
        <f t="shared" si="17"/>
        <v>67321962</v>
      </c>
      <c r="C306" s="67">
        <f t="shared" si="18"/>
        <v>5000000</v>
      </c>
      <c r="D306" s="13">
        <v>46470</v>
      </c>
      <c r="E306" s="64">
        <v>46523</v>
      </c>
      <c r="F306" s="40">
        <f t="shared" si="19"/>
        <v>46525</v>
      </c>
      <c r="G306" s="27"/>
      <c r="L306" s="65"/>
    </row>
    <row r="307" spans="1:12" ht="15.75" customHeight="1" x14ac:dyDescent="0.25">
      <c r="A307" t="str">
        <f t="shared" si="16"/>
        <v>SAORI SA</v>
      </c>
      <c r="B307">
        <f t="shared" si="17"/>
        <v>67322021</v>
      </c>
      <c r="C307" s="67">
        <f t="shared" si="18"/>
        <v>5000000</v>
      </c>
      <c r="D307" s="13">
        <v>46471</v>
      </c>
      <c r="E307" s="64">
        <v>46524</v>
      </c>
      <c r="F307" s="40">
        <f t="shared" si="19"/>
        <v>46526</v>
      </c>
      <c r="G307" s="27"/>
      <c r="L307" s="65"/>
    </row>
    <row r="308" spans="1:12" ht="15.75" customHeight="1" x14ac:dyDescent="0.25">
      <c r="A308" t="str">
        <f t="shared" si="16"/>
        <v>LACAR FISH SA</v>
      </c>
      <c r="B308">
        <f t="shared" si="17"/>
        <v>1</v>
      </c>
      <c r="C308" s="67">
        <f t="shared" si="18"/>
        <v>1500000</v>
      </c>
      <c r="D308" s="13">
        <v>46472</v>
      </c>
      <c r="E308" s="64">
        <v>46525</v>
      </c>
      <c r="F308" s="40">
        <f t="shared" si="19"/>
        <v>46527</v>
      </c>
      <c r="G308" s="27"/>
      <c r="L308" s="65"/>
    </row>
    <row r="309" spans="1:12" ht="15.75" customHeight="1" x14ac:dyDescent="0.25">
      <c r="A309" t="str">
        <f t="shared" si="16"/>
        <v>LACAR FISH SA</v>
      </c>
      <c r="B309">
        <f t="shared" si="17"/>
        <v>5</v>
      </c>
      <c r="C309" s="67">
        <f t="shared" si="18"/>
        <v>1381275</v>
      </c>
      <c r="D309" s="13">
        <v>46473</v>
      </c>
      <c r="E309" s="64">
        <v>46526</v>
      </c>
      <c r="F309" s="40">
        <f t="shared" si="19"/>
        <v>46528</v>
      </c>
      <c r="G309" s="27"/>
      <c r="L309" s="65"/>
    </row>
    <row r="310" spans="1:12" ht="15.75" customHeight="1" x14ac:dyDescent="0.25">
      <c r="A310" t="str">
        <f t="shared" si="16"/>
        <v>COOPERATIVA DE TRABAJO CAÑAMAR LIMITADA</v>
      </c>
      <c r="B310">
        <f t="shared" si="17"/>
        <v>29427205</v>
      </c>
      <c r="C310" s="67">
        <f t="shared" si="18"/>
        <v>2359320.5</v>
      </c>
      <c r="D310" s="13">
        <v>46474</v>
      </c>
      <c r="E310" s="64">
        <v>46527</v>
      </c>
      <c r="F310" s="40">
        <f t="shared" si="19"/>
        <v>46529</v>
      </c>
      <c r="G310" s="27"/>
      <c r="L310" s="65"/>
    </row>
    <row r="311" spans="1:12" ht="15.75" customHeight="1" x14ac:dyDescent="0.25">
      <c r="A311" t="str">
        <f t="shared" si="16"/>
        <v>LACAR FISH SA</v>
      </c>
      <c r="B311">
        <f t="shared" si="17"/>
        <v>78056236</v>
      </c>
      <c r="C311" s="67">
        <f t="shared" si="18"/>
        <v>1420000</v>
      </c>
      <c r="D311" s="13">
        <v>46475</v>
      </c>
      <c r="E311" s="64">
        <v>46528</v>
      </c>
      <c r="F311" s="40">
        <f t="shared" si="19"/>
        <v>46530</v>
      </c>
      <c r="G311" s="27"/>
      <c r="L311" s="65"/>
    </row>
    <row r="312" spans="1:12" ht="15.75" customHeight="1" x14ac:dyDescent="0.25">
      <c r="A312" t="str">
        <f t="shared" si="16"/>
        <v>LACAR FISH SA</v>
      </c>
      <c r="B312">
        <f t="shared" si="17"/>
        <v>78056245</v>
      </c>
      <c r="C312" s="67">
        <f t="shared" si="18"/>
        <v>932000</v>
      </c>
      <c r="D312" s="13">
        <v>46476</v>
      </c>
      <c r="E312" s="64">
        <v>46529</v>
      </c>
      <c r="F312" s="40">
        <f t="shared" si="19"/>
        <v>46531</v>
      </c>
      <c r="G312" s="27"/>
      <c r="L312" s="65"/>
    </row>
    <row r="313" spans="1:12" ht="15.75" customHeight="1" x14ac:dyDescent="0.25">
      <c r="A313" t="str">
        <f t="shared" si="16"/>
        <v>LUCRINO MARE SA</v>
      </c>
      <c r="B313">
        <f t="shared" si="17"/>
        <v>12924597</v>
      </c>
      <c r="C313" s="67">
        <f t="shared" si="18"/>
        <v>222000</v>
      </c>
      <c r="D313" s="13">
        <v>46477</v>
      </c>
      <c r="E313" s="64">
        <v>46530</v>
      </c>
      <c r="F313" s="40">
        <f t="shared" si="19"/>
        <v>46532</v>
      </c>
      <c r="G313" s="27"/>
      <c r="L313" s="65"/>
    </row>
    <row r="314" spans="1:12" ht="15.75" customHeight="1" x14ac:dyDescent="0.25">
      <c r="A314" t="str">
        <f t="shared" si="16"/>
        <v>LUCRINO MARE SA</v>
      </c>
      <c r="B314">
        <f t="shared" si="17"/>
        <v>12924578</v>
      </c>
      <c r="C314" s="67">
        <f t="shared" si="18"/>
        <v>5866140</v>
      </c>
      <c r="D314" s="13">
        <v>46478</v>
      </c>
      <c r="E314" s="64">
        <v>46531</v>
      </c>
      <c r="F314" s="40">
        <f t="shared" si="19"/>
        <v>46533</v>
      </c>
      <c r="G314" s="27"/>
      <c r="L314" s="65"/>
    </row>
    <row r="315" spans="1:12" ht="15.75" customHeight="1" x14ac:dyDescent="0.25">
      <c r="A315" t="str">
        <f t="shared" si="16"/>
        <v>LACAR FISH SA</v>
      </c>
      <c r="B315">
        <f t="shared" si="17"/>
        <v>78056253</v>
      </c>
      <c r="C315" s="67">
        <f t="shared" si="18"/>
        <v>1380000</v>
      </c>
      <c r="D315" s="13">
        <v>46479</v>
      </c>
      <c r="E315" s="64">
        <v>46532</v>
      </c>
      <c r="F315" s="40">
        <f t="shared" si="19"/>
        <v>46534</v>
      </c>
      <c r="G315" s="27"/>
      <c r="L315" s="65"/>
    </row>
    <row r="316" spans="1:12" ht="15.75" customHeight="1" x14ac:dyDescent="0.25">
      <c r="A316" t="str">
        <f t="shared" si="16"/>
        <v>MARISQUERIA SANTA RITA SRL</v>
      </c>
      <c r="B316">
        <f t="shared" si="17"/>
        <v>5074</v>
      </c>
      <c r="C316" s="67">
        <f t="shared" si="18"/>
        <v>1300000</v>
      </c>
      <c r="D316" s="13">
        <v>46480</v>
      </c>
      <c r="E316" s="64">
        <v>46533</v>
      </c>
      <c r="F316" s="40">
        <f t="shared" si="19"/>
        <v>46535</v>
      </c>
      <c r="G316" s="27"/>
      <c r="L316" s="65"/>
    </row>
    <row r="317" spans="1:12" ht="15.75" customHeight="1" x14ac:dyDescent="0.25">
      <c r="A317" t="str">
        <f t="shared" si="16"/>
        <v>MARISQUERIA SANTA RITA SRL</v>
      </c>
      <c r="B317">
        <f t="shared" si="17"/>
        <v>4998</v>
      </c>
      <c r="C317" s="67">
        <f t="shared" si="18"/>
        <v>860000</v>
      </c>
      <c r="D317" s="13">
        <v>46481</v>
      </c>
      <c r="E317" s="64">
        <v>46534</v>
      </c>
      <c r="F317" s="40">
        <f t="shared" si="19"/>
        <v>46536</v>
      </c>
      <c r="G317" s="27"/>
      <c r="L317" s="65"/>
    </row>
    <row r="318" spans="1:12" ht="15.75" customHeight="1" x14ac:dyDescent="0.25">
      <c r="A318" t="str">
        <f t="shared" si="16"/>
        <v>SAORI SA</v>
      </c>
      <c r="B318">
        <f t="shared" si="17"/>
        <v>67321766</v>
      </c>
      <c r="C318" s="67">
        <f t="shared" si="18"/>
        <v>5000000</v>
      </c>
      <c r="D318" s="13">
        <v>46482</v>
      </c>
      <c r="E318" s="64">
        <v>46535</v>
      </c>
      <c r="F318" s="40">
        <f t="shared" si="19"/>
        <v>46537</v>
      </c>
      <c r="G318" s="27"/>
      <c r="L318" s="65"/>
    </row>
    <row r="319" spans="1:12" ht="15.75" customHeight="1" x14ac:dyDescent="0.25">
      <c r="A319" t="str">
        <f t="shared" si="16"/>
        <v>LUCRINO MARE SA</v>
      </c>
      <c r="B319">
        <f t="shared" si="17"/>
        <v>12795049</v>
      </c>
      <c r="C319" s="67">
        <f t="shared" si="18"/>
        <v>2000000</v>
      </c>
      <c r="D319" s="13">
        <v>46483</v>
      </c>
      <c r="E319" s="64">
        <v>46536</v>
      </c>
      <c r="F319" s="40">
        <f t="shared" si="19"/>
        <v>46538</v>
      </c>
      <c r="G319" s="27"/>
      <c r="L319" s="65"/>
    </row>
    <row r="320" spans="1:12" ht="15.75" customHeight="1" x14ac:dyDescent="0.25">
      <c r="A320" t="str">
        <f t="shared" si="16"/>
        <v>FRIGOSUR SRL</v>
      </c>
      <c r="B320">
        <f t="shared" si="17"/>
        <v>10169188</v>
      </c>
      <c r="C320" s="67">
        <f t="shared" si="18"/>
        <v>10677397.5</v>
      </c>
      <c r="D320" s="13">
        <v>46484</v>
      </c>
      <c r="E320" s="64">
        <v>46537</v>
      </c>
      <c r="F320" s="40">
        <f t="shared" si="19"/>
        <v>46539</v>
      </c>
      <c r="G320" s="27"/>
      <c r="L320" s="65"/>
    </row>
    <row r="321" spans="1:12" ht="15.75" customHeight="1" x14ac:dyDescent="0.25">
      <c r="A321" t="str">
        <f t="shared" si="16"/>
        <v>FRIGOSUR SRL</v>
      </c>
      <c r="B321">
        <f t="shared" si="17"/>
        <v>10169189</v>
      </c>
      <c r="C321" s="67">
        <f t="shared" si="18"/>
        <v>10677397.5</v>
      </c>
      <c r="D321" s="13">
        <v>46485</v>
      </c>
      <c r="E321" s="64">
        <v>46538</v>
      </c>
      <c r="F321" s="40">
        <f t="shared" si="19"/>
        <v>46540</v>
      </c>
      <c r="G321" s="27"/>
      <c r="L321" s="65"/>
    </row>
    <row r="322" spans="1:12" ht="15.75" customHeight="1" x14ac:dyDescent="0.25">
      <c r="A322" t="str">
        <f t="shared" si="16"/>
        <v>FRIO SUR SRL</v>
      </c>
      <c r="B322">
        <f t="shared" si="17"/>
        <v>29411499</v>
      </c>
      <c r="C322" s="67">
        <f t="shared" si="18"/>
        <v>9884160</v>
      </c>
      <c r="D322" s="13">
        <v>46486</v>
      </c>
      <c r="E322" s="64">
        <v>46539</v>
      </c>
      <c r="F322" s="40">
        <f t="shared" si="19"/>
        <v>46541</v>
      </c>
      <c r="G322" s="27"/>
      <c r="L322" s="65"/>
    </row>
    <row r="323" spans="1:12" ht="15.75" customHeight="1" x14ac:dyDescent="0.25">
      <c r="A323" t="str">
        <f t="shared" si="16"/>
        <v>LUDAPEZ SA</v>
      </c>
      <c r="B323">
        <f t="shared" si="17"/>
        <v>13653743</v>
      </c>
      <c r="C323" s="67">
        <f t="shared" si="18"/>
        <v>5356650</v>
      </c>
      <c r="D323" s="13">
        <v>46487</v>
      </c>
      <c r="E323" s="64">
        <v>46540</v>
      </c>
      <c r="F323" s="40">
        <f t="shared" si="19"/>
        <v>46542</v>
      </c>
      <c r="G323" s="27"/>
      <c r="L323" s="65"/>
    </row>
    <row r="324" spans="1:12" ht="15.75" customHeight="1" x14ac:dyDescent="0.25">
      <c r="A324" t="str">
        <f t="shared" si="16"/>
        <v>NATUSUR SA</v>
      </c>
      <c r="B324">
        <f t="shared" si="17"/>
        <v>40006895</v>
      </c>
      <c r="C324" s="67">
        <f t="shared" si="18"/>
        <v>7944458</v>
      </c>
      <c r="D324" s="13">
        <v>46488</v>
      </c>
      <c r="E324" s="64">
        <v>46541</v>
      </c>
      <c r="F324" s="40">
        <f t="shared" si="19"/>
        <v>46543</v>
      </c>
      <c r="G324" s="27"/>
      <c r="L324" s="65"/>
    </row>
    <row r="325" spans="1:12" ht="15.75" customHeight="1" x14ac:dyDescent="0.25">
      <c r="A325" t="str">
        <f t="shared" ref="A325:A388" si="20">+I792</f>
        <v>NATUSUR SA</v>
      </c>
      <c r="B325">
        <f t="shared" ref="B325:B388" si="21">+E792</f>
        <v>6871451</v>
      </c>
      <c r="C325" s="67">
        <f t="shared" ref="C325:C388" si="22">+H792</f>
        <v>5965270</v>
      </c>
      <c r="D325" s="13">
        <v>46489</v>
      </c>
      <c r="E325" s="64">
        <v>46542</v>
      </c>
      <c r="F325" s="40">
        <f t="shared" ref="F325:F388" si="23">+E325+2</f>
        <v>46544</v>
      </c>
      <c r="G325" s="27"/>
      <c r="L325" s="65"/>
    </row>
    <row r="326" spans="1:12" ht="15.75" customHeight="1" x14ac:dyDescent="0.25">
      <c r="A326" t="str">
        <f t="shared" si="20"/>
        <v>NATUSUR SA</v>
      </c>
      <c r="B326">
        <f t="shared" si="21"/>
        <v>40006891</v>
      </c>
      <c r="C326" s="67">
        <f t="shared" si="22"/>
        <v>79399780</v>
      </c>
      <c r="D326" s="13">
        <v>46490</v>
      </c>
      <c r="E326" s="64">
        <v>46543</v>
      </c>
      <c r="F326" s="40">
        <f t="shared" si="23"/>
        <v>46545</v>
      </c>
      <c r="G326" s="27"/>
      <c r="L326" s="65"/>
    </row>
    <row r="327" spans="1:12" ht="15.75" customHeight="1" x14ac:dyDescent="0.25">
      <c r="A327" t="str">
        <f t="shared" si="20"/>
        <v>LACAR FISH SA</v>
      </c>
      <c r="B327">
        <f t="shared" si="21"/>
        <v>2</v>
      </c>
      <c r="C327" s="67">
        <f t="shared" si="22"/>
        <v>1479937.5</v>
      </c>
      <c r="D327" s="13">
        <v>46491</v>
      </c>
      <c r="E327" s="64">
        <v>46544</v>
      </c>
      <c r="F327" s="40">
        <f t="shared" si="23"/>
        <v>46546</v>
      </c>
      <c r="G327" s="27"/>
      <c r="L327" s="65"/>
    </row>
    <row r="328" spans="1:12" ht="15.75" customHeight="1" x14ac:dyDescent="0.25">
      <c r="A328" t="str">
        <f t="shared" si="20"/>
        <v>LACAR FISH SA</v>
      </c>
      <c r="B328">
        <f t="shared" si="21"/>
        <v>78056237</v>
      </c>
      <c r="C328" s="67">
        <f t="shared" si="22"/>
        <v>1420000</v>
      </c>
      <c r="D328" s="13">
        <v>46492</v>
      </c>
      <c r="E328" s="64">
        <v>46545</v>
      </c>
      <c r="F328" s="40">
        <f t="shared" si="23"/>
        <v>46547</v>
      </c>
      <c r="G328" s="27"/>
      <c r="L328" s="65"/>
    </row>
    <row r="329" spans="1:12" ht="15.75" customHeight="1" x14ac:dyDescent="0.25">
      <c r="A329" t="str">
        <f t="shared" si="20"/>
        <v>LACAR FISH SA</v>
      </c>
      <c r="B329">
        <f t="shared" si="21"/>
        <v>78056246</v>
      </c>
      <c r="C329" s="67">
        <f t="shared" si="22"/>
        <v>932000</v>
      </c>
      <c r="D329" s="13">
        <v>46493</v>
      </c>
      <c r="E329" s="64">
        <v>46546</v>
      </c>
      <c r="F329" s="40">
        <f t="shared" si="23"/>
        <v>46548</v>
      </c>
      <c r="G329" s="27"/>
      <c r="L329" s="65"/>
    </row>
    <row r="330" spans="1:12" ht="15.75" customHeight="1" x14ac:dyDescent="0.25">
      <c r="A330" t="str">
        <f t="shared" si="20"/>
        <v>FRIGOSUR SRL</v>
      </c>
      <c r="B330">
        <f t="shared" si="21"/>
        <v>9845390</v>
      </c>
      <c r="C330" s="67">
        <f t="shared" si="22"/>
        <v>10677397.5</v>
      </c>
      <c r="D330" s="13">
        <v>46494</v>
      </c>
      <c r="E330" s="64">
        <v>46547</v>
      </c>
      <c r="F330" s="40">
        <f t="shared" si="23"/>
        <v>46549</v>
      </c>
      <c r="G330" s="27"/>
      <c r="L330" s="65"/>
    </row>
    <row r="331" spans="1:12" ht="15.75" customHeight="1" x14ac:dyDescent="0.25">
      <c r="A331" t="str">
        <f t="shared" si="20"/>
        <v>FRIGOSUR SRL</v>
      </c>
      <c r="B331">
        <f t="shared" si="21"/>
        <v>9845391</v>
      </c>
      <c r="C331" s="67">
        <f t="shared" si="22"/>
        <v>10677397.5</v>
      </c>
      <c r="D331" s="13">
        <v>46495</v>
      </c>
      <c r="E331" s="64">
        <v>46548</v>
      </c>
      <c r="F331" s="40">
        <f t="shared" si="23"/>
        <v>46550</v>
      </c>
      <c r="G331" s="27"/>
      <c r="L331" s="65"/>
    </row>
    <row r="332" spans="1:12" ht="15.75" customHeight="1" x14ac:dyDescent="0.25">
      <c r="A332" t="str">
        <f t="shared" si="20"/>
        <v>LACAR FISH SA</v>
      </c>
      <c r="B332">
        <f t="shared" si="21"/>
        <v>78056254</v>
      </c>
      <c r="C332" s="67">
        <f t="shared" si="22"/>
        <v>1380000</v>
      </c>
      <c r="D332" s="13">
        <v>46496</v>
      </c>
      <c r="E332" s="64">
        <v>46549</v>
      </c>
      <c r="F332" s="40">
        <f t="shared" si="23"/>
        <v>46551</v>
      </c>
      <c r="G332" s="27"/>
      <c r="L332" s="65"/>
    </row>
    <row r="333" spans="1:12" ht="15.75" customHeight="1" x14ac:dyDescent="0.25">
      <c r="A333" t="str">
        <f t="shared" si="20"/>
        <v>ALIMENPES SA</v>
      </c>
      <c r="B333">
        <f t="shared" si="21"/>
        <v>9894199</v>
      </c>
      <c r="C333" s="67">
        <f t="shared" si="22"/>
        <v>6000000</v>
      </c>
      <c r="D333" s="13">
        <v>46497</v>
      </c>
      <c r="E333" s="64">
        <v>46550</v>
      </c>
      <c r="F333" s="40">
        <f t="shared" si="23"/>
        <v>46552</v>
      </c>
      <c r="G333" s="27"/>
      <c r="L333" s="65"/>
    </row>
    <row r="334" spans="1:12" ht="15.75" customHeight="1" x14ac:dyDescent="0.25">
      <c r="A334" t="str">
        <f t="shared" si="20"/>
        <v>LUDAPEZ SA</v>
      </c>
      <c r="B334">
        <f t="shared" si="21"/>
        <v>13653744</v>
      </c>
      <c r="C334" s="67">
        <f t="shared" si="22"/>
        <v>5100000</v>
      </c>
      <c r="D334" s="13">
        <v>46498</v>
      </c>
      <c r="E334" s="64">
        <v>46551</v>
      </c>
      <c r="F334" s="40">
        <f t="shared" si="23"/>
        <v>46553</v>
      </c>
      <c r="G334" s="27"/>
      <c r="L334" s="65"/>
    </row>
    <row r="335" spans="1:12" ht="15.75" customHeight="1" x14ac:dyDescent="0.25">
      <c r="A335" t="str">
        <f t="shared" si="20"/>
        <v>MARISQUERIA SANTA RITA SRL</v>
      </c>
      <c r="B335">
        <f t="shared" si="21"/>
        <v>4999</v>
      </c>
      <c r="C335" s="67">
        <f t="shared" si="22"/>
        <v>860000</v>
      </c>
      <c r="D335" s="13">
        <v>46499</v>
      </c>
      <c r="E335" s="64">
        <v>46552</v>
      </c>
      <c r="F335" s="40">
        <f t="shared" si="23"/>
        <v>46554</v>
      </c>
      <c r="G335" s="27"/>
      <c r="L335" s="65"/>
    </row>
    <row r="336" spans="1:12" ht="15.75" customHeight="1" x14ac:dyDescent="0.25">
      <c r="A336" t="str">
        <f t="shared" si="20"/>
        <v>ALIMENPES SA</v>
      </c>
      <c r="B336">
        <f t="shared" si="21"/>
        <v>6142</v>
      </c>
      <c r="C336" s="67">
        <f t="shared" si="22"/>
        <v>1000000</v>
      </c>
      <c r="D336" s="13">
        <v>46500</v>
      </c>
      <c r="E336" s="64">
        <v>46553</v>
      </c>
      <c r="F336" s="40">
        <f t="shared" si="23"/>
        <v>46555</v>
      </c>
      <c r="G336" s="27"/>
      <c r="L336" s="65"/>
    </row>
    <row r="337" spans="1:12" ht="15.75" customHeight="1" x14ac:dyDescent="0.25">
      <c r="A337" t="str">
        <f t="shared" si="20"/>
        <v>COOPERATIVA DE TRABAJO CAÑAMAR LIMITADA</v>
      </c>
      <c r="B337">
        <f t="shared" si="21"/>
        <v>9619</v>
      </c>
      <c r="C337" s="67">
        <f t="shared" si="22"/>
        <v>2255800</v>
      </c>
      <c r="D337" s="13">
        <v>46501</v>
      </c>
      <c r="E337" s="64">
        <v>46554</v>
      </c>
      <c r="F337" s="40">
        <f t="shared" si="23"/>
        <v>46556</v>
      </c>
      <c r="G337" s="27"/>
      <c r="L337" s="65"/>
    </row>
    <row r="338" spans="1:12" ht="15.75" customHeight="1" x14ac:dyDescent="0.25">
      <c r="A338" t="str">
        <f t="shared" si="20"/>
        <v>COMERCIAL INAL 2005 SA</v>
      </c>
      <c r="B338">
        <f t="shared" si="21"/>
        <v>7084</v>
      </c>
      <c r="C338" s="67">
        <f t="shared" si="22"/>
        <v>28607040</v>
      </c>
      <c r="D338" s="13">
        <v>46502</v>
      </c>
      <c r="E338" s="64">
        <v>46555</v>
      </c>
      <c r="F338" s="40">
        <f t="shared" si="23"/>
        <v>46557</v>
      </c>
      <c r="G338" s="27"/>
      <c r="L338" s="65"/>
    </row>
    <row r="339" spans="1:12" ht="15.75" customHeight="1" x14ac:dyDescent="0.25">
      <c r="A339" t="str">
        <f t="shared" si="20"/>
        <v>LACAR FISH SA</v>
      </c>
      <c r="B339">
        <f t="shared" si="21"/>
        <v>78056238</v>
      </c>
      <c r="C339" s="67">
        <f t="shared" si="22"/>
        <v>1420000</v>
      </c>
      <c r="D339" s="13">
        <v>46503</v>
      </c>
      <c r="E339" s="64">
        <v>46556</v>
      </c>
      <c r="F339" s="40">
        <f t="shared" si="23"/>
        <v>46558</v>
      </c>
      <c r="G339" s="27"/>
      <c r="L339" s="65"/>
    </row>
    <row r="340" spans="1:12" ht="15.75" customHeight="1" x14ac:dyDescent="0.25">
      <c r="A340" t="str">
        <f t="shared" si="20"/>
        <v>LACAR FISH SA</v>
      </c>
      <c r="B340">
        <f t="shared" si="21"/>
        <v>78056247</v>
      </c>
      <c r="C340" s="67">
        <f t="shared" si="22"/>
        <v>932000</v>
      </c>
      <c r="D340" s="13">
        <v>46504</v>
      </c>
      <c r="E340" s="64">
        <v>46557</v>
      </c>
      <c r="F340" s="40">
        <f t="shared" si="23"/>
        <v>46559</v>
      </c>
      <c r="G340" s="27"/>
      <c r="L340" s="65"/>
    </row>
    <row r="341" spans="1:12" ht="15.75" customHeight="1" x14ac:dyDescent="0.25">
      <c r="A341" t="str">
        <f t="shared" si="20"/>
        <v>LACAR FISH SA</v>
      </c>
      <c r="B341">
        <f t="shared" si="21"/>
        <v>78056255</v>
      </c>
      <c r="C341" s="67">
        <f t="shared" si="22"/>
        <v>1380000</v>
      </c>
      <c r="D341" s="13">
        <v>46505</v>
      </c>
      <c r="E341" s="64">
        <v>46558</v>
      </c>
      <c r="F341" s="40">
        <f t="shared" si="23"/>
        <v>46560</v>
      </c>
      <c r="G341" s="27"/>
      <c r="L341" s="65"/>
    </row>
    <row r="342" spans="1:12" ht="15.75" customHeight="1" x14ac:dyDescent="0.25">
      <c r="A342" t="str">
        <f t="shared" si="20"/>
        <v>LUDAPEZ SA</v>
      </c>
      <c r="B342">
        <f t="shared" si="21"/>
        <v>13653745</v>
      </c>
      <c r="C342" s="67">
        <f t="shared" si="22"/>
        <v>5100000</v>
      </c>
      <c r="D342" s="13">
        <v>46506</v>
      </c>
      <c r="E342" s="64">
        <v>46559</v>
      </c>
      <c r="F342" s="40">
        <f t="shared" si="23"/>
        <v>46561</v>
      </c>
      <c r="G342" s="27"/>
      <c r="L342" s="65"/>
    </row>
    <row r="343" spans="1:12" ht="15.75" customHeight="1" x14ac:dyDescent="0.25">
      <c r="A343" t="str">
        <f t="shared" si="20"/>
        <v>LUMELL SA</v>
      </c>
      <c r="B343">
        <f t="shared" si="21"/>
        <v>172</v>
      </c>
      <c r="C343" s="67">
        <f t="shared" si="22"/>
        <v>3032000</v>
      </c>
      <c r="D343" s="13">
        <v>46507</v>
      </c>
      <c r="E343" s="64">
        <v>46560</v>
      </c>
      <c r="F343" s="40">
        <f t="shared" si="23"/>
        <v>46562</v>
      </c>
      <c r="G343" s="27"/>
      <c r="L343" s="65"/>
    </row>
    <row r="344" spans="1:12" ht="15.75" customHeight="1" x14ac:dyDescent="0.25">
      <c r="A344" t="str">
        <f t="shared" si="20"/>
        <v>LUMELL SA</v>
      </c>
      <c r="B344">
        <f t="shared" si="21"/>
        <v>173</v>
      </c>
      <c r="C344" s="67">
        <f t="shared" si="22"/>
        <v>3000100</v>
      </c>
      <c r="D344" s="13">
        <v>46508</v>
      </c>
      <c r="E344" s="64">
        <v>46561</v>
      </c>
      <c r="F344" s="40">
        <f t="shared" si="23"/>
        <v>46563</v>
      </c>
      <c r="G344" s="27"/>
      <c r="L344" s="65"/>
    </row>
    <row r="345" spans="1:12" ht="15.75" customHeight="1" x14ac:dyDescent="0.25">
      <c r="A345" t="str">
        <f t="shared" si="20"/>
        <v>LUMELL SA</v>
      </c>
      <c r="B345">
        <f t="shared" si="21"/>
        <v>174</v>
      </c>
      <c r="C345" s="67">
        <f t="shared" si="22"/>
        <v>3000100</v>
      </c>
      <c r="D345" s="13">
        <v>46509</v>
      </c>
      <c r="E345" s="64">
        <v>46562</v>
      </c>
      <c r="F345" s="40">
        <f t="shared" si="23"/>
        <v>46564</v>
      </c>
      <c r="G345" s="27"/>
      <c r="L345" s="65"/>
    </row>
    <row r="346" spans="1:12" ht="15.75" customHeight="1" x14ac:dyDescent="0.25">
      <c r="A346" t="str">
        <f t="shared" si="20"/>
        <v>LUMELL SA</v>
      </c>
      <c r="B346">
        <f t="shared" si="21"/>
        <v>175</v>
      </c>
      <c r="C346" s="67">
        <f t="shared" si="22"/>
        <v>1000100</v>
      </c>
      <c r="D346" s="13">
        <v>46510</v>
      </c>
      <c r="E346" s="64">
        <v>46563</v>
      </c>
      <c r="F346" s="40">
        <f t="shared" si="23"/>
        <v>46565</v>
      </c>
      <c r="G346" s="27"/>
      <c r="L346" s="65"/>
    </row>
    <row r="347" spans="1:12" ht="15.75" customHeight="1" x14ac:dyDescent="0.25">
      <c r="A347" t="str">
        <f t="shared" si="20"/>
        <v>NATUSUR SA</v>
      </c>
      <c r="B347">
        <f t="shared" si="21"/>
        <v>6856037</v>
      </c>
      <c r="C347" s="67">
        <f t="shared" si="22"/>
        <v>30000000</v>
      </c>
      <c r="D347" s="13">
        <v>46511</v>
      </c>
      <c r="E347" s="64">
        <v>46564</v>
      </c>
      <c r="F347" s="40">
        <f t="shared" si="23"/>
        <v>46566</v>
      </c>
      <c r="G347" s="27"/>
      <c r="L347" s="65"/>
    </row>
    <row r="348" spans="1:12" ht="15.75" customHeight="1" x14ac:dyDescent="0.25">
      <c r="A348" t="str">
        <f t="shared" si="20"/>
        <v>NATUSUR SA</v>
      </c>
      <c r="B348">
        <f t="shared" si="21"/>
        <v>6856038</v>
      </c>
      <c r="C348" s="67">
        <f t="shared" si="22"/>
        <v>40000000</v>
      </c>
      <c r="D348" s="13">
        <v>46512</v>
      </c>
      <c r="E348" s="64">
        <v>46565</v>
      </c>
      <c r="F348" s="40">
        <f t="shared" si="23"/>
        <v>46567</v>
      </c>
      <c r="G348" s="27"/>
      <c r="L348" s="65"/>
    </row>
    <row r="349" spans="1:12" ht="15.75" customHeight="1" x14ac:dyDescent="0.25">
      <c r="A349" t="str">
        <f t="shared" si="20"/>
        <v>NATUSUR SA</v>
      </c>
      <c r="B349">
        <f t="shared" si="21"/>
        <v>6856039</v>
      </c>
      <c r="C349" s="67">
        <f t="shared" si="22"/>
        <v>50000000</v>
      </c>
      <c r="D349" s="13">
        <v>46513</v>
      </c>
      <c r="E349" s="64">
        <v>46566</v>
      </c>
      <c r="F349" s="40">
        <f t="shared" si="23"/>
        <v>46568</v>
      </c>
      <c r="G349" s="27"/>
      <c r="L349" s="65"/>
    </row>
    <row r="350" spans="1:12" ht="15.75" customHeight="1" x14ac:dyDescent="0.25">
      <c r="A350" t="str">
        <f t="shared" si="20"/>
        <v>MARISQUERIA SANTA RITA SRL</v>
      </c>
      <c r="B350">
        <f t="shared" si="21"/>
        <v>5000</v>
      </c>
      <c r="C350" s="67">
        <f t="shared" si="22"/>
        <v>808400</v>
      </c>
      <c r="D350" s="13">
        <v>46514</v>
      </c>
      <c r="E350" s="64">
        <v>46567</v>
      </c>
      <c r="F350" s="40">
        <f t="shared" si="23"/>
        <v>46569</v>
      </c>
      <c r="G350" s="27"/>
      <c r="L350" s="65"/>
    </row>
    <row r="351" spans="1:12" ht="15.75" customHeight="1" x14ac:dyDescent="0.25">
      <c r="A351" t="str">
        <f t="shared" si="20"/>
        <v>LACAR FISH SA</v>
      </c>
      <c r="B351">
        <f t="shared" si="21"/>
        <v>78056239</v>
      </c>
      <c r="C351" s="67">
        <f t="shared" si="22"/>
        <v>1420000</v>
      </c>
      <c r="D351" s="13">
        <v>46515</v>
      </c>
      <c r="E351" s="64">
        <v>46568</v>
      </c>
      <c r="F351" s="40">
        <f t="shared" si="23"/>
        <v>46570</v>
      </c>
      <c r="G351" s="27"/>
      <c r="L351" s="65"/>
    </row>
    <row r="352" spans="1:12" ht="15.75" customHeight="1" x14ac:dyDescent="0.25">
      <c r="A352" t="str">
        <f t="shared" si="20"/>
        <v>LACAR FISH SA</v>
      </c>
      <c r="B352">
        <f t="shared" si="21"/>
        <v>78056248</v>
      </c>
      <c r="C352" s="67">
        <f t="shared" si="22"/>
        <v>932000</v>
      </c>
      <c r="D352" s="13">
        <v>46516</v>
      </c>
      <c r="E352" s="64">
        <v>46569</v>
      </c>
      <c r="F352" s="40">
        <f t="shared" si="23"/>
        <v>46571</v>
      </c>
      <c r="G352" s="27"/>
      <c r="L352" s="65"/>
    </row>
    <row r="353" spans="1:12" ht="15.75" customHeight="1" x14ac:dyDescent="0.25">
      <c r="A353" t="str">
        <f t="shared" si="20"/>
        <v>LUCRINO MARE SA</v>
      </c>
      <c r="B353">
        <f t="shared" si="21"/>
        <v>12924590</v>
      </c>
      <c r="C353" s="67">
        <f t="shared" si="22"/>
        <v>10000000</v>
      </c>
      <c r="D353" s="13">
        <v>46517</v>
      </c>
      <c r="E353" s="64">
        <v>46570</v>
      </c>
      <c r="F353" s="40">
        <f t="shared" si="23"/>
        <v>46572</v>
      </c>
      <c r="G353" s="27"/>
      <c r="L353" s="65"/>
    </row>
    <row r="354" spans="1:12" ht="15.75" customHeight="1" x14ac:dyDescent="0.25">
      <c r="A354" t="str">
        <f t="shared" si="20"/>
        <v>LUCRINO MARE SA</v>
      </c>
      <c r="B354">
        <f t="shared" si="21"/>
        <v>12924591</v>
      </c>
      <c r="C354" s="67">
        <f t="shared" si="22"/>
        <v>10000000</v>
      </c>
      <c r="D354" s="13">
        <v>46518</v>
      </c>
      <c r="E354" s="64">
        <v>46571</v>
      </c>
      <c r="F354" s="40">
        <f t="shared" si="23"/>
        <v>46573</v>
      </c>
      <c r="G354" s="27"/>
      <c r="L354" s="65"/>
    </row>
    <row r="355" spans="1:12" ht="15.75" customHeight="1" x14ac:dyDescent="0.25">
      <c r="A355" t="str">
        <f t="shared" si="20"/>
        <v>LUCRINO MARE SA</v>
      </c>
      <c r="B355">
        <f t="shared" si="21"/>
        <v>12924592</v>
      </c>
      <c r="C355" s="67">
        <f t="shared" si="22"/>
        <v>10000000</v>
      </c>
      <c r="D355" s="13">
        <v>46519</v>
      </c>
      <c r="E355" s="64">
        <v>46572</v>
      </c>
      <c r="F355" s="40">
        <f t="shared" si="23"/>
        <v>46574</v>
      </c>
      <c r="G355" s="27"/>
      <c r="L355" s="65"/>
    </row>
    <row r="356" spans="1:12" ht="15.75" customHeight="1" x14ac:dyDescent="0.25">
      <c r="A356" t="str">
        <f t="shared" si="20"/>
        <v>LUDAPEZ SA</v>
      </c>
      <c r="B356">
        <f t="shared" si="21"/>
        <v>13653631</v>
      </c>
      <c r="C356" s="67">
        <f t="shared" si="22"/>
        <v>3977525</v>
      </c>
      <c r="D356" s="13">
        <v>46520</v>
      </c>
      <c r="E356" s="64">
        <v>46573</v>
      </c>
      <c r="F356" s="40">
        <f t="shared" si="23"/>
        <v>46575</v>
      </c>
      <c r="G356" s="27"/>
      <c r="L356" s="65"/>
    </row>
    <row r="357" spans="1:12" ht="15.75" customHeight="1" x14ac:dyDescent="0.25">
      <c r="A357" t="str">
        <f t="shared" si="20"/>
        <v>LUDAPEZ SA</v>
      </c>
      <c r="B357">
        <f t="shared" si="21"/>
        <v>13653632</v>
      </c>
      <c r="C357" s="67">
        <f t="shared" si="22"/>
        <v>4000000</v>
      </c>
      <c r="D357" s="13">
        <v>46521</v>
      </c>
      <c r="E357" s="64">
        <v>46574</v>
      </c>
      <c r="F357" s="40">
        <f t="shared" si="23"/>
        <v>46576</v>
      </c>
      <c r="G357" s="27"/>
      <c r="L357" s="65"/>
    </row>
    <row r="358" spans="1:12" ht="15.75" customHeight="1" x14ac:dyDescent="0.25">
      <c r="A358" t="str">
        <f t="shared" si="20"/>
        <v>LUDAPEZ SA</v>
      </c>
      <c r="B358">
        <f t="shared" si="21"/>
        <v>13653633</v>
      </c>
      <c r="C358" s="67">
        <f t="shared" si="22"/>
        <v>4000000</v>
      </c>
      <c r="D358" s="13">
        <v>46522</v>
      </c>
      <c r="E358" s="64">
        <v>46575</v>
      </c>
      <c r="F358" s="40">
        <f t="shared" si="23"/>
        <v>46577</v>
      </c>
      <c r="G358" s="27"/>
      <c r="L358" s="65"/>
    </row>
    <row r="359" spans="1:12" ht="15.75" customHeight="1" x14ac:dyDescent="0.25">
      <c r="A359" t="str">
        <f t="shared" si="20"/>
        <v>LACAR FISH SA</v>
      </c>
      <c r="B359">
        <f t="shared" si="21"/>
        <v>78056256</v>
      </c>
      <c r="C359" s="67">
        <f t="shared" si="22"/>
        <v>1380000</v>
      </c>
      <c r="D359" s="13">
        <v>46523</v>
      </c>
      <c r="E359" s="64">
        <v>46576</v>
      </c>
      <c r="F359" s="40">
        <f t="shared" si="23"/>
        <v>46578</v>
      </c>
      <c r="G359" s="27"/>
      <c r="L359" s="65"/>
    </row>
    <row r="360" spans="1:12" ht="15.75" customHeight="1" x14ac:dyDescent="0.25">
      <c r="A360" t="str">
        <f t="shared" si="20"/>
        <v>LUDAPEZ SA</v>
      </c>
      <c r="B360">
        <f t="shared" si="21"/>
        <v>13653746</v>
      </c>
      <c r="C360" s="67">
        <f t="shared" si="22"/>
        <v>5100000</v>
      </c>
      <c r="D360" s="13">
        <v>46524</v>
      </c>
      <c r="E360" s="64">
        <v>46577</v>
      </c>
      <c r="F360" s="40">
        <f t="shared" si="23"/>
        <v>46579</v>
      </c>
      <c r="G360" s="27"/>
      <c r="L360" s="65"/>
    </row>
    <row r="361" spans="1:12" ht="15.75" customHeight="1" x14ac:dyDescent="0.25">
      <c r="A361" t="str">
        <f t="shared" si="20"/>
        <v>LUDAPEZ SA</v>
      </c>
      <c r="B361">
        <f t="shared" si="21"/>
        <v>13653747</v>
      </c>
      <c r="C361" s="67">
        <f t="shared" si="22"/>
        <v>5100000</v>
      </c>
      <c r="D361" s="13">
        <v>46525</v>
      </c>
      <c r="E361" s="64">
        <v>46578</v>
      </c>
      <c r="F361" s="40">
        <f t="shared" si="23"/>
        <v>46580</v>
      </c>
      <c r="G361" s="27"/>
      <c r="L361" s="65"/>
    </row>
    <row r="362" spans="1:12" ht="15.75" customHeight="1" x14ac:dyDescent="0.25">
      <c r="A362" t="str">
        <f t="shared" si="20"/>
        <v>LUDAPEZ SA</v>
      </c>
      <c r="B362">
        <f t="shared" si="21"/>
        <v>13653748</v>
      </c>
      <c r="C362" s="67">
        <f t="shared" si="22"/>
        <v>5100000</v>
      </c>
      <c r="D362" s="13">
        <v>46526</v>
      </c>
      <c r="E362" s="64">
        <v>46579</v>
      </c>
      <c r="F362" s="40">
        <f t="shared" si="23"/>
        <v>46581</v>
      </c>
      <c r="G362" s="27"/>
      <c r="L362" s="65"/>
    </row>
    <row r="363" spans="1:12" ht="15.75" customHeight="1" x14ac:dyDescent="0.25">
      <c r="A363" t="str">
        <f t="shared" si="20"/>
        <v>MARISQUERIA SANTA RITA SRL</v>
      </c>
      <c r="B363">
        <f t="shared" si="21"/>
        <v>5075</v>
      </c>
      <c r="C363" s="67">
        <f t="shared" si="22"/>
        <v>1300000</v>
      </c>
      <c r="D363" s="13">
        <v>46527</v>
      </c>
      <c r="E363" s="64">
        <v>46580</v>
      </c>
      <c r="F363" s="40">
        <f t="shared" si="23"/>
        <v>46582</v>
      </c>
      <c r="G363" s="27"/>
      <c r="L363" s="65"/>
    </row>
    <row r="364" spans="1:12" ht="15.75" customHeight="1" x14ac:dyDescent="0.25">
      <c r="A364" t="str">
        <f t="shared" si="20"/>
        <v>COOPERATIVA  DE TRABAJO DOÑA FRANCISCA LTDA</v>
      </c>
      <c r="B364">
        <f t="shared" si="21"/>
        <v>765</v>
      </c>
      <c r="C364" s="67">
        <f t="shared" si="22"/>
        <v>2705140</v>
      </c>
      <c r="D364" s="13">
        <v>46528</v>
      </c>
      <c r="E364" s="64">
        <v>46581</v>
      </c>
      <c r="F364" s="40">
        <f t="shared" si="23"/>
        <v>46583</v>
      </c>
      <c r="G364" s="27"/>
      <c r="L364" s="65"/>
    </row>
    <row r="365" spans="1:12" ht="15.75" customHeight="1" x14ac:dyDescent="0.25">
      <c r="A365" t="str">
        <f t="shared" si="20"/>
        <v>COOPERATIVA  DE TRABAJO DOÑA FRANCISCA LTDA</v>
      </c>
      <c r="B365">
        <f t="shared" si="21"/>
        <v>766</v>
      </c>
      <c r="C365" s="67">
        <f t="shared" si="22"/>
        <v>5000000</v>
      </c>
      <c r="D365" s="13">
        <v>46529</v>
      </c>
      <c r="E365" s="64">
        <v>46582</v>
      </c>
      <c r="F365" s="40">
        <f t="shared" si="23"/>
        <v>46584</v>
      </c>
      <c r="G365" s="27"/>
      <c r="L365" s="65"/>
    </row>
    <row r="366" spans="1:12" ht="15.75" customHeight="1" x14ac:dyDescent="0.25">
      <c r="A366" t="str">
        <f t="shared" si="20"/>
        <v>COOPERATIVA  DE TRABAJO DOÑA FRANCISCA LTDA</v>
      </c>
      <c r="B366">
        <f t="shared" si="21"/>
        <v>767</v>
      </c>
      <c r="C366" s="67">
        <f t="shared" si="22"/>
        <v>5000000</v>
      </c>
      <c r="D366" s="13">
        <v>46530</v>
      </c>
      <c r="E366" s="64">
        <v>46583</v>
      </c>
      <c r="F366" s="40">
        <f t="shared" si="23"/>
        <v>46585</v>
      </c>
      <c r="G366" s="27"/>
      <c r="L366" s="65"/>
    </row>
    <row r="367" spans="1:12" ht="15.75" customHeight="1" x14ac:dyDescent="0.25">
      <c r="A367" t="str">
        <f t="shared" si="20"/>
        <v>COOPERATIVA  DE TRABAJO DOÑA FRANCISCA LTDA</v>
      </c>
      <c r="B367">
        <f t="shared" si="21"/>
        <v>768</v>
      </c>
      <c r="C367" s="67">
        <f t="shared" si="22"/>
        <v>5000000</v>
      </c>
      <c r="D367" s="13">
        <v>46531</v>
      </c>
      <c r="E367" s="64">
        <v>46584</v>
      </c>
      <c r="F367" s="40">
        <f t="shared" si="23"/>
        <v>46586</v>
      </c>
      <c r="G367" s="27"/>
      <c r="L367" s="65"/>
    </row>
    <row r="368" spans="1:12" ht="15.75" customHeight="1" x14ac:dyDescent="0.25">
      <c r="A368" t="str">
        <f t="shared" si="20"/>
        <v>COOPERATIVA  DE TRABAJO DOÑA FRANCISCA LTDA</v>
      </c>
      <c r="B368">
        <f t="shared" si="21"/>
        <v>769</v>
      </c>
      <c r="C368" s="67">
        <f t="shared" si="22"/>
        <v>5000000</v>
      </c>
      <c r="D368" s="13">
        <v>46532</v>
      </c>
      <c r="E368" s="64">
        <v>46585</v>
      </c>
      <c r="F368" s="40">
        <f t="shared" si="23"/>
        <v>46587</v>
      </c>
      <c r="G368" s="27"/>
      <c r="L368" s="65"/>
    </row>
    <row r="369" spans="1:12" ht="15.75" customHeight="1" x14ac:dyDescent="0.25">
      <c r="A369" t="str">
        <f t="shared" si="20"/>
        <v>COOPERATIVA  DE TRABAJO DOÑA FRANCISCA LTDA</v>
      </c>
      <c r="B369">
        <f t="shared" si="21"/>
        <v>770</v>
      </c>
      <c r="C369" s="67">
        <f t="shared" si="22"/>
        <v>5000000</v>
      </c>
      <c r="D369" s="13">
        <v>46533</v>
      </c>
      <c r="E369" s="64">
        <v>46586</v>
      </c>
      <c r="F369" s="40">
        <f t="shared" si="23"/>
        <v>46588</v>
      </c>
      <c r="G369" s="27"/>
      <c r="L369" s="65"/>
    </row>
    <row r="370" spans="1:12" ht="15.75" customHeight="1" x14ac:dyDescent="0.25">
      <c r="A370" t="str">
        <f t="shared" si="20"/>
        <v>COOPERATIVA  DE TRABAJO DOÑA FRANCISCA LTDA</v>
      </c>
      <c r="B370">
        <f t="shared" si="21"/>
        <v>771</v>
      </c>
      <c r="C370" s="67">
        <f t="shared" si="22"/>
        <v>5000000</v>
      </c>
      <c r="D370" s="13">
        <v>46534</v>
      </c>
      <c r="E370" s="64">
        <v>46587</v>
      </c>
      <c r="F370" s="40">
        <f t="shared" si="23"/>
        <v>46589</v>
      </c>
      <c r="G370" s="27"/>
      <c r="L370" s="65"/>
    </row>
    <row r="371" spans="1:12" ht="15.75" customHeight="1" x14ac:dyDescent="0.25">
      <c r="A371" t="str">
        <f t="shared" si="20"/>
        <v>COOPERATIVA  DE TRABAJO DOÑA FRANCISCA LTDA</v>
      </c>
      <c r="B371">
        <f t="shared" si="21"/>
        <v>772</v>
      </c>
      <c r="C371" s="67">
        <f t="shared" si="22"/>
        <v>5000000</v>
      </c>
      <c r="D371" s="13">
        <v>46535</v>
      </c>
      <c r="E371" s="64">
        <v>46588</v>
      </c>
      <c r="F371" s="40">
        <f t="shared" si="23"/>
        <v>46590</v>
      </c>
      <c r="G371" s="27"/>
      <c r="L371" s="65"/>
    </row>
    <row r="372" spans="1:12" ht="15.75" customHeight="1" x14ac:dyDescent="0.25">
      <c r="A372" t="str">
        <f t="shared" si="20"/>
        <v>LUMELL SA</v>
      </c>
      <c r="B372">
        <f t="shared" si="21"/>
        <v>176</v>
      </c>
      <c r="C372" s="67">
        <f t="shared" si="22"/>
        <v>3000040</v>
      </c>
      <c r="D372" s="13">
        <v>46536</v>
      </c>
      <c r="E372" s="64">
        <v>46589</v>
      </c>
      <c r="F372" s="40">
        <f t="shared" si="23"/>
        <v>46591</v>
      </c>
      <c r="G372" s="27"/>
      <c r="L372" s="65"/>
    </row>
    <row r="373" spans="1:12" ht="15.75" customHeight="1" x14ac:dyDescent="0.25">
      <c r="A373" t="str">
        <f t="shared" si="20"/>
        <v>LUMELL SA</v>
      </c>
      <c r="B373">
        <f t="shared" si="21"/>
        <v>177</v>
      </c>
      <c r="C373" s="67">
        <f t="shared" si="22"/>
        <v>3000600</v>
      </c>
      <c r="D373" s="13">
        <v>46537</v>
      </c>
      <c r="E373" s="64">
        <v>46590</v>
      </c>
      <c r="F373" s="40">
        <f t="shared" si="23"/>
        <v>46592</v>
      </c>
      <c r="G373" s="27"/>
      <c r="L373" s="65"/>
    </row>
    <row r="374" spans="1:12" ht="15.75" customHeight="1" x14ac:dyDescent="0.25">
      <c r="A374" t="str">
        <f t="shared" si="20"/>
        <v>LUMELL SA</v>
      </c>
      <c r="B374">
        <f t="shared" si="21"/>
        <v>178</v>
      </c>
      <c r="C374" s="67">
        <f t="shared" si="22"/>
        <v>3099000</v>
      </c>
      <c r="D374" s="13">
        <v>46538</v>
      </c>
      <c r="E374" s="64">
        <v>46591</v>
      </c>
      <c r="F374" s="40">
        <f t="shared" si="23"/>
        <v>46593</v>
      </c>
      <c r="G374" s="27"/>
      <c r="L374" s="65"/>
    </row>
    <row r="375" spans="1:12" ht="15.75" customHeight="1" x14ac:dyDescent="0.25">
      <c r="A375" t="str">
        <f t="shared" si="20"/>
        <v>LUMELL SA</v>
      </c>
      <c r="B375">
        <f t="shared" si="21"/>
        <v>179</v>
      </c>
      <c r="C375" s="67">
        <f t="shared" si="22"/>
        <v>2600000</v>
      </c>
      <c r="D375" s="13">
        <v>46539</v>
      </c>
      <c r="E375" s="64">
        <v>46592</v>
      </c>
      <c r="F375" s="40">
        <f t="shared" si="23"/>
        <v>46594</v>
      </c>
      <c r="G375" s="27"/>
      <c r="L375" s="65"/>
    </row>
    <row r="376" spans="1:12" ht="15.75" customHeight="1" x14ac:dyDescent="0.25">
      <c r="A376" t="str">
        <f t="shared" si="20"/>
        <v>NATUSUR SA</v>
      </c>
      <c r="B376">
        <f t="shared" si="21"/>
        <v>6856040</v>
      </c>
      <c r="C376" s="67">
        <f t="shared" si="22"/>
        <v>60000000</v>
      </c>
      <c r="D376" s="13">
        <v>46540</v>
      </c>
      <c r="E376" s="64">
        <v>46593</v>
      </c>
      <c r="F376" s="40">
        <f t="shared" si="23"/>
        <v>46595</v>
      </c>
      <c r="G376" s="27"/>
      <c r="L376" s="65"/>
    </row>
    <row r="377" spans="1:12" ht="15.75" customHeight="1" x14ac:dyDescent="0.25">
      <c r="A377" t="str">
        <f t="shared" si="20"/>
        <v>NATUSUR SA</v>
      </c>
      <c r="B377">
        <f t="shared" si="21"/>
        <v>6856041</v>
      </c>
      <c r="C377" s="67">
        <f t="shared" si="22"/>
        <v>70000000</v>
      </c>
      <c r="D377" s="13">
        <v>46541</v>
      </c>
      <c r="E377" s="64">
        <v>46594</v>
      </c>
      <c r="F377" s="40">
        <f t="shared" si="23"/>
        <v>46596</v>
      </c>
      <c r="G377" s="27"/>
      <c r="L377" s="65"/>
    </row>
    <row r="378" spans="1:12" ht="15.75" customHeight="1" x14ac:dyDescent="0.25">
      <c r="A378" t="str">
        <f t="shared" si="20"/>
        <v>NATUSUR SA</v>
      </c>
      <c r="B378">
        <f t="shared" si="21"/>
        <v>6856042</v>
      </c>
      <c r="C378" s="67">
        <f t="shared" si="22"/>
        <v>27482442</v>
      </c>
      <c r="D378" s="13">
        <v>46542</v>
      </c>
      <c r="E378" s="64">
        <v>46595</v>
      </c>
      <c r="F378" s="40">
        <f t="shared" si="23"/>
        <v>46597</v>
      </c>
      <c r="G378" s="27"/>
      <c r="L378" s="65"/>
    </row>
    <row r="379" spans="1:12" ht="15.75" customHeight="1" x14ac:dyDescent="0.25">
      <c r="A379" t="str">
        <f t="shared" si="20"/>
        <v>FRIO SUR SRL</v>
      </c>
      <c r="B379">
        <f t="shared" si="21"/>
        <v>29507827</v>
      </c>
      <c r="C379" s="67">
        <f t="shared" si="22"/>
        <v>5468580.4400000004</v>
      </c>
      <c r="D379" s="13">
        <v>46543</v>
      </c>
      <c r="E379" s="64">
        <v>46596</v>
      </c>
      <c r="F379" s="40">
        <f t="shared" si="23"/>
        <v>46598</v>
      </c>
      <c r="G379" s="27"/>
      <c r="L379" s="65"/>
    </row>
    <row r="380" spans="1:12" ht="15.75" customHeight="1" x14ac:dyDescent="0.25">
      <c r="A380" t="str">
        <f t="shared" si="20"/>
        <v>FRIO SUR SRL</v>
      </c>
      <c r="B380">
        <f t="shared" si="21"/>
        <v>28279</v>
      </c>
      <c r="C380" s="67">
        <f t="shared" si="22"/>
        <v>3396557.08</v>
      </c>
      <c r="D380" s="13">
        <v>46544</v>
      </c>
      <c r="E380" s="64">
        <v>46597</v>
      </c>
      <c r="F380" s="40">
        <f t="shared" si="23"/>
        <v>46599</v>
      </c>
      <c r="G380" s="27"/>
      <c r="L380" s="65"/>
    </row>
    <row r="381" spans="1:12" ht="15.75" customHeight="1" x14ac:dyDescent="0.25">
      <c r="A381" t="str">
        <f t="shared" si="20"/>
        <v>FRIO SUR SRL</v>
      </c>
      <c r="B381">
        <f t="shared" si="21"/>
        <v>28273</v>
      </c>
      <c r="C381" s="67">
        <f t="shared" si="22"/>
        <v>3396557.08</v>
      </c>
      <c r="D381" s="13">
        <v>46545</v>
      </c>
      <c r="E381" s="64">
        <v>46598</v>
      </c>
      <c r="F381" s="40">
        <f t="shared" si="23"/>
        <v>46600</v>
      </c>
      <c r="G381" s="27"/>
      <c r="L381" s="65"/>
    </row>
    <row r="382" spans="1:12" ht="15.75" customHeight="1" x14ac:dyDescent="0.25">
      <c r="A382" t="str">
        <f t="shared" si="20"/>
        <v>FRIO SUR SRL</v>
      </c>
      <c r="B382">
        <f t="shared" si="21"/>
        <v>90000193</v>
      </c>
      <c r="C382" s="67">
        <f t="shared" si="22"/>
        <v>3000000</v>
      </c>
      <c r="D382" s="13">
        <v>46546</v>
      </c>
      <c r="E382" s="64">
        <v>46599</v>
      </c>
      <c r="F382" s="40">
        <f t="shared" si="23"/>
        <v>46601</v>
      </c>
      <c r="G382" s="27"/>
      <c r="L382" s="65"/>
    </row>
    <row r="383" spans="1:12" ht="15.75" customHeight="1" x14ac:dyDescent="0.25">
      <c r="A383" t="str">
        <f t="shared" si="20"/>
        <v>FRIO SUR SRL</v>
      </c>
      <c r="B383">
        <f t="shared" si="21"/>
        <v>28275</v>
      </c>
      <c r="C383" s="67">
        <f t="shared" si="22"/>
        <v>3396557.08</v>
      </c>
      <c r="D383" s="13">
        <v>46547</v>
      </c>
      <c r="E383" s="64">
        <v>46600</v>
      </c>
      <c r="F383" s="40">
        <f t="shared" si="23"/>
        <v>46602</v>
      </c>
      <c r="G383" s="27"/>
      <c r="L383" s="65"/>
    </row>
    <row r="384" spans="1:12" ht="15.75" customHeight="1" x14ac:dyDescent="0.25">
      <c r="A384" t="str">
        <f t="shared" si="20"/>
        <v>FRIO SUR SRL</v>
      </c>
      <c r="B384">
        <f t="shared" si="21"/>
        <v>28274</v>
      </c>
      <c r="C384" s="67">
        <f t="shared" si="22"/>
        <v>3396557.08</v>
      </c>
      <c r="D384" s="13">
        <v>46548</v>
      </c>
      <c r="E384" s="64">
        <v>46601</v>
      </c>
      <c r="F384" s="40">
        <f t="shared" si="23"/>
        <v>46603</v>
      </c>
      <c r="G384" s="27"/>
      <c r="L384" s="65"/>
    </row>
    <row r="385" spans="1:12" ht="15.75" customHeight="1" x14ac:dyDescent="0.25">
      <c r="A385" t="str">
        <f t="shared" si="20"/>
        <v>FRIO SUR SRL</v>
      </c>
      <c r="B385">
        <f t="shared" si="21"/>
        <v>28278</v>
      </c>
      <c r="C385" s="67">
        <f t="shared" si="22"/>
        <v>3396557.08</v>
      </c>
      <c r="D385" s="13">
        <v>46549</v>
      </c>
      <c r="E385" s="64">
        <v>46602</v>
      </c>
      <c r="F385" s="40">
        <f t="shared" si="23"/>
        <v>46604</v>
      </c>
      <c r="G385" s="27"/>
      <c r="L385" s="65"/>
    </row>
    <row r="386" spans="1:12" ht="15.75" customHeight="1" x14ac:dyDescent="0.25">
      <c r="A386" t="str">
        <f t="shared" si="20"/>
        <v>FRIO SUR SRL</v>
      </c>
      <c r="B386">
        <f t="shared" si="21"/>
        <v>28277</v>
      </c>
      <c r="C386" s="67">
        <f t="shared" si="22"/>
        <v>3396557.08</v>
      </c>
      <c r="D386" s="13">
        <v>46550</v>
      </c>
      <c r="E386" s="64">
        <v>46603</v>
      </c>
      <c r="F386" s="40">
        <f t="shared" si="23"/>
        <v>46605</v>
      </c>
      <c r="G386" s="27"/>
      <c r="L386" s="65"/>
    </row>
    <row r="387" spans="1:12" ht="15.75" customHeight="1" x14ac:dyDescent="0.25">
      <c r="A387" t="str">
        <f t="shared" si="20"/>
        <v>FRIO SUR SRL</v>
      </c>
      <c r="B387">
        <f t="shared" si="21"/>
        <v>28276</v>
      </c>
      <c r="C387" s="67">
        <f t="shared" si="22"/>
        <v>3396557.08</v>
      </c>
      <c r="D387" s="13">
        <v>46551</v>
      </c>
      <c r="E387" s="64">
        <v>46604</v>
      </c>
      <c r="F387" s="40">
        <f t="shared" si="23"/>
        <v>46606</v>
      </c>
      <c r="G387" s="27"/>
      <c r="L387" s="65"/>
    </row>
    <row r="388" spans="1:12" ht="15.75" customHeight="1" x14ac:dyDescent="0.25">
      <c r="A388" t="str">
        <f t="shared" si="20"/>
        <v>ALIMENPES SA</v>
      </c>
      <c r="B388">
        <f t="shared" si="21"/>
        <v>764</v>
      </c>
      <c r="C388" s="67">
        <f t="shared" si="22"/>
        <v>9000000</v>
      </c>
      <c r="D388" s="13">
        <v>46552</v>
      </c>
      <c r="E388" s="64">
        <v>46605</v>
      </c>
      <c r="F388" s="40">
        <f t="shared" si="23"/>
        <v>46607</v>
      </c>
      <c r="G388" s="27"/>
      <c r="L388" s="65"/>
    </row>
    <row r="389" spans="1:12" ht="15.75" customHeight="1" x14ac:dyDescent="0.25">
      <c r="A389" t="str">
        <f t="shared" ref="A389:A452" si="24">+I856</f>
        <v>SAORI SA</v>
      </c>
      <c r="B389">
        <f t="shared" ref="B389:B452" si="25">+E856</f>
        <v>67321404</v>
      </c>
      <c r="C389" s="67">
        <f t="shared" ref="C389:C452" si="26">+H856</f>
        <v>4322000</v>
      </c>
      <c r="D389" s="13">
        <v>46553</v>
      </c>
      <c r="E389" s="64">
        <v>46606</v>
      </c>
      <c r="F389" s="40">
        <f t="shared" ref="F389:F452" si="27">+E389+2</f>
        <v>46608</v>
      </c>
      <c r="G389" s="27"/>
      <c r="L389" s="65"/>
    </row>
    <row r="390" spans="1:12" ht="15.75" customHeight="1" x14ac:dyDescent="0.25">
      <c r="A390" t="str">
        <f t="shared" si="24"/>
        <v>SAORI SA</v>
      </c>
      <c r="B390">
        <f t="shared" si="25"/>
        <v>67321564</v>
      </c>
      <c r="C390" s="67">
        <f t="shared" si="26"/>
        <v>5000000</v>
      </c>
      <c r="D390" s="13">
        <v>46554</v>
      </c>
      <c r="E390" s="64">
        <v>46607</v>
      </c>
      <c r="F390" s="40">
        <f t="shared" si="27"/>
        <v>46609</v>
      </c>
      <c r="G390" s="27"/>
      <c r="L390" s="65"/>
    </row>
    <row r="391" spans="1:12" ht="15.75" customHeight="1" x14ac:dyDescent="0.25">
      <c r="A391" t="str">
        <f t="shared" si="24"/>
        <v>LACAR FISH SA</v>
      </c>
      <c r="B391">
        <f t="shared" si="25"/>
        <v>78056240</v>
      </c>
      <c r="C391" s="67">
        <f t="shared" si="26"/>
        <v>1420000</v>
      </c>
      <c r="D391" s="13">
        <v>46555</v>
      </c>
      <c r="E391" s="64">
        <v>46608</v>
      </c>
      <c r="F391" s="40">
        <f t="shared" si="27"/>
        <v>46610</v>
      </c>
      <c r="G391" s="27"/>
      <c r="L391" s="65"/>
    </row>
    <row r="392" spans="1:12" ht="15.75" customHeight="1" x14ac:dyDescent="0.25">
      <c r="A392" t="str">
        <f t="shared" si="24"/>
        <v>LACAR FISH SA</v>
      </c>
      <c r="B392">
        <f t="shared" si="25"/>
        <v>78056249</v>
      </c>
      <c r="C392" s="67">
        <f t="shared" si="26"/>
        <v>932000</v>
      </c>
      <c r="D392" s="13">
        <v>46556</v>
      </c>
      <c r="E392" s="64">
        <v>46609</v>
      </c>
      <c r="F392" s="40">
        <f t="shared" si="27"/>
        <v>46611</v>
      </c>
      <c r="G392" s="27"/>
      <c r="L392" s="65"/>
    </row>
    <row r="393" spans="1:12" ht="15.75" customHeight="1" x14ac:dyDescent="0.25">
      <c r="A393" t="str">
        <f t="shared" si="24"/>
        <v>LUCRINO MARE SA</v>
      </c>
      <c r="B393">
        <f t="shared" si="25"/>
        <v>12924593</v>
      </c>
      <c r="C393" s="67">
        <f t="shared" si="26"/>
        <v>10000000</v>
      </c>
      <c r="D393" s="13">
        <v>46557</v>
      </c>
      <c r="E393" s="64">
        <v>46610</v>
      </c>
      <c r="F393" s="40">
        <f t="shared" si="27"/>
        <v>46612</v>
      </c>
      <c r="G393" s="27"/>
      <c r="L393" s="65"/>
    </row>
    <row r="394" spans="1:12" ht="15.75" customHeight="1" x14ac:dyDescent="0.25">
      <c r="A394" t="str">
        <f t="shared" si="24"/>
        <v>LUDAPEZ SA</v>
      </c>
      <c r="B394">
        <f t="shared" si="25"/>
        <v>13653634</v>
      </c>
      <c r="C394" s="67">
        <f t="shared" si="26"/>
        <v>4000000</v>
      </c>
      <c r="D394" s="13">
        <v>46558</v>
      </c>
      <c r="E394" s="64">
        <v>46611</v>
      </c>
      <c r="F394" s="40">
        <f t="shared" si="27"/>
        <v>46613</v>
      </c>
      <c r="G394" s="27"/>
      <c r="L394" s="65"/>
    </row>
    <row r="395" spans="1:12" ht="15.75" customHeight="1" x14ac:dyDescent="0.25">
      <c r="A395" t="str">
        <f t="shared" si="24"/>
        <v>LACAR FISH SA</v>
      </c>
      <c r="B395">
        <f t="shared" si="25"/>
        <v>78056257</v>
      </c>
      <c r="C395" s="67">
        <f t="shared" si="26"/>
        <v>1380000</v>
      </c>
      <c r="D395" s="13">
        <v>46559</v>
      </c>
      <c r="E395" s="64">
        <v>46612</v>
      </c>
      <c r="F395" s="40">
        <f t="shared" si="27"/>
        <v>46614</v>
      </c>
      <c r="G395" s="27"/>
      <c r="L395" s="65"/>
    </row>
    <row r="396" spans="1:12" ht="15.75" customHeight="1" x14ac:dyDescent="0.25">
      <c r="A396" t="str">
        <f t="shared" si="24"/>
        <v>LUDAPEZ SA</v>
      </c>
      <c r="B396">
        <f t="shared" si="25"/>
        <v>13653749</v>
      </c>
      <c r="C396" s="67">
        <f t="shared" si="26"/>
        <v>5100000</v>
      </c>
      <c r="D396" s="13">
        <v>46560</v>
      </c>
      <c r="E396" s="64">
        <v>46613</v>
      </c>
      <c r="F396" s="40">
        <f t="shared" si="27"/>
        <v>46615</v>
      </c>
      <c r="G396" s="27"/>
      <c r="L396" s="65"/>
    </row>
    <row r="397" spans="1:12" ht="15.75" customHeight="1" x14ac:dyDescent="0.25">
      <c r="A397" t="str">
        <f t="shared" si="24"/>
        <v>MARISQUERIA SANTA RITA SRL</v>
      </c>
      <c r="B397">
        <f t="shared" si="25"/>
        <v>5076</v>
      </c>
      <c r="C397" s="67">
        <f t="shared" si="26"/>
        <v>1300000</v>
      </c>
      <c r="D397" s="13">
        <v>46561</v>
      </c>
      <c r="E397" s="64">
        <v>46614</v>
      </c>
      <c r="F397" s="40">
        <f t="shared" si="27"/>
        <v>46616</v>
      </c>
      <c r="G397" s="27"/>
      <c r="L397" s="65"/>
    </row>
    <row r="398" spans="1:12" ht="15.75" customHeight="1" x14ac:dyDescent="0.25">
      <c r="A398" t="str">
        <f t="shared" si="24"/>
        <v>FRIO SUR SRL</v>
      </c>
      <c r="B398">
        <f t="shared" si="25"/>
        <v>1542</v>
      </c>
      <c r="C398" s="67">
        <f t="shared" si="26"/>
        <v>18000000</v>
      </c>
      <c r="D398" s="13">
        <v>46562</v>
      </c>
      <c r="E398" s="64">
        <v>46615</v>
      </c>
      <c r="F398" s="40">
        <f t="shared" si="27"/>
        <v>46617</v>
      </c>
      <c r="G398" s="27"/>
      <c r="L398" s="65"/>
    </row>
    <row r="399" spans="1:12" ht="15.75" customHeight="1" x14ac:dyDescent="0.25">
      <c r="A399" t="str">
        <f t="shared" si="24"/>
        <v>SAORI SA</v>
      </c>
      <c r="B399">
        <f t="shared" si="25"/>
        <v>67321085</v>
      </c>
      <c r="C399" s="67">
        <f t="shared" si="26"/>
        <v>5000000</v>
      </c>
      <c r="D399" s="13">
        <v>46563</v>
      </c>
      <c r="E399" s="64">
        <v>46616</v>
      </c>
      <c r="F399" s="40">
        <f t="shared" si="27"/>
        <v>46618</v>
      </c>
      <c r="G399" s="27"/>
      <c r="L399" s="65"/>
    </row>
    <row r="400" spans="1:12" ht="15.75" customHeight="1" x14ac:dyDescent="0.25">
      <c r="A400" t="str">
        <f t="shared" si="24"/>
        <v>LACAR FISH SA</v>
      </c>
      <c r="B400">
        <f t="shared" si="25"/>
        <v>78056241</v>
      </c>
      <c r="C400" s="67">
        <f t="shared" si="26"/>
        <v>1401007.5</v>
      </c>
      <c r="D400" s="13">
        <v>46564</v>
      </c>
      <c r="E400" s="64">
        <v>46617</v>
      </c>
      <c r="F400" s="40">
        <f t="shared" si="27"/>
        <v>46619</v>
      </c>
      <c r="G400" s="27"/>
      <c r="L400" s="65"/>
    </row>
    <row r="401" spans="1:12" ht="15.75" customHeight="1" x14ac:dyDescent="0.25">
      <c r="A401" t="str">
        <f t="shared" si="24"/>
        <v>LACAR FISH SA</v>
      </c>
      <c r="B401">
        <f t="shared" si="25"/>
        <v>78056250</v>
      </c>
      <c r="C401" s="67">
        <f t="shared" si="26"/>
        <v>932000</v>
      </c>
      <c r="D401" s="13">
        <v>46565</v>
      </c>
      <c r="E401" s="64">
        <v>46618</v>
      </c>
      <c r="F401" s="40">
        <f t="shared" si="27"/>
        <v>46620</v>
      </c>
      <c r="G401" s="27"/>
      <c r="L401" s="65"/>
    </row>
    <row r="402" spans="1:12" ht="15.75" customHeight="1" x14ac:dyDescent="0.25">
      <c r="A402" t="str">
        <f t="shared" si="24"/>
        <v>LUCRINO MARE SA</v>
      </c>
      <c r="B402">
        <f t="shared" si="25"/>
        <v>12924594</v>
      </c>
      <c r="C402" s="67">
        <f t="shared" si="26"/>
        <v>10162480</v>
      </c>
      <c r="D402" s="13">
        <v>46566</v>
      </c>
      <c r="E402" s="64">
        <v>46619</v>
      </c>
      <c r="F402" s="40">
        <f t="shared" si="27"/>
        <v>46621</v>
      </c>
      <c r="G402" s="27"/>
      <c r="L402" s="65"/>
    </row>
    <row r="403" spans="1:12" ht="15.75" customHeight="1" x14ac:dyDescent="0.25">
      <c r="A403" t="str">
        <f t="shared" si="24"/>
        <v>LUCRINO MARE SA</v>
      </c>
      <c r="B403">
        <f t="shared" si="25"/>
        <v>12924595</v>
      </c>
      <c r="C403" s="67">
        <f t="shared" si="26"/>
        <v>10000000</v>
      </c>
      <c r="D403" s="13">
        <v>46567</v>
      </c>
      <c r="E403" s="64">
        <v>46620</v>
      </c>
      <c r="F403" s="40">
        <f t="shared" si="27"/>
        <v>46622</v>
      </c>
      <c r="G403" s="27"/>
      <c r="L403" s="65"/>
    </row>
    <row r="404" spans="1:12" ht="15.75" customHeight="1" x14ac:dyDescent="0.25">
      <c r="A404" t="str">
        <f t="shared" si="24"/>
        <v>LUDAPEZ SA</v>
      </c>
      <c r="B404">
        <f t="shared" si="25"/>
        <v>13653635</v>
      </c>
      <c r="C404" s="67">
        <f t="shared" si="26"/>
        <v>4000000</v>
      </c>
      <c r="D404" s="13">
        <v>46568</v>
      </c>
      <c r="E404" s="64">
        <v>46621</v>
      </c>
      <c r="F404" s="40">
        <f t="shared" si="27"/>
        <v>46623</v>
      </c>
      <c r="G404" s="27"/>
      <c r="L404" s="65"/>
    </row>
    <row r="405" spans="1:12" ht="15.75" customHeight="1" x14ac:dyDescent="0.25">
      <c r="A405" t="str">
        <f t="shared" si="24"/>
        <v>LACAR FISH SA</v>
      </c>
      <c r="B405">
        <f t="shared" si="25"/>
        <v>78056258</v>
      </c>
      <c r="C405" s="67">
        <f t="shared" si="26"/>
        <v>1380000</v>
      </c>
      <c r="D405" s="13">
        <v>46569</v>
      </c>
      <c r="E405" s="64">
        <v>46622</v>
      </c>
      <c r="F405" s="40">
        <f t="shared" si="27"/>
        <v>46624</v>
      </c>
      <c r="G405" s="27"/>
      <c r="L405" s="65"/>
    </row>
    <row r="406" spans="1:12" ht="15.75" customHeight="1" x14ac:dyDescent="0.25">
      <c r="A406" t="str">
        <f t="shared" si="24"/>
        <v>LUDAPEZ SA</v>
      </c>
      <c r="B406">
        <f t="shared" si="25"/>
        <v>13653750</v>
      </c>
      <c r="C406" s="67">
        <f t="shared" si="26"/>
        <v>5100000</v>
      </c>
      <c r="D406" s="13">
        <v>46570</v>
      </c>
      <c r="E406" s="64">
        <v>46623</v>
      </c>
      <c r="F406" s="40">
        <f t="shared" si="27"/>
        <v>46625</v>
      </c>
      <c r="G406" s="27"/>
      <c r="L406" s="65"/>
    </row>
    <row r="407" spans="1:12" ht="15.75" customHeight="1" x14ac:dyDescent="0.25">
      <c r="A407" t="str">
        <f t="shared" si="24"/>
        <v>MARDI SA</v>
      </c>
      <c r="B407">
        <f t="shared" si="25"/>
        <v>1808</v>
      </c>
      <c r="C407" s="67">
        <f t="shared" si="26"/>
        <v>26725875</v>
      </c>
      <c r="D407" s="13">
        <v>46571</v>
      </c>
      <c r="E407" s="64">
        <v>46624</v>
      </c>
      <c r="F407" s="40">
        <f t="shared" si="27"/>
        <v>46626</v>
      </c>
      <c r="G407" s="27"/>
      <c r="L407" s="65"/>
    </row>
    <row r="408" spans="1:12" ht="15.75" customHeight="1" x14ac:dyDescent="0.25">
      <c r="A408" t="str">
        <f t="shared" si="24"/>
        <v>MARDI SA</v>
      </c>
      <c r="B408">
        <f t="shared" si="25"/>
        <v>1807</v>
      </c>
      <c r="C408" s="67">
        <f t="shared" si="26"/>
        <v>25000000</v>
      </c>
      <c r="D408" s="13">
        <v>46572</v>
      </c>
      <c r="E408" s="64">
        <v>46625</v>
      </c>
      <c r="F408" s="40">
        <f t="shared" si="27"/>
        <v>46627</v>
      </c>
      <c r="G408" s="27"/>
      <c r="L408" s="65"/>
    </row>
    <row r="409" spans="1:12" ht="15.75" customHeight="1" x14ac:dyDescent="0.25">
      <c r="A409" t="str">
        <f t="shared" si="24"/>
        <v>MARDI SA</v>
      </c>
      <c r="B409">
        <f t="shared" si="25"/>
        <v>1806</v>
      </c>
      <c r="C409" s="67">
        <f t="shared" si="26"/>
        <v>30000000</v>
      </c>
      <c r="D409" s="13">
        <v>46573</v>
      </c>
      <c r="E409" s="64">
        <v>46626</v>
      </c>
      <c r="F409" s="40">
        <f t="shared" si="27"/>
        <v>46628</v>
      </c>
      <c r="G409" s="27"/>
      <c r="L409" s="65"/>
    </row>
    <row r="410" spans="1:12" ht="15.75" customHeight="1" x14ac:dyDescent="0.25">
      <c r="A410" t="str">
        <f t="shared" si="24"/>
        <v>MARISQUERIA SANTA RITA SRL</v>
      </c>
      <c r="B410">
        <f t="shared" si="25"/>
        <v>5077</v>
      </c>
      <c r="C410" s="67">
        <f t="shared" si="26"/>
        <v>1300000</v>
      </c>
      <c r="D410" s="13">
        <v>46574</v>
      </c>
      <c r="E410" s="64">
        <v>46627</v>
      </c>
      <c r="F410" s="40">
        <f t="shared" si="27"/>
        <v>46629</v>
      </c>
      <c r="G410" s="27"/>
      <c r="L410" s="65"/>
    </row>
    <row r="411" spans="1:12" ht="15.75" customHeight="1" x14ac:dyDescent="0.25">
      <c r="A411" t="str">
        <f t="shared" si="24"/>
        <v>ALIMENPES SA</v>
      </c>
      <c r="B411">
        <f t="shared" si="25"/>
        <v>9483914</v>
      </c>
      <c r="C411" s="67">
        <f t="shared" si="26"/>
        <v>720420</v>
      </c>
      <c r="D411" s="13">
        <v>46575</v>
      </c>
      <c r="E411" s="64">
        <v>46628</v>
      </c>
      <c r="F411" s="40">
        <f t="shared" si="27"/>
        <v>46630</v>
      </c>
      <c r="G411" s="27"/>
      <c r="L411" s="65"/>
    </row>
    <row r="412" spans="1:12" ht="15.75" customHeight="1" x14ac:dyDescent="0.25">
      <c r="A412" t="str">
        <f t="shared" si="24"/>
        <v>LUDAPEZ SA</v>
      </c>
      <c r="B412">
        <f t="shared" si="25"/>
        <v>13653636</v>
      </c>
      <c r="C412" s="67">
        <f t="shared" si="26"/>
        <v>4000000</v>
      </c>
      <c r="D412" s="13">
        <v>46576</v>
      </c>
      <c r="E412" s="64">
        <v>46629</v>
      </c>
      <c r="F412" s="40">
        <f t="shared" si="27"/>
        <v>46631</v>
      </c>
      <c r="G412" s="27"/>
      <c r="L412" s="65"/>
    </row>
    <row r="413" spans="1:12" ht="15.75" customHeight="1" x14ac:dyDescent="0.25">
      <c r="A413" t="str">
        <f t="shared" si="24"/>
        <v>ALIMENPES SA</v>
      </c>
      <c r="B413">
        <f t="shared" si="25"/>
        <v>6143</v>
      </c>
      <c r="C413" s="67">
        <f t="shared" si="26"/>
        <v>1000000</v>
      </c>
      <c r="D413" s="13">
        <v>46577</v>
      </c>
      <c r="E413" s="64">
        <v>46630</v>
      </c>
      <c r="F413" s="40">
        <f t="shared" si="27"/>
        <v>46632</v>
      </c>
      <c r="G413" s="27"/>
      <c r="L413" s="65"/>
    </row>
    <row r="414" spans="1:12" ht="15.75" customHeight="1" x14ac:dyDescent="0.25">
      <c r="A414" t="str">
        <f t="shared" si="24"/>
        <v>COMERCIAL INAL 2005 SA</v>
      </c>
      <c r="B414">
        <f t="shared" si="25"/>
        <v>7155</v>
      </c>
      <c r="C414" s="67">
        <f t="shared" si="26"/>
        <v>23547150</v>
      </c>
      <c r="D414" s="13">
        <v>46578</v>
      </c>
      <c r="E414" s="64">
        <v>46631</v>
      </c>
      <c r="F414" s="40">
        <f t="shared" si="27"/>
        <v>46633</v>
      </c>
      <c r="G414" s="27"/>
      <c r="L414" s="65"/>
    </row>
    <row r="415" spans="1:12" ht="15.75" customHeight="1" x14ac:dyDescent="0.25">
      <c r="A415" t="str">
        <f t="shared" si="24"/>
        <v>LACAR FISH SA</v>
      </c>
      <c r="B415">
        <f t="shared" si="25"/>
        <v>78056251</v>
      </c>
      <c r="C415" s="67">
        <f t="shared" si="26"/>
        <v>932850</v>
      </c>
      <c r="D415" s="13">
        <v>46579</v>
      </c>
      <c r="E415" s="64">
        <v>46632</v>
      </c>
      <c r="F415" s="40">
        <f t="shared" si="27"/>
        <v>46634</v>
      </c>
      <c r="G415" s="27"/>
      <c r="L415" s="65"/>
    </row>
    <row r="416" spans="1:12" ht="15.75" customHeight="1" x14ac:dyDescent="0.25">
      <c r="A416" t="str">
        <f t="shared" si="24"/>
        <v>FRIGOSUR SRL</v>
      </c>
      <c r="B416">
        <f t="shared" si="25"/>
        <v>10169204</v>
      </c>
      <c r="C416" s="67">
        <f t="shared" si="26"/>
        <v>14022085</v>
      </c>
      <c r="D416" s="13">
        <v>46580</v>
      </c>
      <c r="E416" s="64">
        <v>46633</v>
      </c>
      <c r="F416" s="40">
        <f t="shared" si="27"/>
        <v>46635</v>
      </c>
      <c r="G416" s="27"/>
      <c r="L416" s="65"/>
    </row>
    <row r="417" spans="1:12" ht="15.75" customHeight="1" x14ac:dyDescent="0.25">
      <c r="A417" t="str">
        <f t="shared" si="24"/>
        <v>COMERCIAL INAL 2005 SA</v>
      </c>
      <c r="B417">
        <f t="shared" si="25"/>
        <v>7182</v>
      </c>
      <c r="C417" s="67">
        <f t="shared" si="26"/>
        <v>55000000</v>
      </c>
      <c r="D417" s="13">
        <v>46581</v>
      </c>
      <c r="E417" s="64">
        <v>46634</v>
      </c>
      <c r="F417" s="40">
        <f t="shared" si="27"/>
        <v>46636</v>
      </c>
      <c r="G417" s="27"/>
      <c r="L417" s="65"/>
    </row>
    <row r="418" spans="1:12" ht="15.75" customHeight="1" x14ac:dyDescent="0.25">
      <c r="A418" t="str">
        <f t="shared" si="24"/>
        <v>MARISQUERIA SANTA RITA SRL</v>
      </c>
      <c r="B418">
        <f t="shared" si="25"/>
        <v>5078</v>
      </c>
      <c r="C418" s="67">
        <f t="shared" si="26"/>
        <v>1056175</v>
      </c>
      <c r="D418" s="13">
        <v>46582</v>
      </c>
      <c r="E418" s="64">
        <v>46635</v>
      </c>
      <c r="F418" s="40">
        <f t="shared" si="27"/>
        <v>46637</v>
      </c>
      <c r="G418" s="27"/>
      <c r="L418" s="65"/>
    </row>
    <row r="419" spans="1:12" ht="15.75" customHeight="1" x14ac:dyDescent="0.25">
      <c r="A419" t="str">
        <f t="shared" si="24"/>
        <v>ALIMENPES SA</v>
      </c>
      <c r="B419">
        <f t="shared" si="25"/>
        <v>365</v>
      </c>
      <c r="C419" s="67">
        <f t="shared" si="26"/>
        <v>6000000</v>
      </c>
      <c r="D419" s="13">
        <v>46583</v>
      </c>
      <c r="E419" s="64">
        <v>46636</v>
      </c>
      <c r="F419" s="40">
        <f t="shared" si="27"/>
        <v>46638</v>
      </c>
      <c r="G419" s="27"/>
      <c r="L419" s="65"/>
    </row>
    <row r="420" spans="1:12" ht="15.75" customHeight="1" x14ac:dyDescent="0.25">
      <c r="A420" t="str">
        <f t="shared" si="24"/>
        <v>COOPERATIVA DE TRABAJO CAÑAMAR LIMITADA</v>
      </c>
      <c r="B420">
        <f t="shared" si="25"/>
        <v>29515976</v>
      </c>
      <c r="C420" s="67">
        <f t="shared" si="26"/>
        <v>3473415.89</v>
      </c>
      <c r="D420" s="13">
        <v>46584</v>
      </c>
      <c r="E420" s="64">
        <v>46637</v>
      </c>
      <c r="F420" s="40">
        <f t="shared" si="27"/>
        <v>46639</v>
      </c>
      <c r="G420" s="27"/>
      <c r="L420" s="65"/>
    </row>
    <row r="421" spans="1:12" ht="15.75" customHeight="1" x14ac:dyDescent="0.25">
      <c r="A421" t="str">
        <f t="shared" si="24"/>
        <v>COOPERATIVA DE TRABAJO CAÑAMAR LIMITADA</v>
      </c>
      <c r="B421">
        <f t="shared" si="25"/>
        <v>67695800</v>
      </c>
      <c r="C421" s="67">
        <f t="shared" si="26"/>
        <v>483920</v>
      </c>
      <c r="D421" s="13">
        <v>46585</v>
      </c>
      <c r="E421" s="64">
        <v>46638</v>
      </c>
      <c r="F421" s="40">
        <f t="shared" si="27"/>
        <v>46640</v>
      </c>
      <c r="G421" s="27"/>
      <c r="L421" s="65"/>
    </row>
    <row r="422" spans="1:12" ht="15.75" customHeight="1" x14ac:dyDescent="0.25">
      <c r="A422" t="str">
        <f t="shared" si="24"/>
        <v>INDUSTRIAS EL CORSARIO S.A.</v>
      </c>
      <c r="B422">
        <f t="shared" si="25"/>
        <v>5279</v>
      </c>
      <c r="C422" s="67">
        <f t="shared" si="26"/>
        <v>2200000</v>
      </c>
      <c r="D422" s="13">
        <v>46586</v>
      </c>
      <c r="E422" s="64">
        <v>46639</v>
      </c>
      <c r="F422" s="40">
        <f t="shared" si="27"/>
        <v>46641</v>
      </c>
      <c r="G422" s="27"/>
      <c r="L422" s="65"/>
    </row>
    <row r="423" spans="1:12" ht="15.75" customHeight="1" x14ac:dyDescent="0.25">
      <c r="A423" t="str">
        <f t="shared" si="24"/>
        <v>LUDAPEZ SA</v>
      </c>
      <c r="B423">
        <f t="shared" si="25"/>
        <v>13653680</v>
      </c>
      <c r="C423" s="67">
        <f t="shared" si="26"/>
        <v>2347250</v>
      </c>
      <c r="D423" s="13">
        <v>46587</v>
      </c>
      <c r="E423" s="64">
        <v>46640</v>
      </c>
      <c r="F423" s="40">
        <f t="shared" si="27"/>
        <v>46642</v>
      </c>
      <c r="G423" s="27"/>
      <c r="L423" s="65"/>
    </row>
    <row r="424" spans="1:12" ht="15.75" customHeight="1" x14ac:dyDescent="0.25">
      <c r="A424" t="str">
        <f t="shared" si="24"/>
        <v>FRIGOSUR SRL</v>
      </c>
      <c r="B424">
        <f t="shared" si="25"/>
        <v>10169203</v>
      </c>
      <c r="C424" s="67">
        <f t="shared" si="26"/>
        <v>14022085</v>
      </c>
      <c r="D424" s="13">
        <v>46588</v>
      </c>
      <c r="E424" s="64">
        <v>46641</v>
      </c>
      <c r="F424" s="40">
        <f t="shared" si="27"/>
        <v>46643</v>
      </c>
      <c r="G424" s="27"/>
      <c r="L424" s="65"/>
    </row>
    <row r="425" spans="1:12" ht="15.75" customHeight="1" x14ac:dyDescent="0.25">
      <c r="A425" t="str">
        <f t="shared" si="24"/>
        <v>LACAR FISH SA</v>
      </c>
      <c r="B425">
        <f t="shared" si="25"/>
        <v>78056259</v>
      </c>
      <c r="C425" s="67">
        <f t="shared" si="26"/>
        <v>1380000</v>
      </c>
      <c r="D425" s="13">
        <v>46589</v>
      </c>
      <c r="E425" s="64">
        <v>46642</v>
      </c>
      <c r="F425" s="40">
        <f t="shared" si="27"/>
        <v>46644</v>
      </c>
      <c r="G425" s="27"/>
      <c r="L425" s="65"/>
    </row>
    <row r="426" spans="1:12" ht="15.75" customHeight="1" x14ac:dyDescent="0.25">
      <c r="A426" t="str">
        <f t="shared" si="24"/>
        <v>COOPERATIVA  DE TRABAJO DOÑA FRANCISCA LTDA</v>
      </c>
      <c r="B426">
        <f t="shared" si="25"/>
        <v>773</v>
      </c>
      <c r="C426" s="67">
        <f t="shared" si="26"/>
        <v>5000000</v>
      </c>
      <c r="D426" s="13">
        <v>46590</v>
      </c>
      <c r="E426" s="64">
        <v>46643</v>
      </c>
      <c r="F426" s="40">
        <f t="shared" si="27"/>
        <v>46645</v>
      </c>
      <c r="G426" s="27"/>
      <c r="L426" s="65"/>
    </row>
    <row r="427" spans="1:12" ht="15.75" customHeight="1" x14ac:dyDescent="0.25">
      <c r="A427" t="str">
        <f t="shared" si="24"/>
        <v>COOPERATIVA  DE TRABAJO DOÑA FRANCISCA LTDA</v>
      </c>
      <c r="B427">
        <f t="shared" si="25"/>
        <v>774</v>
      </c>
      <c r="C427" s="67">
        <f t="shared" si="26"/>
        <v>3988200</v>
      </c>
      <c r="D427" s="13">
        <v>46591</v>
      </c>
      <c r="E427" s="64">
        <v>46644</v>
      </c>
      <c r="F427" s="40">
        <f t="shared" si="27"/>
        <v>46646</v>
      </c>
      <c r="G427" s="27"/>
      <c r="L427" s="65"/>
    </row>
    <row r="428" spans="1:12" ht="15.75" customHeight="1" x14ac:dyDescent="0.25">
      <c r="A428" t="str">
        <f t="shared" si="24"/>
        <v>COOPERATIVA  DE TRABAJO DOÑA FRANCISCA LTDA</v>
      </c>
      <c r="B428">
        <f t="shared" si="25"/>
        <v>775</v>
      </c>
      <c r="C428" s="67">
        <f t="shared" si="26"/>
        <v>5000000</v>
      </c>
      <c r="D428" s="13">
        <v>46592</v>
      </c>
      <c r="E428" s="64">
        <v>46645</v>
      </c>
      <c r="F428" s="40">
        <f t="shared" si="27"/>
        <v>46647</v>
      </c>
      <c r="G428" s="27"/>
      <c r="L428" s="65"/>
    </row>
    <row r="429" spans="1:12" ht="15.75" customHeight="1" x14ac:dyDescent="0.25">
      <c r="A429" t="str">
        <f t="shared" si="24"/>
        <v>COOPERATIVA  DE TRABAJO DOÑA FRANCISCA LTDA</v>
      </c>
      <c r="B429">
        <f t="shared" si="25"/>
        <v>776</v>
      </c>
      <c r="C429" s="67">
        <f t="shared" si="26"/>
        <v>5000000</v>
      </c>
      <c r="D429" s="13">
        <v>46593</v>
      </c>
      <c r="E429" s="64">
        <v>46646</v>
      </c>
      <c r="F429" s="40">
        <f t="shared" si="27"/>
        <v>46648</v>
      </c>
      <c r="G429" s="27"/>
      <c r="L429" s="65"/>
    </row>
    <row r="430" spans="1:12" ht="15.75" customHeight="1" x14ac:dyDescent="0.25">
      <c r="A430" t="str">
        <f t="shared" si="24"/>
        <v>LUMELL SA</v>
      </c>
      <c r="B430">
        <f t="shared" si="25"/>
        <v>181</v>
      </c>
      <c r="C430" s="67">
        <f t="shared" si="26"/>
        <v>3000880</v>
      </c>
      <c r="D430" s="13">
        <v>46594</v>
      </c>
      <c r="E430" s="64">
        <v>46647</v>
      </c>
      <c r="F430" s="40">
        <f t="shared" si="27"/>
        <v>46649</v>
      </c>
      <c r="G430" s="27"/>
      <c r="L430" s="65"/>
    </row>
    <row r="431" spans="1:12" ht="15.75" customHeight="1" x14ac:dyDescent="0.25">
      <c r="A431" t="str">
        <f t="shared" si="24"/>
        <v>LUMELL SA</v>
      </c>
      <c r="B431">
        <f t="shared" si="25"/>
        <v>182</v>
      </c>
      <c r="C431" s="67">
        <f t="shared" si="26"/>
        <v>3038000</v>
      </c>
      <c r="D431" s="13">
        <v>46595</v>
      </c>
      <c r="E431" s="64">
        <v>46648</v>
      </c>
      <c r="F431" s="40">
        <f t="shared" si="27"/>
        <v>46650</v>
      </c>
      <c r="G431" s="27"/>
      <c r="L431" s="65"/>
    </row>
    <row r="432" spans="1:12" ht="15.75" customHeight="1" x14ac:dyDescent="0.25">
      <c r="A432" t="str">
        <f t="shared" si="24"/>
        <v>LUMELL SA</v>
      </c>
      <c r="B432">
        <f t="shared" si="25"/>
        <v>183</v>
      </c>
      <c r="C432" s="67">
        <f t="shared" si="26"/>
        <v>2100000</v>
      </c>
      <c r="D432" s="13">
        <v>46596</v>
      </c>
      <c r="E432" s="64">
        <v>46649</v>
      </c>
      <c r="F432" s="40">
        <f t="shared" si="27"/>
        <v>46651</v>
      </c>
      <c r="G432" s="27"/>
      <c r="L432" s="65"/>
    </row>
    <row r="433" spans="1:12" ht="15.75" customHeight="1" x14ac:dyDescent="0.25">
      <c r="A433" t="str">
        <f t="shared" si="24"/>
        <v>27 DE NOVIEMBRE SA</v>
      </c>
      <c r="B433">
        <f t="shared" si="25"/>
        <v>782</v>
      </c>
      <c r="C433" s="67">
        <f t="shared" si="26"/>
        <v>10000000</v>
      </c>
      <c r="D433" s="13">
        <v>46597</v>
      </c>
      <c r="E433" s="64">
        <v>46650</v>
      </c>
      <c r="F433" s="40">
        <f t="shared" si="27"/>
        <v>46652</v>
      </c>
      <c r="G433" s="27"/>
      <c r="L433" s="65"/>
    </row>
    <row r="434" spans="1:12" ht="15.75" customHeight="1" x14ac:dyDescent="0.25">
      <c r="A434" t="str">
        <f t="shared" si="24"/>
        <v>27 DE NOVIEMBRE SA</v>
      </c>
      <c r="B434">
        <f t="shared" si="25"/>
        <v>783</v>
      </c>
      <c r="C434" s="67">
        <f t="shared" si="26"/>
        <v>10000000</v>
      </c>
      <c r="D434" s="13">
        <v>46598</v>
      </c>
      <c r="E434" s="64">
        <v>46651</v>
      </c>
      <c r="F434" s="40">
        <f t="shared" si="27"/>
        <v>46653</v>
      </c>
      <c r="G434" s="27"/>
      <c r="L434" s="65"/>
    </row>
    <row r="435" spans="1:12" ht="15.75" customHeight="1" x14ac:dyDescent="0.25">
      <c r="A435" t="str">
        <f t="shared" si="24"/>
        <v>27 DE NOVIEMBRE SA</v>
      </c>
      <c r="B435">
        <f t="shared" si="25"/>
        <v>784</v>
      </c>
      <c r="C435" s="67">
        <f t="shared" si="26"/>
        <v>7512659.71</v>
      </c>
      <c r="D435" s="13">
        <v>46599</v>
      </c>
      <c r="E435" s="64">
        <v>46652</v>
      </c>
      <c r="F435" s="40">
        <f t="shared" si="27"/>
        <v>46654</v>
      </c>
      <c r="G435" s="27"/>
      <c r="L435" s="65"/>
    </row>
    <row r="436" spans="1:12" ht="15.75" customHeight="1" x14ac:dyDescent="0.25">
      <c r="A436" t="str">
        <f t="shared" si="24"/>
        <v>ALIMENPES SA</v>
      </c>
      <c r="B436">
        <f t="shared" si="25"/>
        <v>776</v>
      </c>
      <c r="C436" s="67">
        <f t="shared" si="26"/>
        <v>10000000</v>
      </c>
      <c r="D436" s="13">
        <v>46600</v>
      </c>
      <c r="E436" s="64">
        <v>46653</v>
      </c>
      <c r="F436" s="40">
        <f t="shared" si="27"/>
        <v>46655</v>
      </c>
      <c r="G436" s="27"/>
      <c r="L436" s="65"/>
    </row>
    <row r="437" spans="1:12" ht="15.75" customHeight="1" x14ac:dyDescent="0.25">
      <c r="A437" t="str">
        <f t="shared" si="24"/>
        <v>ALIMENPES SA</v>
      </c>
      <c r="B437">
        <f t="shared" si="25"/>
        <v>777</v>
      </c>
      <c r="C437" s="67">
        <f t="shared" si="26"/>
        <v>6469195.79</v>
      </c>
      <c r="D437" s="13">
        <v>46601</v>
      </c>
      <c r="E437" s="64">
        <v>46654</v>
      </c>
      <c r="F437" s="40">
        <f t="shared" si="27"/>
        <v>46656</v>
      </c>
      <c r="G437" s="27"/>
      <c r="L437" s="65"/>
    </row>
    <row r="438" spans="1:12" ht="15.75" customHeight="1" x14ac:dyDescent="0.25">
      <c r="A438" t="str">
        <f t="shared" si="24"/>
        <v>LUDAPEZ SA</v>
      </c>
      <c r="B438">
        <f t="shared" si="25"/>
        <v>13653681</v>
      </c>
      <c r="C438" s="67">
        <f t="shared" si="26"/>
        <v>2300000</v>
      </c>
      <c r="D438" s="13">
        <v>46602</v>
      </c>
      <c r="E438" s="64">
        <v>46655</v>
      </c>
      <c r="F438" s="40">
        <f t="shared" si="27"/>
        <v>46657</v>
      </c>
      <c r="G438" s="27"/>
      <c r="L438" s="65"/>
    </row>
    <row r="439" spans="1:12" ht="15.75" customHeight="1" x14ac:dyDescent="0.25">
      <c r="A439" t="str">
        <f t="shared" si="24"/>
        <v>LACAR FISH SA</v>
      </c>
      <c r="B439">
        <f t="shared" si="25"/>
        <v>78056260</v>
      </c>
      <c r="C439" s="67">
        <f t="shared" si="26"/>
        <v>1380000</v>
      </c>
      <c r="D439" s="13">
        <v>46603</v>
      </c>
      <c r="E439" s="64">
        <v>46656</v>
      </c>
      <c r="F439" s="40">
        <f t="shared" si="27"/>
        <v>46658</v>
      </c>
      <c r="G439" s="27"/>
      <c r="L439" s="65"/>
    </row>
    <row r="440" spans="1:12" ht="15.75" customHeight="1" x14ac:dyDescent="0.25">
      <c r="A440" t="str">
        <f t="shared" si="24"/>
        <v>LUDAPEZ SA</v>
      </c>
      <c r="B440">
        <f t="shared" si="25"/>
        <v>13653682</v>
      </c>
      <c r="C440" s="67">
        <f t="shared" si="26"/>
        <v>2300000</v>
      </c>
      <c r="D440" s="13">
        <v>46604</v>
      </c>
      <c r="E440" s="64">
        <v>46657</v>
      </c>
      <c r="F440" s="40">
        <f t="shared" si="27"/>
        <v>46659</v>
      </c>
      <c r="G440" s="27"/>
      <c r="L440" s="65"/>
    </row>
    <row r="441" spans="1:12" ht="15.75" customHeight="1" x14ac:dyDescent="0.25">
      <c r="A441" t="str">
        <f t="shared" si="24"/>
        <v>ALIMENPES SA</v>
      </c>
      <c r="B441">
        <f t="shared" si="25"/>
        <v>67582854</v>
      </c>
      <c r="C441" s="67">
        <f t="shared" si="26"/>
        <v>1500000</v>
      </c>
      <c r="D441" s="13">
        <v>46605</v>
      </c>
      <c r="E441" s="64">
        <v>46658</v>
      </c>
      <c r="F441" s="40">
        <f t="shared" si="27"/>
        <v>46660</v>
      </c>
      <c r="G441" s="27"/>
      <c r="L441" s="65"/>
    </row>
    <row r="442" spans="1:12" ht="15.75" customHeight="1" x14ac:dyDescent="0.25">
      <c r="A442" t="str">
        <f t="shared" si="24"/>
        <v>INDUSTRIAS EL CORSARIO S.A.</v>
      </c>
      <c r="B442">
        <f t="shared" si="25"/>
        <v>5280</v>
      </c>
      <c r="C442" s="67">
        <f t="shared" si="26"/>
        <v>2161673.75</v>
      </c>
      <c r="D442" s="13">
        <v>46606</v>
      </c>
      <c r="E442" s="64">
        <v>46659</v>
      </c>
      <c r="F442" s="40">
        <f t="shared" si="27"/>
        <v>46661</v>
      </c>
      <c r="G442" s="27"/>
      <c r="L442" s="65"/>
    </row>
    <row r="443" spans="1:12" ht="15.75" customHeight="1" x14ac:dyDescent="0.25">
      <c r="A443" t="str">
        <f t="shared" si="24"/>
        <v>LUDAPEZ SA</v>
      </c>
      <c r="B443">
        <f t="shared" si="25"/>
        <v>13653683</v>
      </c>
      <c r="C443" s="67">
        <f t="shared" si="26"/>
        <v>2300000</v>
      </c>
      <c r="D443" s="13">
        <v>46607</v>
      </c>
      <c r="E443" s="64">
        <v>46660</v>
      </c>
      <c r="F443" s="40">
        <f t="shared" si="27"/>
        <v>46662</v>
      </c>
      <c r="G443" s="27"/>
      <c r="L443" s="65"/>
    </row>
    <row r="444" spans="1:12" ht="15.75" customHeight="1" x14ac:dyDescent="0.25">
      <c r="A444" t="str">
        <f t="shared" si="24"/>
        <v>LACAR FISH SA</v>
      </c>
      <c r="B444">
        <f t="shared" si="25"/>
        <v>78056261</v>
      </c>
      <c r="C444" s="67">
        <f t="shared" si="26"/>
        <v>1361542.5</v>
      </c>
      <c r="D444" s="13">
        <v>46608</v>
      </c>
      <c r="E444" s="64">
        <v>46661</v>
      </c>
      <c r="F444" s="40">
        <f t="shared" si="27"/>
        <v>46663</v>
      </c>
      <c r="G444" s="27"/>
      <c r="L444" s="65"/>
    </row>
    <row r="445" spans="1:12" ht="15.75" customHeight="1" x14ac:dyDescent="0.25">
      <c r="A445" t="str">
        <f t="shared" si="24"/>
        <v>LUDAPEZ SA</v>
      </c>
      <c r="B445">
        <f t="shared" si="25"/>
        <v>13653684</v>
      </c>
      <c r="C445" s="67">
        <f t="shared" si="26"/>
        <v>2300000</v>
      </c>
      <c r="D445" s="13">
        <v>46609</v>
      </c>
      <c r="E445" s="64">
        <v>46662</v>
      </c>
      <c r="F445" s="40">
        <f t="shared" si="27"/>
        <v>46664</v>
      </c>
      <c r="G445" s="27"/>
      <c r="L445" s="65"/>
    </row>
    <row r="446" spans="1:12" ht="15.75" customHeight="1" x14ac:dyDescent="0.25">
      <c r="A446" t="str">
        <f t="shared" si="24"/>
        <v>COMERCIAL INAL 2005 SA</v>
      </c>
      <c r="B446">
        <f t="shared" si="25"/>
        <v>7183</v>
      </c>
      <c r="C446" s="67">
        <f t="shared" si="26"/>
        <v>57771371.600000001</v>
      </c>
      <c r="D446" s="13">
        <v>46610</v>
      </c>
      <c r="E446" s="64">
        <v>46663</v>
      </c>
      <c r="F446" s="40">
        <f t="shared" si="27"/>
        <v>46665</v>
      </c>
      <c r="G446" s="27"/>
      <c r="L446" s="65"/>
    </row>
    <row r="447" spans="1:12" ht="15.75" customHeight="1" x14ac:dyDescent="0.25">
      <c r="A447" t="str">
        <f t="shared" si="24"/>
        <v>LUDAPEZ SA</v>
      </c>
      <c r="B447">
        <f t="shared" si="25"/>
        <v>13653751</v>
      </c>
      <c r="C447" s="67">
        <f t="shared" si="26"/>
        <v>5100000</v>
      </c>
      <c r="D447" s="13">
        <v>46611</v>
      </c>
      <c r="E447" s="64">
        <v>46664</v>
      </c>
      <c r="F447" s="40">
        <f t="shared" si="27"/>
        <v>46666</v>
      </c>
      <c r="G447" s="27"/>
      <c r="L447" s="65"/>
    </row>
    <row r="448" spans="1:12" ht="15.75" customHeight="1" x14ac:dyDescent="0.25">
      <c r="A448" t="str">
        <f t="shared" si="24"/>
        <v>CLUB ATLETICO ALDOSIVI</v>
      </c>
      <c r="B448">
        <f t="shared" si="25"/>
        <v>3436588</v>
      </c>
      <c r="C448" s="67">
        <f t="shared" si="26"/>
        <v>1934482.85</v>
      </c>
      <c r="D448" s="13">
        <v>46612</v>
      </c>
      <c r="E448" s="64">
        <v>46665</v>
      </c>
      <c r="F448" s="40">
        <f t="shared" si="27"/>
        <v>46667</v>
      </c>
      <c r="G448" s="27"/>
      <c r="L448" s="65"/>
    </row>
    <row r="449" spans="1:12" ht="15.75" customHeight="1" x14ac:dyDescent="0.25">
      <c r="A449" t="str">
        <f t="shared" si="24"/>
        <v>LUDAPEZ SA</v>
      </c>
      <c r="B449">
        <f t="shared" si="25"/>
        <v>13653752</v>
      </c>
      <c r="C449" s="67">
        <f t="shared" si="26"/>
        <v>5100000</v>
      </c>
      <c r="D449" s="13">
        <v>46613</v>
      </c>
      <c r="E449" s="64">
        <v>46666</v>
      </c>
      <c r="F449" s="40">
        <f t="shared" si="27"/>
        <v>46668</v>
      </c>
      <c r="G449" s="27"/>
      <c r="L449" s="65"/>
    </row>
    <row r="450" spans="1:12" ht="15.75" customHeight="1" x14ac:dyDescent="0.25">
      <c r="A450" t="str">
        <f t="shared" si="24"/>
        <v>LUDAPEZ SA</v>
      </c>
      <c r="B450">
        <f t="shared" si="25"/>
        <v>13653753</v>
      </c>
      <c r="C450" s="67">
        <f t="shared" si="26"/>
        <v>5100000</v>
      </c>
      <c r="D450" s="13">
        <v>46614</v>
      </c>
      <c r="E450" s="64">
        <v>46667</v>
      </c>
      <c r="F450" s="40">
        <f t="shared" si="27"/>
        <v>46669</v>
      </c>
      <c r="G450" s="27"/>
      <c r="L450" s="65"/>
    </row>
    <row r="451" spans="1:12" ht="15.75" customHeight="1" x14ac:dyDescent="0.25">
      <c r="A451" t="str">
        <f t="shared" si="24"/>
        <v>COMERCIAL INAL 2005 SA</v>
      </c>
      <c r="B451">
        <f t="shared" si="25"/>
        <v>7213</v>
      </c>
      <c r="C451" s="67">
        <f t="shared" si="26"/>
        <v>31000000</v>
      </c>
      <c r="D451" s="13">
        <v>46615</v>
      </c>
      <c r="E451" s="64">
        <v>46668</v>
      </c>
      <c r="F451" s="40">
        <f t="shared" si="27"/>
        <v>46670</v>
      </c>
      <c r="G451" s="27"/>
      <c r="L451" s="65"/>
    </row>
    <row r="452" spans="1:12" ht="15.75" customHeight="1" x14ac:dyDescent="0.25">
      <c r="A452" t="str">
        <f t="shared" si="24"/>
        <v>COMERCIAL INAL 2005 SA</v>
      </c>
      <c r="B452">
        <f t="shared" si="25"/>
        <v>7214</v>
      </c>
      <c r="C452" s="67">
        <f t="shared" si="26"/>
        <v>31251308</v>
      </c>
      <c r="D452" s="13">
        <v>46616</v>
      </c>
      <c r="E452" s="64">
        <v>46669</v>
      </c>
      <c r="F452" s="40">
        <f t="shared" si="27"/>
        <v>46671</v>
      </c>
      <c r="G452" s="27"/>
      <c r="L452" s="65"/>
    </row>
    <row r="453" spans="1:12" ht="18" customHeight="1" x14ac:dyDescent="0.25">
      <c r="A453" s="41" t="s">
        <v>155</v>
      </c>
      <c r="B453" s="42"/>
      <c r="C453" s="43">
        <f>SUM(C4:C452)</f>
        <v>3135811791.2199988</v>
      </c>
      <c r="D453" s="42"/>
      <c r="E453" s="42"/>
      <c r="F453" s="42"/>
      <c r="G453" s="42"/>
    </row>
    <row r="454" spans="1:12" ht="15.75" customHeight="1" x14ac:dyDescent="0.25">
      <c r="A454" s="44"/>
      <c r="B454" s="44"/>
      <c r="C454" s="45"/>
      <c r="D454" s="46"/>
      <c r="E454" s="46"/>
      <c r="F454" s="47" t="str">
        <f>IF(E454="","",E454+2)</f>
        <v/>
      </c>
      <c r="G454" s="44"/>
    </row>
    <row r="455" spans="1:12" ht="15.75" customHeight="1" x14ac:dyDescent="0.25">
      <c r="A455" s="44"/>
      <c r="B455" s="44"/>
      <c r="C455" s="45"/>
      <c r="D455" s="46"/>
      <c r="E455" s="46"/>
      <c r="F455" s="47" t="str">
        <f>IF(E455="","",E455+2)</f>
        <v/>
      </c>
      <c r="G455" s="44"/>
    </row>
    <row r="456" spans="1:12" ht="15.75" customHeight="1" x14ac:dyDescent="0.25">
      <c r="A456" s="44"/>
      <c r="B456" s="44"/>
      <c r="C456" s="45"/>
      <c r="D456" s="46"/>
      <c r="E456" s="46"/>
      <c r="F456" s="47" t="str">
        <f>IF(E456="","",E456+2)</f>
        <v/>
      </c>
      <c r="G456" s="44"/>
    </row>
    <row r="457" spans="1:12" ht="15.75" customHeight="1" x14ac:dyDescent="0.25">
      <c r="A457" s="44"/>
      <c r="B457" s="44"/>
      <c r="C457" s="45"/>
      <c r="D457" s="46"/>
      <c r="E457" s="46"/>
      <c r="F457" s="47" t="str">
        <f>IF(E457="","",E457+2)</f>
        <v/>
      </c>
      <c r="G457" s="44"/>
    </row>
    <row r="458" spans="1:12" ht="15.75" customHeight="1" x14ac:dyDescent="0.25">
      <c r="A458" s="44"/>
      <c r="B458" s="44"/>
      <c r="C458" s="45"/>
      <c r="D458" s="46"/>
      <c r="E458" s="46"/>
      <c r="F458" s="47" t="str">
        <f>IF(E458="","",E458+2)</f>
        <v/>
      </c>
      <c r="G458" s="44"/>
    </row>
    <row r="460" spans="1:12" ht="15" customHeight="1" x14ac:dyDescent="0.25">
      <c r="A460" s="82" t="s">
        <v>156</v>
      </c>
      <c r="B460" s="82"/>
      <c r="C460" s="82"/>
      <c r="D460" s="82"/>
      <c r="E460" s="82"/>
      <c r="F460" s="82"/>
      <c r="G460" s="82"/>
    </row>
    <row r="467" spans="1:15" x14ac:dyDescent="0.25">
      <c r="A467" t="s">
        <v>930</v>
      </c>
    </row>
    <row r="468" spans="1:15" x14ac:dyDescent="0.25">
      <c r="A468" t="s">
        <v>835</v>
      </c>
    </row>
    <row r="469" spans="1:15" x14ac:dyDescent="0.25">
      <c r="A469" t="s">
        <v>836</v>
      </c>
    </row>
    <row r="470" spans="1:15" x14ac:dyDescent="0.25">
      <c r="A470" t="s">
        <v>931</v>
      </c>
      <c r="B470" t="s">
        <v>932</v>
      </c>
      <c r="C470" t="s">
        <v>933</v>
      </c>
      <c r="D470" t="s">
        <v>934</v>
      </c>
      <c r="E470" t="s">
        <v>935</v>
      </c>
      <c r="F470" t="s">
        <v>936</v>
      </c>
      <c r="G470" t="s">
        <v>937</v>
      </c>
      <c r="H470" t="s">
        <v>938</v>
      </c>
      <c r="I470" t="s">
        <v>939</v>
      </c>
      <c r="J470" t="s">
        <v>940</v>
      </c>
      <c r="K470" t="s">
        <v>941</v>
      </c>
      <c r="L470" t="s">
        <v>942</v>
      </c>
      <c r="M470" t="s">
        <v>943</v>
      </c>
      <c r="N470" t="s">
        <v>944</v>
      </c>
      <c r="O470" t="s">
        <v>945</v>
      </c>
    </row>
    <row r="471" spans="1:15" x14ac:dyDescent="0.25">
      <c r="A471" t="s">
        <v>946</v>
      </c>
      <c r="B471" t="s">
        <v>947</v>
      </c>
      <c r="C471" s="65">
        <v>46127</v>
      </c>
      <c r="D471">
        <v>23454</v>
      </c>
      <c r="E471">
        <v>2219061</v>
      </c>
      <c r="F471" t="s">
        <v>948</v>
      </c>
      <c r="G471" t="s">
        <v>949</v>
      </c>
      <c r="H471">
        <v>3400000</v>
      </c>
      <c r="I471" t="s">
        <v>950</v>
      </c>
      <c r="J471" t="s">
        <v>951</v>
      </c>
      <c r="K471" t="s">
        <v>952</v>
      </c>
      <c r="L471" t="s">
        <v>951</v>
      </c>
      <c r="M471" t="s">
        <v>953</v>
      </c>
      <c r="N471" t="s">
        <v>951</v>
      </c>
      <c r="O471" t="s">
        <v>951</v>
      </c>
    </row>
    <row r="472" spans="1:15" x14ac:dyDescent="0.25">
      <c r="A472" t="s">
        <v>946</v>
      </c>
      <c r="B472" t="s">
        <v>947</v>
      </c>
      <c r="C472" s="65">
        <v>46160</v>
      </c>
      <c r="D472">
        <v>23800</v>
      </c>
      <c r="E472">
        <v>281</v>
      </c>
      <c r="F472" t="s">
        <v>948</v>
      </c>
      <c r="G472" t="s">
        <v>954</v>
      </c>
      <c r="H472">
        <v>1000000</v>
      </c>
      <c r="I472" t="s">
        <v>955</v>
      </c>
      <c r="J472" t="s">
        <v>951</v>
      </c>
      <c r="K472" t="s">
        <v>956</v>
      </c>
      <c r="L472" t="s">
        <v>951</v>
      </c>
      <c r="M472" t="s">
        <v>957</v>
      </c>
      <c r="N472" t="s">
        <v>958</v>
      </c>
      <c r="O472" t="s">
        <v>959</v>
      </c>
    </row>
    <row r="473" spans="1:15" x14ac:dyDescent="0.25">
      <c r="A473" t="s">
        <v>946</v>
      </c>
      <c r="B473" t="s">
        <v>947</v>
      </c>
      <c r="C473" s="65">
        <v>46162</v>
      </c>
      <c r="D473">
        <v>23801</v>
      </c>
      <c r="E473">
        <v>3122689</v>
      </c>
      <c r="F473" t="s">
        <v>948</v>
      </c>
      <c r="G473" t="s">
        <v>960</v>
      </c>
      <c r="H473">
        <v>658914</v>
      </c>
      <c r="I473" t="s">
        <v>955</v>
      </c>
      <c r="J473" t="s">
        <v>951</v>
      </c>
      <c r="K473" t="s">
        <v>956</v>
      </c>
      <c r="L473" t="s">
        <v>951</v>
      </c>
      <c r="M473" t="s">
        <v>961</v>
      </c>
      <c r="N473" t="s">
        <v>958</v>
      </c>
      <c r="O473" t="s">
        <v>959</v>
      </c>
    </row>
    <row r="474" spans="1:15" x14ac:dyDescent="0.25">
      <c r="A474" t="s">
        <v>946</v>
      </c>
      <c r="B474" t="s">
        <v>947</v>
      </c>
      <c r="C474" s="65">
        <v>46163</v>
      </c>
      <c r="D474">
        <v>23533</v>
      </c>
      <c r="E474">
        <v>13378069</v>
      </c>
      <c r="F474" t="s">
        <v>962</v>
      </c>
      <c r="G474" t="s">
        <v>963</v>
      </c>
      <c r="H474">
        <v>2465900</v>
      </c>
      <c r="I474" t="s">
        <v>964</v>
      </c>
      <c r="J474" t="s">
        <v>951</v>
      </c>
      <c r="K474" t="s">
        <v>965</v>
      </c>
      <c r="L474" t="s">
        <v>951</v>
      </c>
      <c r="M474" t="s">
        <v>966</v>
      </c>
      <c r="N474" t="s">
        <v>958</v>
      </c>
      <c r="O474" t="s">
        <v>959</v>
      </c>
    </row>
    <row r="475" spans="1:15" x14ac:dyDescent="0.25">
      <c r="A475" t="s">
        <v>946</v>
      </c>
      <c r="B475" t="s">
        <v>947</v>
      </c>
      <c r="C475" s="65">
        <v>46163</v>
      </c>
      <c r="D475">
        <v>23557</v>
      </c>
      <c r="E475">
        <v>78055886</v>
      </c>
      <c r="F475" t="s">
        <v>962</v>
      </c>
      <c r="G475" t="s">
        <v>967</v>
      </c>
      <c r="H475">
        <v>500000</v>
      </c>
      <c r="I475" t="s">
        <v>968</v>
      </c>
      <c r="J475" t="s">
        <v>951</v>
      </c>
      <c r="K475" t="s">
        <v>969</v>
      </c>
      <c r="L475" t="s">
        <v>951</v>
      </c>
      <c r="M475" t="s">
        <v>970</v>
      </c>
      <c r="N475" t="s">
        <v>958</v>
      </c>
      <c r="O475" t="s">
        <v>959</v>
      </c>
    </row>
    <row r="476" spans="1:15" x14ac:dyDescent="0.25">
      <c r="A476" t="s">
        <v>946</v>
      </c>
      <c r="B476" t="s">
        <v>947</v>
      </c>
      <c r="C476" s="65">
        <v>46163</v>
      </c>
      <c r="D476">
        <v>23805</v>
      </c>
      <c r="E476">
        <v>80657184</v>
      </c>
      <c r="F476" t="s">
        <v>948</v>
      </c>
      <c r="G476" t="s">
        <v>971</v>
      </c>
      <c r="H476">
        <v>536720.94999999995</v>
      </c>
      <c r="I476" t="s">
        <v>955</v>
      </c>
      <c r="J476" t="s">
        <v>951</v>
      </c>
      <c r="K476" t="s">
        <v>956</v>
      </c>
      <c r="L476" t="s">
        <v>951</v>
      </c>
      <c r="M476" t="s">
        <v>972</v>
      </c>
      <c r="N476" t="s">
        <v>958</v>
      </c>
      <c r="O476" t="s">
        <v>959</v>
      </c>
    </row>
    <row r="477" spans="1:15" x14ac:dyDescent="0.25">
      <c r="A477" t="s">
        <v>946</v>
      </c>
      <c r="B477" t="s">
        <v>947</v>
      </c>
      <c r="C477" s="65">
        <v>46164</v>
      </c>
      <c r="D477">
        <v>23808</v>
      </c>
      <c r="E477">
        <v>2430</v>
      </c>
      <c r="F477" t="s">
        <v>948</v>
      </c>
      <c r="G477" t="s">
        <v>973</v>
      </c>
      <c r="H477">
        <v>70000000</v>
      </c>
      <c r="I477" t="s">
        <v>974</v>
      </c>
      <c r="J477" t="s">
        <v>951</v>
      </c>
      <c r="K477" t="s">
        <v>975</v>
      </c>
      <c r="L477" t="s">
        <v>951</v>
      </c>
      <c r="M477" t="s">
        <v>976</v>
      </c>
      <c r="N477" t="s">
        <v>958</v>
      </c>
      <c r="O477" t="s">
        <v>959</v>
      </c>
    </row>
    <row r="478" spans="1:15" x14ac:dyDescent="0.25">
      <c r="A478" t="s">
        <v>946</v>
      </c>
      <c r="B478" t="s">
        <v>947</v>
      </c>
      <c r="C478" s="65">
        <v>46167</v>
      </c>
      <c r="D478">
        <v>23480</v>
      </c>
      <c r="E478">
        <v>6818</v>
      </c>
      <c r="F478" t="s">
        <v>962</v>
      </c>
      <c r="G478" t="s">
        <v>977</v>
      </c>
      <c r="H478">
        <v>22336160</v>
      </c>
      <c r="I478" t="s">
        <v>978</v>
      </c>
      <c r="J478" t="s">
        <v>951</v>
      </c>
      <c r="K478" t="s">
        <v>979</v>
      </c>
      <c r="L478" t="s">
        <v>951</v>
      </c>
      <c r="M478" t="s">
        <v>980</v>
      </c>
      <c r="N478" t="s">
        <v>958</v>
      </c>
      <c r="O478" t="s">
        <v>959</v>
      </c>
    </row>
    <row r="479" spans="1:15" x14ac:dyDescent="0.25">
      <c r="A479" t="s">
        <v>946</v>
      </c>
      <c r="B479" t="s">
        <v>947</v>
      </c>
      <c r="C479" s="65">
        <v>46167</v>
      </c>
      <c r="D479">
        <v>23501</v>
      </c>
      <c r="E479">
        <v>9487744</v>
      </c>
      <c r="F479" t="s">
        <v>962</v>
      </c>
      <c r="G479" t="s">
        <v>954</v>
      </c>
      <c r="H479">
        <v>8879287.4600000009</v>
      </c>
      <c r="I479" t="s">
        <v>981</v>
      </c>
      <c r="J479" t="s">
        <v>951</v>
      </c>
      <c r="K479" t="s">
        <v>982</v>
      </c>
      <c r="L479" t="s">
        <v>951</v>
      </c>
      <c r="M479" t="s">
        <v>957</v>
      </c>
      <c r="N479" t="s">
        <v>958</v>
      </c>
      <c r="O479" t="s">
        <v>959</v>
      </c>
    </row>
    <row r="480" spans="1:15" x14ac:dyDescent="0.25">
      <c r="A480" t="s">
        <v>946</v>
      </c>
      <c r="B480" t="s">
        <v>947</v>
      </c>
      <c r="C480" s="65">
        <v>46167</v>
      </c>
      <c r="D480">
        <v>23535</v>
      </c>
      <c r="E480">
        <v>13378071</v>
      </c>
      <c r="F480" t="s">
        <v>962</v>
      </c>
      <c r="G480" t="s">
        <v>963</v>
      </c>
      <c r="H480">
        <v>2500000</v>
      </c>
      <c r="I480" t="s">
        <v>964</v>
      </c>
      <c r="J480" t="s">
        <v>951</v>
      </c>
      <c r="K480" t="s">
        <v>965</v>
      </c>
      <c r="L480" t="s">
        <v>951</v>
      </c>
      <c r="M480" t="s">
        <v>966</v>
      </c>
      <c r="N480" t="s">
        <v>958</v>
      </c>
      <c r="O480" t="s">
        <v>959</v>
      </c>
    </row>
    <row r="481" spans="1:15" x14ac:dyDescent="0.25">
      <c r="A481" t="s">
        <v>946</v>
      </c>
      <c r="B481" t="s">
        <v>947</v>
      </c>
      <c r="C481" s="65">
        <v>46167</v>
      </c>
      <c r="D481">
        <v>23536</v>
      </c>
      <c r="E481">
        <v>13378072</v>
      </c>
      <c r="F481" t="s">
        <v>962</v>
      </c>
      <c r="G481" t="s">
        <v>963</v>
      </c>
      <c r="H481">
        <v>2500000</v>
      </c>
      <c r="I481" t="s">
        <v>964</v>
      </c>
      <c r="J481" t="s">
        <v>951</v>
      </c>
      <c r="K481" t="s">
        <v>965</v>
      </c>
      <c r="L481" t="s">
        <v>951</v>
      </c>
      <c r="M481" t="s">
        <v>966</v>
      </c>
      <c r="N481" t="s">
        <v>958</v>
      </c>
      <c r="O481" t="s">
        <v>959</v>
      </c>
    </row>
    <row r="482" spans="1:15" x14ac:dyDescent="0.25">
      <c r="A482" t="s">
        <v>946</v>
      </c>
      <c r="B482" t="s">
        <v>947</v>
      </c>
      <c r="C482" s="65">
        <v>46167</v>
      </c>
      <c r="D482">
        <v>23537</v>
      </c>
      <c r="E482">
        <v>13378073</v>
      </c>
      <c r="F482" t="s">
        <v>962</v>
      </c>
      <c r="G482" t="s">
        <v>963</v>
      </c>
      <c r="H482">
        <v>2500000</v>
      </c>
      <c r="I482" t="s">
        <v>964</v>
      </c>
      <c r="J482" t="s">
        <v>951</v>
      </c>
      <c r="K482" t="s">
        <v>965</v>
      </c>
      <c r="L482" t="s">
        <v>951</v>
      </c>
      <c r="M482" t="s">
        <v>966</v>
      </c>
      <c r="N482" t="s">
        <v>958</v>
      </c>
      <c r="O482" t="s">
        <v>959</v>
      </c>
    </row>
    <row r="483" spans="1:15" x14ac:dyDescent="0.25">
      <c r="A483" t="s">
        <v>946</v>
      </c>
      <c r="B483" t="s">
        <v>947</v>
      </c>
      <c r="C483" s="65">
        <v>46167</v>
      </c>
      <c r="D483">
        <v>23585</v>
      </c>
      <c r="E483">
        <v>66612110</v>
      </c>
      <c r="F483" t="s">
        <v>962</v>
      </c>
      <c r="G483" t="s">
        <v>983</v>
      </c>
      <c r="H483">
        <v>14000000</v>
      </c>
      <c r="I483" t="s">
        <v>984</v>
      </c>
      <c r="J483" t="s">
        <v>951</v>
      </c>
      <c r="K483" t="s">
        <v>985</v>
      </c>
      <c r="L483" t="s">
        <v>951</v>
      </c>
      <c r="M483" t="s">
        <v>986</v>
      </c>
      <c r="N483" t="s">
        <v>958</v>
      </c>
      <c r="O483" t="s">
        <v>959</v>
      </c>
    </row>
    <row r="484" spans="1:15" x14ac:dyDescent="0.25">
      <c r="A484" t="s">
        <v>946</v>
      </c>
      <c r="B484" t="s">
        <v>947</v>
      </c>
      <c r="C484" s="65">
        <v>46167</v>
      </c>
      <c r="D484">
        <v>23589</v>
      </c>
      <c r="E484">
        <v>66487132</v>
      </c>
      <c r="F484" t="s">
        <v>962</v>
      </c>
      <c r="G484" t="s">
        <v>983</v>
      </c>
      <c r="H484">
        <v>4796000</v>
      </c>
      <c r="I484" t="s">
        <v>987</v>
      </c>
      <c r="J484" t="s">
        <v>951</v>
      </c>
      <c r="K484" t="s">
        <v>988</v>
      </c>
      <c r="L484" t="s">
        <v>951</v>
      </c>
      <c r="M484" t="s">
        <v>986</v>
      </c>
      <c r="N484" t="s">
        <v>958</v>
      </c>
      <c r="O484" t="s">
        <v>959</v>
      </c>
    </row>
    <row r="485" spans="1:15" x14ac:dyDescent="0.25">
      <c r="A485" t="s">
        <v>946</v>
      </c>
      <c r="B485" t="s">
        <v>947</v>
      </c>
      <c r="C485" s="65">
        <v>46167</v>
      </c>
      <c r="D485">
        <v>23708</v>
      </c>
      <c r="E485">
        <v>40631416</v>
      </c>
      <c r="F485" t="s">
        <v>948</v>
      </c>
      <c r="G485" t="s">
        <v>989</v>
      </c>
      <c r="H485">
        <v>422645</v>
      </c>
      <c r="I485" t="s">
        <v>990</v>
      </c>
      <c r="J485" t="s">
        <v>951</v>
      </c>
      <c r="K485" t="s">
        <v>991</v>
      </c>
      <c r="L485" t="s">
        <v>951</v>
      </c>
      <c r="M485" t="s">
        <v>992</v>
      </c>
      <c r="N485" t="s">
        <v>958</v>
      </c>
      <c r="O485" t="s">
        <v>959</v>
      </c>
    </row>
    <row r="486" spans="1:15" x14ac:dyDescent="0.25">
      <c r="A486" t="s">
        <v>946</v>
      </c>
      <c r="B486" t="s">
        <v>947</v>
      </c>
      <c r="C486" s="65">
        <v>46167</v>
      </c>
      <c r="D486">
        <v>23709</v>
      </c>
      <c r="E486">
        <v>66823490</v>
      </c>
      <c r="F486" t="s">
        <v>948</v>
      </c>
      <c r="G486" t="s">
        <v>983</v>
      </c>
      <c r="H486">
        <v>1490156.91</v>
      </c>
      <c r="I486" t="s">
        <v>990</v>
      </c>
      <c r="J486" t="s">
        <v>951</v>
      </c>
      <c r="K486" t="s">
        <v>991</v>
      </c>
      <c r="L486" t="s">
        <v>951</v>
      </c>
      <c r="M486" t="s">
        <v>986</v>
      </c>
      <c r="N486" t="s">
        <v>958</v>
      </c>
      <c r="O486" t="s">
        <v>959</v>
      </c>
    </row>
    <row r="487" spans="1:15" x14ac:dyDescent="0.25">
      <c r="A487" t="s">
        <v>946</v>
      </c>
      <c r="B487" t="s">
        <v>947</v>
      </c>
      <c r="C487" s="65">
        <v>46167</v>
      </c>
      <c r="D487">
        <v>23710</v>
      </c>
      <c r="E487">
        <v>90003063</v>
      </c>
      <c r="F487" t="s">
        <v>948</v>
      </c>
      <c r="G487" t="s">
        <v>971</v>
      </c>
      <c r="H487">
        <v>330756</v>
      </c>
      <c r="I487" t="s">
        <v>990</v>
      </c>
      <c r="J487" t="s">
        <v>951</v>
      </c>
      <c r="K487" t="s">
        <v>991</v>
      </c>
      <c r="L487" t="s">
        <v>951</v>
      </c>
      <c r="M487" t="s">
        <v>972</v>
      </c>
      <c r="N487" t="s">
        <v>958</v>
      </c>
      <c r="O487" t="s">
        <v>959</v>
      </c>
    </row>
    <row r="488" spans="1:15" x14ac:dyDescent="0.25">
      <c r="A488" t="s">
        <v>946</v>
      </c>
      <c r="B488" t="s">
        <v>947</v>
      </c>
      <c r="C488" s="65">
        <v>46167</v>
      </c>
      <c r="D488">
        <v>23811</v>
      </c>
      <c r="E488">
        <v>29305989</v>
      </c>
      <c r="F488" t="s">
        <v>948</v>
      </c>
      <c r="G488" t="s">
        <v>989</v>
      </c>
      <c r="H488">
        <v>15000000</v>
      </c>
      <c r="I488" t="s">
        <v>974</v>
      </c>
      <c r="J488" t="s">
        <v>951</v>
      </c>
      <c r="K488" t="s">
        <v>975</v>
      </c>
      <c r="L488" t="s">
        <v>951</v>
      </c>
      <c r="M488" t="s">
        <v>992</v>
      </c>
      <c r="N488" t="s">
        <v>958</v>
      </c>
      <c r="O488" t="s">
        <v>959</v>
      </c>
    </row>
    <row r="489" spans="1:15" x14ac:dyDescent="0.25">
      <c r="A489" t="s">
        <v>946</v>
      </c>
      <c r="B489" t="s">
        <v>947</v>
      </c>
      <c r="C489" s="65">
        <v>46167</v>
      </c>
      <c r="D489">
        <v>23814</v>
      </c>
      <c r="E489">
        <v>29305988</v>
      </c>
      <c r="F489" t="s">
        <v>948</v>
      </c>
      <c r="G489" t="s">
        <v>989</v>
      </c>
      <c r="H489">
        <v>8573913.8200000003</v>
      </c>
      <c r="I489" t="s">
        <v>974</v>
      </c>
      <c r="J489" t="s">
        <v>951</v>
      </c>
      <c r="K489" t="s">
        <v>975</v>
      </c>
      <c r="L489" t="s">
        <v>951</v>
      </c>
      <c r="M489" t="s">
        <v>992</v>
      </c>
      <c r="N489" t="s">
        <v>958</v>
      </c>
      <c r="O489" t="s">
        <v>959</v>
      </c>
    </row>
    <row r="490" spans="1:15" x14ac:dyDescent="0.25">
      <c r="A490" t="s">
        <v>946</v>
      </c>
      <c r="B490" t="s">
        <v>947</v>
      </c>
      <c r="C490" s="65">
        <v>46168</v>
      </c>
      <c r="D490">
        <v>23567</v>
      </c>
      <c r="E490">
        <v>78055897</v>
      </c>
      <c r="F490" t="s">
        <v>962</v>
      </c>
      <c r="G490" t="s">
        <v>967</v>
      </c>
      <c r="H490">
        <v>907700</v>
      </c>
      <c r="I490" t="s">
        <v>968</v>
      </c>
      <c r="J490" t="s">
        <v>951</v>
      </c>
      <c r="K490" t="s">
        <v>969</v>
      </c>
      <c r="L490" t="s">
        <v>951</v>
      </c>
      <c r="M490" t="s">
        <v>970</v>
      </c>
      <c r="N490" t="s">
        <v>958</v>
      </c>
      <c r="O490" t="s">
        <v>959</v>
      </c>
    </row>
    <row r="491" spans="1:15" x14ac:dyDescent="0.25">
      <c r="A491" t="s">
        <v>946</v>
      </c>
      <c r="B491" t="s">
        <v>947</v>
      </c>
      <c r="C491" s="65">
        <v>46168</v>
      </c>
      <c r="D491">
        <v>23601</v>
      </c>
      <c r="E491">
        <v>78055902</v>
      </c>
      <c r="F491" t="s">
        <v>962</v>
      </c>
      <c r="G491" t="s">
        <v>967</v>
      </c>
      <c r="H491">
        <v>960000</v>
      </c>
      <c r="I491" t="s">
        <v>968</v>
      </c>
      <c r="J491" t="s">
        <v>951</v>
      </c>
      <c r="K491" t="s">
        <v>969</v>
      </c>
      <c r="L491" t="s">
        <v>951</v>
      </c>
      <c r="M491" t="s">
        <v>970</v>
      </c>
      <c r="N491" t="s">
        <v>958</v>
      </c>
      <c r="O491" t="s">
        <v>959</v>
      </c>
    </row>
    <row r="492" spans="1:15" x14ac:dyDescent="0.25">
      <c r="A492" t="s">
        <v>946</v>
      </c>
      <c r="B492" t="s">
        <v>947</v>
      </c>
      <c r="C492" s="65">
        <v>46168</v>
      </c>
      <c r="D492">
        <v>23610</v>
      </c>
      <c r="E492">
        <v>4716</v>
      </c>
      <c r="F492" t="s">
        <v>962</v>
      </c>
      <c r="G492" t="s">
        <v>977</v>
      </c>
      <c r="H492">
        <v>1300000</v>
      </c>
      <c r="I492" t="s">
        <v>993</v>
      </c>
      <c r="J492" t="s">
        <v>951</v>
      </c>
      <c r="K492" t="s">
        <v>994</v>
      </c>
      <c r="L492" t="s">
        <v>951</v>
      </c>
      <c r="M492" t="s">
        <v>980</v>
      </c>
      <c r="N492" t="s">
        <v>958</v>
      </c>
      <c r="O492" t="s">
        <v>959</v>
      </c>
    </row>
    <row r="493" spans="1:15" x14ac:dyDescent="0.25">
      <c r="A493" t="s">
        <v>946</v>
      </c>
      <c r="B493" t="s">
        <v>947</v>
      </c>
      <c r="C493" s="65">
        <v>46168</v>
      </c>
      <c r="D493">
        <v>23620</v>
      </c>
      <c r="E493">
        <v>4633</v>
      </c>
      <c r="F493" t="s">
        <v>962</v>
      </c>
      <c r="G493" t="s">
        <v>977</v>
      </c>
      <c r="H493">
        <v>1162600</v>
      </c>
      <c r="I493" t="s">
        <v>993</v>
      </c>
      <c r="J493" t="s">
        <v>951</v>
      </c>
      <c r="K493" t="s">
        <v>994</v>
      </c>
      <c r="L493" t="s">
        <v>951</v>
      </c>
      <c r="M493" t="s">
        <v>980</v>
      </c>
      <c r="N493" t="s">
        <v>958</v>
      </c>
      <c r="O493" t="s">
        <v>959</v>
      </c>
    </row>
    <row r="494" spans="1:15" x14ac:dyDescent="0.25">
      <c r="A494" t="s">
        <v>946</v>
      </c>
      <c r="B494" t="s">
        <v>947</v>
      </c>
      <c r="C494" s="65">
        <v>46168</v>
      </c>
      <c r="D494">
        <v>23624</v>
      </c>
      <c r="E494">
        <v>4742</v>
      </c>
      <c r="F494" t="s">
        <v>962</v>
      </c>
      <c r="G494" t="s">
        <v>977</v>
      </c>
      <c r="H494">
        <v>1200000</v>
      </c>
      <c r="I494" t="s">
        <v>993</v>
      </c>
      <c r="J494" t="s">
        <v>951</v>
      </c>
      <c r="K494" t="s">
        <v>994</v>
      </c>
      <c r="L494" t="s">
        <v>951</v>
      </c>
      <c r="M494" t="s">
        <v>980</v>
      </c>
      <c r="N494" t="s">
        <v>958</v>
      </c>
      <c r="O494" t="s">
        <v>959</v>
      </c>
    </row>
    <row r="495" spans="1:15" x14ac:dyDescent="0.25">
      <c r="A495" t="s">
        <v>946</v>
      </c>
      <c r="B495" t="s">
        <v>947</v>
      </c>
      <c r="C495" s="65">
        <v>46168</v>
      </c>
      <c r="D495">
        <v>23661</v>
      </c>
      <c r="E495">
        <v>78055908</v>
      </c>
      <c r="F495" t="s">
        <v>962</v>
      </c>
      <c r="G495" t="s">
        <v>967</v>
      </c>
      <c r="H495">
        <v>1130000</v>
      </c>
      <c r="I495" t="s">
        <v>968</v>
      </c>
      <c r="J495" t="s">
        <v>951</v>
      </c>
      <c r="K495" t="s">
        <v>969</v>
      </c>
      <c r="L495" t="s">
        <v>951</v>
      </c>
      <c r="M495" t="s">
        <v>970</v>
      </c>
      <c r="N495" t="s">
        <v>958</v>
      </c>
      <c r="O495" t="s">
        <v>959</v>
      </c>
    </row>
    <row r="496" spans="1:15" x14ac:dyDescent="0.25">
      <c r="A496" t="s">
        <v>946</v>
      </c>
      <c r="B496" t="s">
        <v>947</v>
      </c>
      <c r="C496" s="65">
        <v>46168</v>
      </c>
      <c r="D496">
        <v>23880</v>
      </c>
      <c r="E496">
        <v>11234554</v>
      </c>
      <c r="F496" t="s">
        <v>948</v>
      </c>
      <c r="G496" t="s">
        <v>995</v>
      </c>
      <c r="H496">
        <v>990000</v>
      </c>
      <c r="I496" t="s">
        <v>996</v>
      </c>
      <c r="J496" t="s">
        <v>951</v>
      </c>
      <c r="K496" t="s">
        <v>997</v>
      </c>
      <c r="L496" t="s">
        <v>951</v>
      </c>
      <c r="M496" t="s">
        <v>998</v>
      </c>
      <c r="N496" t="s">
        <v>951</v>
      </c>
      <c r="O496" t="s">
        <v>951</v>
      </c>
    </row>
    <row r="497" spans="1:15" x14ac:dyDescent="0.25">
      <c r="A497" t="s">
        <v>946</v>
      </c>
      <c r="B497" t="s">
        <v>947</v>
      </c>
      <c r="C497" s="65">
        <v>46169</v>
      </c>
      <c r="D497">
        <v>23539</v>
      </c>
      <c r="E497">
        <v>16</v>
      </c>
      <c r="F497" t="s">
        <v>962</v>
      </c>
      <c r="G497" t="s">
        <v>949</v>
      </c>
      <c r="H497">
        <v>19042210</v>
      </c>
      <c r="I497" t="s">
        <v>999</v>
      </c>
      <c r="J497" t="s">
        <v>951</v>
      </c>
      <c r="K497" t="s">
        <v>1000</v>
      </c>
      <c r="L497" t="s">
        <v>951</v>
      </c>
      <c r="M497" t="s">
        <v>953</v>
      </c>
      <c r="N497" t="s">
        <v>958</v>
      </c>
      <c r="O497" t="s">
        <v>959</v>
      </c>
    </row>
    <row r="498" spans="1:15" x14ac:dyDescent="0.25">
      <c r="A498" t="s">
        <v>946</v>
      </c>
      <c r="B498" t="s">
        <v>947</v>
      </c>
      <c r="C498" s="65">
        <v>46169</v>
      </c>
      <c r="D498">
        <v>23588</v>
      </c>
      <c r="E498">
        <v>66486893</v>
      </c>
      <c r="F498" t="s">
        <v>962</v>
      </c>
      <c r="G498" t="s">
        <v>983</v>
      </c>
      <c r="H498">
        <v>5000000</v>
      </c>
      <c r="I498" t="s">
        <v>987</v>
      </c>
      <c r="J498" t="s">
        <v>951</v>
      </c>
      <c r="K498" t="s">
        <v>988</v>
      </c>
      <c r="L498" t="s">
        <v>951</v>
      </c>
      <c r="M498" t="s">
        <v>986</v>
      </c>
      <c r="N498" t="s">
        <v>958</v>
      </c>
      <c r="O498" t="s">
        <v>959</v>
      </c>
    </row>
    <row r="499" spans="1:15" x14ac:dyDescent="0.25">
      <c r="A499" t="s">
        <v>946</v>
      </c>
      <c r="B499" t="s">
        <v>947</v>
      </c>
      <c r="C499" s="65">
        <v>46169</v>
      </c>
      <c r="D499">
        <v>23602</v>
      </c>
      <c r="E499">
        <v>78055903</v>
      </c>
      <c r="F499" t="s">
        <v>962</v>
      </c>
      <c r="G499" t="s">
        <v>967</v>
      </c>
      <c r="H499">
        <v>960000</v>
      </c>
      <c r="I499" t="s">
        <v>968</v>
      </c>
      <c r="J499" t="s">
        <v>951</v>
      </c>
      <c r="K499" t="s">
        <v>969</v>
      </c>
      <c r="L499" t="s">
        <v>951</v>
      </c>
      <c r="M499" t="s">
        <v>970</v>
      </c>
      <c r="N499" t="s">
        <v>958</v>
      </c>
      <c r="O499" t="s">
        <v>959</v>
      </c>
    </row>
    <row r="500" spans="1:15" x14ac:dyDescent="0.25">
      <c r="A500" t="s">
        <v>946</v>
      </c>
      <c r="B500" t="s">
        <v>947</v>
      </c>
      <c r="C500" s="65">
        <v>46169</v>
      </c>
      <c r="D500">
        <v>23611</v>
      </c>
      <c r="E500">
        <v>4717</v>
      </c>
      <c r="F500" t="s">
        <v>962</v>
      </c>
      <c r="G500" t="s">
        <v>977</v>
      </c>
      <c r="H500">
        <v>1300000</v>
      </c>
      <c r="I500" t="s">
        <v>993</v>
      </c>
      <c r="J500" t="s">
        <v>951</v>
      </c>
      <c r="K500" t="s">
        <v>994</v>
      </c>
      <c r="L500" t="s">
        <v>951</v>
      </c>
      <c r="M500" t="s">
        <v>980</v>
      </c>
      <c r="N500" t="s">
        <v>958</v>
      </c>
      <c r="O500" t="s">
        <v>959</v>
      </c>
    </row>
    <row r="501" spans="1:15" x14ac:dyDescent="0.25">
      <c r="A501" t="s">
        <v>946</v>
      </c>
      <c r="B501" t="s">
        <v>947</v>
      </c>
      <c r="C501" s="65">
        <v>46169</v>
      </c>
      <c r="D501">
        <v>23625</v>
      </c>
      <c r="E501">
        <v>4743</v>
      </c>
      <c r="F501" t="s">
        <v>962</v>
      </c>
      <c r="G501" t="s">
        <v>977</v>
      </c>
      <c r="H501">
        <v>1200000</v>
      </c>
      <c r="I501" t="s">
        <v>993</v>
      </c>
      <c r="J501" t="s">
        <v>951</v>
      </c>
      <c r="K501" t="s">
        <v>994</v>
      </c>
      <c r="L501" t="s">
        <v>951</v>
      </c>
      <c r="M501" t="s">
        <v>980</v>
      </c>
      <c r="N501" t="s">
        <v>958</v>
      </c>
      <c r="O501" t="s">
        <v>959</v>
      </c>
    </row>
    <row r="502" spans="1:15" x14ac:dyDescent="0.25">
      <c r="A502" t="s">
        <v>946</v>
      </c>
      <c r="B502" t="s">
        <v>947</v>
      </c>
      <c r="C502" s="65">
        <v>46169</v>
      </c>
      <c r="D502">
        <v>23630</v>
      </c>
      <c r="E502">
        <v>4772</v>
      </c>
      <c r="F502" t="s">
        <v>962</v>
      </c>
      <c r="G502" t="s">
        <v>977</v>
      </c>
      <c r="H502">
        <v>1300000</v>
      </c>
      <c r="I502" t="s">
        <v>993</v>
      </c>
      <c r="J502" t="s">
        <v>951</v>
      </c>
      <c r="K502" t="s">
        <v>994</v>
      </c>
      <c r="L502" t="s">
        <v>951</v>
      </c>
      <c r="M502" t="s">
        <v>980</v>
      </c>
      <c r="N502" t="s">
        <v>958</v>
      </c>
      <c r="O502" t="s">
        <v>959</v>
      </c>
    </row>
    <row r="503" spans="1:15" x14ac:dyDescent="0.25">
      <c r="A503" t="s">
        <v>946</v>
      </c>
      <c r="B503" t="s">
        <v>947</v>
      </c>
      <c r="C503" s="65">
        <v>46169</v>
      </c>
      <c r="D503">
        <v>23662</v>
      </c>
      <c r="E503">
        <v>78055909</v>
      </c>
      <c r="F503" t="s">
        <v>962</v>
      </c>
      <c r="G503" t="s">
        <v>967</v>
      </c>
      <c r="H503">
        <v>1130000</v>
      </c>
      <c r="I503" t="s">
        <v>968</v>
      </c>
      <c r="J503" t="s">
        <v>951</v>
      </c>
      <c r="K503" t="s">
        <v>969</v>
      </c>
      <c r="L503" t="s">
        <v>951</v>
      </c>
      <c r="M503" t="s">
        <v>970</v>
      </c>
      <c r="N503" t="s">
        <v>958</v>
      </c>
      <c r="O503" t="s">
        <v>959</v>
      </c>
    </row>
    <row r="504" spans="1:15" x14ac:dyDescent="0.25">
      <c r="A504" t="s">
        <v>946</v>
      </c>
      <c r="B504" t="s">
        <v>947</v>
      </c>
      <c r="C504" s="65">
        <v>46169</v>
      </c>
      <c r="D504">
        <v>23825</v>
      </c>
      <c r="E504">
        <v>741</v>
      </c>
      <c r="F504" t="s">
        <v>962</v>
      </c>
      <c r="G504" t="s">
        <v>977</v>
      </c>
      <c r="H504">
        <v>14000000</v>
      </c>
      <c r="I504" t="s">
        <v>984</v>
      </c>
      <c r="J504" t="s">
        <v>951</v>
      </c>
      <c r="K504" t="s">
        <v>985</v>
      </c>
      <c r="L504" t="s">
        <v>951</v>
      </c>
      <c r="M504" t="s">
        <v>980</v>
      </c>
      <c r="N504" t="s">
        <v>958</v>
      </c>
      <c r="O504" t="s">
        <v>959</v>
      </c>
    </row>
    <row r="505" spans="1:15" x14ac:dyDescent="0.25">
      <c r="A505" t="s">
        <v>946</v>
      </c>
      <c r="B505" t="s">
        <v>947</v>
      </c>
      <c r="C505" s="65">
        <v>46169</v>
      </c>
      <c r="D505">
        <v>23826</v>
      </c>
      <c r="E505">
        <v>742</v>
      </c>
      <c r="F505" t="s">
        <v>962</v>
      </c>
      <c r="G505" t="s">
        <v>977</v>
      </c>
      <c r="H505">
        <v>12277397.439999999</v>
      </c>
      <c r="I505" t="s">
        <v>984</v>
      </c>
      <c r="J505" t="s">
        <v>951</v>
      </c>
      <c r="K505" t="s">
        <v>985</v>
      </c>
      <c r="L505" t="s">
        <v>951</v>
      </c>
      <c r="M505" t="s">
        <v>980</v>
      </c>
      <c r="N505" t="s">
        <v>958</v>
      </c>
      <c r="O505" t="s">
        <v>959</v>
      </c>
    </row>
    <row r="506" spans="1:15" x14ac:dyDescent="0.25">
      <c r="A506" t="s">
        <v>946</v>
      </c>
      <c r="B506" t="s">
        <v>947</v>
      </c>
      <c r="C506" s="65">
        <v>46169</v>
      </c>
      <c r="D506">
        <v>23881</v>
      </c>
      <c r="E506">
        <v>63573426</v>
      </c>
      <c r="F506" t="s">
        <v>948</v>
      </c>
      <c r="G506" t="s">
        <v>983</v>
      </c>
      <c r="H506">
        <v>1500000</v>
      </c>
      <c r="I506" t="s">
        <v>996</v>
      </c>
      <c r="J506" t="s">
        <v>951</v>
      </c>
      <c r="K506" t="s">
        <v>997</v>
      </c>
      <c r="L506" t="s">
        <v>951</v>
      </c>
      <c r="M506" t="s">
        <v>986</v>
      </c>
      <c r="N506" t="s">
        <v>951</v>
      </c>
      <c r="O506" t="s">
        <v>951</v>
      </c>
    </row>
    <row r="507" spans="1:15" x14ac:dyDescent="0.25">
      <c r="A507" t="s">
        <v>946</v>
      </c>
      <c r="B507" t="s">
        <v>947</v>
      </c>
      <c r="C507" s="65">
        <v>46169</v>
      </c>
      <c r="D507">
        <v>24011</v>
      </c>
      <c r="E507">
        <v>6826539</v>
      </c>
      <c r="F507" t="s">
        <v>962</v>
      </c>
      <c r="G507" t="s">
        <v>989</v>
      </c>
      <c r="H507">
        <v>460000</v>
      </c>
      <c r="I507" t="s">
        <v>1001</v>
      </c>
      <c r="J507" t="s">
        <v>951</v>
      </c>
      <c r="K507" t="s">
        <v>1002</v>
      </c>
      <c r="L507" t="s">
        <v>951</v>
      </c>
      <c r="M507" t="s">
        <v>992</v>
      </c>
      <c r="N507" t="s">
        <v>958</v>
      </c>
      <c r="O507" t="s">
        <v>959</v>
      </c>
    </row>
    <row r="508" spans="1:15" x14ac:dyDescent="0.25">
      <c r="A508" t="s">
        <v>946</v>
      </c>
      <c r="B508" t="s">
        <v>947</v>
      </c>
      <c r="C508" s="65">
        <v>46170</v>
      </c>
      <c r="D508">
        <v>23550</v>
      </c>
      <c r="E508">
        <v>29153824</v>
      </c>
      <c r="F508" t="s">
        <v>962</v>
      </c>
      <c r="G508" t="s">
        <v>989</v>
      </c>
      <c r="H508">
        <v>8049582.4500000002</v>
      </c>
      <c r="I508" t="s">
        <v>990</v>
      </c>
      <c r="J508" t="s">
        <v>951</v>
      </c>
      <c r="K508" t="s">
        <v>991</v>
      </c>
      <c r="L508" t="s">
        <v>951</v>
      </c>
      <c r="M508" t="s">
        <v>992</v>
      </c>
      <c r="N508" t="s">
        <v>958</v>
      </c>
      <c r="O508" t="s">
        <v>959</v>
      </c>
    </row>
    <row r="509" spans="1:15" x14ac:dyDescent="0.25">
      <c r="A509" t="s">
        <v>946</v>
      </c>
      <c r="B509" t="s">
        <v>947</v>
      </c>
      <c r="C509" s="65">
        <v>46170</v>
      </c>
      <c r="D509">
        <v>23603</v>
      </c>
      <c r="E509">
        <v>78055904</v>
      </c>
      <c r="F509" t="s">
        <v>962</v>
      </c>
      <c r="G509" t="s">
        <v>967</v>
      </c>
      <c r="H509">
        <v>960000</v>
      </c>
      <c r="I509" t="s">
        <v>968</v>
      </c>
      <c r="J509" t="s">
        <v>951</v>
      </c>
      <c r="K509" t="s">
        <v>969</v>
      </c>
      <c r="L509" t="s">
        <v>951</v>
      </c>
      <c r="M509" t="s">
        <v>970</v>
      </c>
      <c r="N509" t="s">
        <v>958</v>
      </c>
      <c r="O509" t="s">
        <v>959</v>
      </c>
    </row>
    <row r="510" spans="1:15" x14ac:dyDescent="0.25">
      <c r="A510" t="s">
        <v>946</v>
      </c>
      <c r="B510" t="s">
        <v>947</v>
      </c>
      <c r="C510" s="65">
        <v>46170</v>
      </c>
      <c r="D510">
        <v>23663</v>
      </c>
      <c r="E510">
        <v>78055910</v>
      </c>
      <c r="F510" t="s">
        <v>962</v>
      </c>
      <c r="G510" t="s">
        <v>967</v>
      </c>
      <c r="H510">
        <v>1130000</v>
      </c>
      <c r="I510" t="s">
        <v>968</v>
      </c>
      <c r="J510" t="s">
        <v>951</v>
      </c>
      <c r="K510" t="s">
        <v>969</v>
      </c>
      <c r="L510" t="s">
        <v>951</v>
      </c>
      <c r="M510" t="s">
        <v>970</v>
      </c>
      <c r="N510" t="s">
        <v>958</v>
      </c>
      <c r="O510" t="s">
        <v>959</v>
      </c>
    </row>
    <row r="511" spans="1:15" x14ac:dyDescent="0.25">
      <c r="A511" t="s">
        <v>946</v>
      </c>
      <c r="B511" t="s">
        <v>947</v>
      </c>
      <c r="C511" s="65">
        <v>46170</v>
      </c>
      <c r="D511">
        <v>23674</v>
      </c>
      <c r="E511">
        <v>78055920</v>
      </c>
      <c r="F511" t="s">
        <v>962</v>
      </c>
      <c r="G511" t="s">
        <v>967</v>
      </c>
      <c r="H511">
        <v>1130000</v>
      </c>
      <c r="I511" t="s">
        <v>968</v>
      </c>
      <c r="J511" t="s">
        <v>951</v>
      </c>
      <c r="K511" t="s">
        <v>969</v>
      </c>
      <c r="L511" t="s">
        <v>951</v>
      </c>
      <c r="M511" t="s">
        <v>970</v>
      </c>
      <c r="N511" t="s">
        <v>958</v>
      </c>
      <c r="O511" t="s">
        <v>959</v>
      </c>
    </row>
    <row r="512" spans="1:15" x14ac:dyDescent="0.25">
      <c r="A512" t="s">
        <v>946</v>
      </c>
      <c r="B512" t="s">
        <v>947</v>
      </c>
      <c r="C512" s="65">
        <v>46170</v>
      </c>
      <c r="D512">
        <v>23758</v>
      </c>
      <c r="E512">
        <v>136</v>
      </c>
      <c r="F512" t="s">
        <v>962</v>
      </c>
      <c r="G512" t="s">
        <v>977</v>
      </c>
      <c r="H512">
        <v>3000206.61</v>
      </c>
      <c r="I512" t="s">
        <v>1003</v>
      </c>
      <c r="J512" t="s">
        <v>951</v>
      </c>
      <c r="K512" t="s">
        <v>1004</v>
      </c>
      <c r="L512" t="s">
        <v>951</v>
      </c>
      <c r="M512" t="s">
        <v>980</v>
      </c>
      <c r="N512" t="s">
        <v>958</v>
      </c>
      <c r="O512" t="s">
        <v>959</v>
      </c>
    </row>
    <row r="513" spans="1:15" x14ac:dyDescent="0.25">
      <c r="A513" t="s">
        <v>946</v>
      </c>
      <c r="B513" t="s">
        <v>947</v>
      </c>
      <c r="C513" s="65">
        <v>46170</v>
      </c>
      <c r="D513">
        <v>23759</v>
      </c>
      <c r="E513">
        <v>137</v>
      </c>
      <c r="F513" t="s">
        <v>962</v>
      </c>
      <c r="G513" t="s">
        <v>977</v>
      </c>
      <c r="H513">
        <v>3300000</v>
      </c>
      <c r="I513" t="s">
        <v>1003</v>
      </c>
      <c r="J513" t="s">
        <v>951</v>
      </c>
      <c r="K513" t="s">
        <v>1004</v>
      </c>
      <c r="L513" t="s">
        <v>951</v>
      </c>
      <c r="M513" t="s">
        <v>980</v>
      </c>
      <c r="N513" t="s">
        <v>958</v>
      </c>
      <c r="O513" t="s">
        <v>959</v>
      </c>
    </row>
    <row r="514" spans="1:15" x14ac:dyDescent="0.25">
      <c r="A514" t="s">
        <v>946</v>
      </c>
      <c r="B514" t="s">
        <v>947</v>
      </c>
      <c r="C514" s="65">
        <v>46170</v>
      </c>
      <c r="D514">
        <v>23760</v>
      </c>
      <c r="E514">
        <v>139</v>
      </c>
      <c r="F514" t="s">
        <v>962</v>
      </c>
      <c r="G514" t="s">
        <v>977</v>
      </c>
      <c r="H514">
        <v>3029000</v>
      </c>
      <c r="I514" t="s">
        <v>1003</v>
      </c>
      <c r="J514" t="s">
        <v>951</v>
      </c>
      <c r="K514" t="s">
        <v>1004</v>
      </c>
      <c r="L514" t="s">
        <v>951</v>
      </c>
      <c r="M514" t="s">
        <v>980</v>
      </c>
      <c r="N514" t="s">
        <v>958</v>
      </c>
      <c r="O514" t="s">
        <v>959</v>
      </c>
    </row>
    <row r="515" spans="1:15" x14ac:dyDescent="0.25">
      <c r="A515" t="s">
        <v>946</v>
      </c>
      <c r="B515" t="s">
        <v>947</v>
      </c>
      <c r="C515" s="65">
        <v>46170</v>
      </c>
      <c r="D515">
        <v>23822</v>
      </c>
      <c r="E515">
        <v>724</v>
      </c>
      <c r="F515" t="s">
        <v>962</v>
      </c>
      <c r="G515" t="s">
        <v>977</v>
      </c>
      <c r="H515">
        <v>10503121.210000001</v>
      </c>
      <c r="I515" t="s">
        <v>984</v>
      </c>
      <c r="J515" t="s">
        <v>951</v>
      </c>
      <c r="K515" t="s">
        <v>985</v>
      </c>
      <c r="L515" t="s">
        <v>951</v>
      </c>
      <c r="M515" t="s">
        <v>980</v>
      </c>
      <c r="N515" t="s">
        <v>958</v>
      </c>
      <c r="O515" t="s">
        <v>959</v>
      </c>
    </row>
    <row r="516" spans="1:15" x14ac:dyDescent="0.25">
      <c r="A516" t="s">
        <v>946</v>
      </c>
      <c r="B516" t="s">
        <v>947</v>
      </c>
      <c r="C516" s="65">
        <v>46170</v>
      </c>
      <c r="D516">
        <v>23823</v>
      </c>
      <c r="E516">
        <v>725</v>
      </c>
      <c r="F516" t="s">
        <v>962</v>
      </c>
      <c r="G516" t="s">
        <v>977</v>
      </c>
      <c r="H516">
        <v>14000000</v>
      </c>
      <c r="I516" t="s">
        <v>984</v>
      </c>
      <c r="J516" t="s">
        <v>951</v>
      </c>
      <c r="K516" t="s">
        <v>985</v>
      </c>
      <c r="L516" t="s">
        <v>951</v>
      </c>
      <c r="M516" t="s">
        <v>980</v>
      </c>
      <c r="N516" t="s">
        <v>958</v>
      </c>
      <c r="O516" t="s">
        <v>959</v>
      </c>
    </row>
    <row r="517" spans="1:15" x14ac:dyDescent="0.25">
      <c r="A517" t="s">
        <v>946</v>
      </c>
      <c r="B517" t="s">
        <v>947</v>
      </c>
      <c r="C517" s="65">
        <v>46170</v>
      </c>
      <c r="D517">
        <v>23824</v>
      </c>
      <c r="E517">
        <v>726</v>
      </c>
      <c r="F517" t="s">
        <v>962</v>
      </c>
      <c r="G517" t="s">
        <v>977</v>
      </c>
      <c r="H517">
        <v>10000000</v>
      </c>
      <c r="I517" t="s">
        <v>984</v>
      </c>
      <c r="J517" t="s">
        <v>951</v>
      </c>
      <c r="K517" t="s">
        <v>985</v>
      </c>
      <c r="L517" t="s">
        <v>951</v>
      </c>
      <c r="M517" t="s">
        <v>980</v>
      </c>
      <c r="N517" t="s">
        <v>958</v>
      </c>
      <c r="O517" t="s">
        <v>959</v>
      </c>
    </row>
    <row r="518" spans="1:15" x14ac:dyDescent="0.25">
      <c r="A518" t="s">
        <v>946</v>
      </c>
      <c r="B518" t="s">
        <v>947</v>
      </c>
      <c r="C518" s="65">
        <v>46171</v>
      </c>
      <c r="D518">
        <v>23596</v>
      </c>
      <c r="E518">
        <v>5221</v>
      </c>
      <c r="F518" t="s">
        <v>962</v>
      </c>
      <c r="G518" t="s">
        <v>967</v>
      </c>
      <c r="H518">
        <v>1626750</v>
      </c>
      <c r="I518" t="s">
        <v>1005</v>
      </c>
      <c r="J518" t="s">
        <v>951</v>
      </c>
      <c r="K518" t="s">
        <v>1006</v>
      </c>
      <c r="L518" t="s">
        <v>951</v>
      </c>
      <c r="M518" t="s">
        <v>970</v>
      </c>
      <c r="N518" t="s">
        <v>958</v>
      </c>
      <c r="O518" t="s">
        <v>959</v>
      </c>
    </row>
    <row r="519" spans="1:15" x14ac:dyDescent="0.25">
      <c r="A519" t="s">
        <v>946</v>
      </c>
      <c r="B519" t="s">
        <v>947</v>
      </c>
      <c r="C519" s="65">
        <v>46171</v>
      </c>
      <c r="D519">
        <v>23604</v>
      </c>
      <c r="E519">
        <v>78055905</v>
      </c>
      <c r="F519" t="s">
        <v>962</v>
      </c>
      <c r="G519" t="s">
        <v>967</v>
      </c>
      <c r="H519">
        <v>960000</v>
      </c>
      <c r="I519" t="s">
        <v>968</v>
      </c>
      <c r="J519" t="s">
        <v>951</v>
      </c>
      <c r="K519" t="s">
        <v>969</v>
      </c>
      <c r="L519" t="s">
        <v>951</v>
      </c>
      <c r="M519" t="s">
        <v>970</v>
      </c>
      <c r="N519" t="s">
        <v>958</v>
      </c>
      <c r="O519" t="s">
        <v>959</v>
      </c>
    </row>
    <row r="520" spans="1:15" x14ac:dyDescent="0.25">
      <c r="A520" t="s">
        <v>946</v>
      </c>
      <c r="B520" t="s">
        <v>947</v>
      </c>
      <c r="C520" s="65">
        <v>46171</v>
      </c>
      <c r="D520">
        <v>23612</v>
      </c>
      <c r="E520">
        <v>4718</v>
      </c>
      <c r="F520" t="s">
        <v>962</v>
      </c>
      <c r="G520" t="s">
        <v>977</v>
      </c>
      <c r="H520">
        <v>1300000</v>
      </c>
      <c r="I520" t="s">
        <v>993</v>
      </c>
      <c r="J520" t="s">
        <v>951</v>
      </c>
      <c r="K520" t="s">
        <v>994</v>
      </c>
      <c r="L520" t="s">
        <v>951</v>
      </c>
      <c r="M520" t="s">
        <v>980</v>
      </c>
      <c r="N520" t="s">
        <v>958</v>
      </c>
      <c r="O520" t="s">
        <v>959</v>
      </c>
    </row>
    <row r="521" spans="1:15" x14ac:dyDescent="0.25">
      <c r="A521" t="s">
        <v>946</v>
      </c>
      <c r="B521" t="s">
        <v>947</v>
      </c>
      <c r="C521" s="65">
        <v>46171</v>
      </c>
      <c r="D521">
        <v>23626</v>
      </c>
      <c r="E521">
        <v>4744</v>
      </c>
      <c r="F521" t="s">
        <v>962</v>
      </c>
      <c r="G521" t="s">
        <v>977</v>
      </c>
      <c r="H521">
        <v>1200000</v>
      </c>
      <c r="I521" t="s">
        <v>993</v>
      </c>
      <c r="J521" t="s">
        <v>951</v>
      </c>
      <c r="K521" t="s">
        <v>994</v>
      </c>
      <c r="L521" t="s">
        <v>951</v>
      </c>
      <c r="M521" t="s">
        <v>980</v>
      </c>
      <c r="N521" t="s">
        <v>958</v>
      </c>
      <c r="O521" t="s">
        <v>959</v>
      </c>
    </row>
    <row r="522" spans="1:15" x14ac:dyDescent="0.25">
      <c r="A522" t="s">
        <v>946</v>
      </c>
      <c r="B522" t="s">
        <v>947</v>
      </c>
      <c r="C522" s="65">
        <v>46171</v>
      </c>
      <c r="D522">
        <v>23631</v>
      </c>
      <c r="E522">
        <v>4773</v>
      </c>
      <c r="F522" t="s">
        <v>962</v>
      </c>
      <c r="G522" t="s">
        <v>977</v>
      </c>
      <c r="H522">
        <v>1300000</v>
      </c>
      <c r="I522" t="s">
        <v>993</v>
      </c>
      <c r="J522" t="s">
        <v>951</v>
      </c>
      <c r="K522" t="s">
        <v>994</v>
      </c>
      <c r="L522" t="s">
        <v>951</v>
      </c>
      <c r="M522" t="s">
        <v>980</v>
      </c>
      <c r="N522" t="s">
        <v>958</v>
      </c>
      <c r="O522" t="s">
        <v>959</v>
      </c>
    </row>
    <row r="523" spans="1:15" x14ac:dyDescent="0.25">
      <c r="A523" t="s">
        <v>946</v>
      </c>
      <c r="B523" t="s">
        <v>947</v>
      </c>
      <c r="C523" s="65">
        <v>46171</v>
      </c>
      <c r="D523">
        <v>23645</v>
      </c>
      <c r="E523">
        <v>29253319</v>
      </c>
      <c r="F523" t="s">
        <v>962</v>
      </c>
      <c r="G523" t="s">
        <v>989</v>
      </c>
      <c r="H523">
        <v>10000000</v>
      </c>
      <c r="I523" t="s">
        <v>990</v>
      </c>
      <c r="J523" t="s">
        <v>951</v>
      </c>
      <c r="K523" t="s">
        <v>991</v>
      </c>
      <c r="L523" t="s">
        <v>951</v>
      </c>
      <c r="M523" t="s">
        <v>992</v>
      </c>
      <c r="N523" t="s">
        <v>958</v>
      </c>
      <c r="O523" t="s">
        <v>959</v>
      </c>
    </row>
    <row r="524" spans="1:15" x14ac:dyDescent="0.25">
      <c r="A524" t="s">
        <v>946</v>
      </c>
      <c r="B524" t="s">
        <v>947</v>
      </c>
      <c r="C524" s="65">
        <v>46171</v>
      </c>
      <c r="D524">
        <v>23657</v>
      </c>
      <c r="E524">
        <v>29265630</v>
      </c>
      <c r="F524" t="s">
        <v>962</v>
      </c>
      <c r="G524" t="s">
        <v>989</v>
      </c>
      <c r="H524">
        <v>9197760</v>
      </c>
      <c r="I524" t="s">
        <v>1007</v>
      </c>
      <c r="J524" t="s">
        <v>951</v>
      </c>
      <c r="K524" t="s">
        <v>1008</v>
      </c>
      <c r="L524" t="s">
        <v>951</v>
      </c>
      <c r="M524" t="s">
        <v>992</v>
      </c>
      <c r="N524" t="s">
        <v>958</v>
      </c>
      <c r="O524" t="s">
        <v>959</v>
      </c>
    </row>
    <row r="525" spans="1:15" x14ac:dyDescent="0.25">
      <c r="A525" t="s">
        <v>946</v>
      </c>
      <c r="B525" t="s">
        <v>947</v>
      </c>
      <c r="C525" s="65">
        <v>46171</v>
      </c>
      <c r="D525">
        <v>23664</v>
      </c>
      <c r="E525">
        <v>78055911</v>
      </c>
      <c r="F525" t="s">
        <v>962</v>
      </c>
      <c r="G525" t="s">
        <v>967</v>
      </c>
      <c r="H525">
        <v>1130000</v>
      </c>
      <c r="I525" t="s">
        <v>968</v>
      </c>
      <c r="J525" t="s">
        <v>951</v>
      </c>
      <c r="K525" t="s">
        <v>969</v>
      </c>
      <c r="L525" t="s">
        <v>951</v>
      </c>
      <c r="M525" t="s">
        <v>970</v>
      </c>
      <c r="N525" t="s">
        <v>958</v>
      </c>
      <c r="O525" t="s">
        <v>959</v>
      </c>
    </row>
    <row r="526" spans="1:15" x14ac:dyDescent="0.25">
      <c r="A526" t="s">
        <v>946</v>
      </c>
      <c r="B526" t="s">
        <v>947</v>
      </c>
      <c r="C526" s="65">
        <v>46171</v>
      </c>
      <c r="D526">
        <v>23675</v>
      </c>
      <c r="E526">
        <v>78055921</v>
      </c>
      <c r="F526" t="s">
        <v>962</v>
      </c>
      <c r="G526" t="s">
        <v>967</v>
      </c>
      <c r="H526">
        <v>1130000</v>
      </c>
      <c r="I526" t="s">
        <v>968</v>
      </c>
      <c r="J526" t="s">
        <v>951</v>
      </c>
      <c r="K526" t="s">
        <v>969</v>
      </c>
      <c r="L526" t="s">
        <v>951</v>
      </c>
      <c r="M526" t="s">
        <v>970</v>
      </c>
      <c r="N526" t="s">
        <v>958</v>
      </c>
      <c r="O526" t="s">
        <v>959</v>
      </c>
    </row>
    <row r="527" spans="1:15" x14ac:dyDescent="0.25">
      <c r="A527" t="s">
        <v>946</v>
      </c>
      <c r="B527" t="s">
        <v>947</v>
      </c>
      <c r="C527" s="65">
        <v>46171</v>
      </c>
      <c r="D527">
        <v>23744</v>
      </c>
      <c r="E527">
        <v>1579</v>
      </c>
      <c r="F527" t="s">
        <v>962</v>
      </c>
      <c r="G527" t="s">
        <v>977</v>
      </c>
      <c r="H527">
        <v>22000000</v>
      </c>
      <c r="I527" t="s">
        <v>1009</v>
      </c>
      <c r="J527" t="s">
        <v>951</v>
      </c>
      <c r="K527" t="s">
        <v>1010</v>
      </c>
      <c r="L527" t="s">
        <v>951</v>
      </c>
      <c r="M527" t="s">
        <v>980</v>
      </c>
      <c r="N527" t="s">
        <v>958</v>
      </c>
      <c r="O527" t="s">
        <v>959</v>
      </c>
    </row>
    <row r="528" spans="1:15" x14ac:dyDescent="0.25">
      <c r="A528" t="s">
        <v>946</v>
      </c>
      <c r="B528" t="s">
        <v>947</v>
      </c>
      <c r="C528" s="65">
        <v>46171</v>
      </c>
      <c r="D528">
        <v>23802</v>
      </c>
      <c r="E528">
        <v>67175417</v>
      </c>
      <c r="F528" t="s">
        <v>962</v>
      </c>
      <c r="G528" t="s">
        <v>983</v>
      </c>
      <c r="H528">
        <v>7200000</v>
      </c>
      <c r="I528" t="s">
        <v>955</v>
      </c>
      <c r="J528" t="s">
        <v>951</v>
      </c>
      <c r="K528" t="s">
        <v>956</v>
      </c>
      <c r="L528" t="s">
        <v>951</v>
      </c>
      <c r="M528" t="s">
        <v>986</v>
      </c>
      <c r="N528" t="s">
        <v>958</v>
      </c>
      <c r="O528" t="s">
        <v>959</v>
      </c>
    </row>
    <row r="529" spans="1:15" x14ac:dyDescent="0.25">
      <c r="A529" t="s">
        <v>946</v>
      </c>
      <c r="B529" t="s">
        <v>947</v>
      </c>
      <c r="C529" s="65">
        <v>46171</v>
      </c>
      <c r="D529">
        <v>23807</v>
      </c>
      <c r="E529">
        <v>1544</v>
      </c>
      <c r="F529" t="s">
        <v>948</v>
      </c>
      <c r="G529" t="s">
        <v>949</v>
      </c>
      <c r="H529">
        <v>13248793.5</v>
      </c>
      <c r="I529" t="s">
        <v>974</v>
      </c>
      <c r="J529" t="s">
        <v>951</v>
      </c>
      <c r="K529" t="s">
        <v>975</v>
      </c>
      <c r="L529" t="s">
        <v>951</v>
      </c>
      <c r="M529" t="s">
        <v>953</v>
      </c>
      <c r="N529" t="s">
        <v>958</v>
      </c>
      <c r="O529" t="s">
        <v>959</v>
      </c>
    </row>
    <row r="530" spans="1:15" x14ac:dyDescent="0.25">
      <c r="A530" t="s">
        <v>946</v>
      </c>
      <c r="B530" t="s">
        <v>947</v>
      </c>
      <c r="C530" s="65">
        <v>46171</v>
      </c>
      <c r="D530">
        <v>23809</v>
      </c>
      <c r="E530">
        <v>18908</v>
      </c>
      <c r="F530" t="s">
        <v>962</v>
      </c>
      <c r="G530" t="s">
        <v>967</v>
      </c>
      <c r="H530">
        <v>3675116.4</v>
      </c>
      <c r="I530" t="s">
        <v>974</v>
      </c>
      <c r="J530" t="s">
        <v>951</v>
      </c>
      <c r="K530" t="s">
        <v>975</v>
      </c>
      <c r="L530" t="s">
        <v>951</v>
      </c>
      <c r="M530" t="s">
        <v>970</v>
      </c>
      <c r="N530" t="s">
        <v>958</v>
      </c>
      <c r="O530" t="s">
        <v>959</v>
      </c>
    </row>
    <row r="531" spans="1:15" x14ac:dyDescent="0.25">
      <c r="A531" t="s">
        <v>946</v>
      </c>
      <c r="B531" t="s">
        <v>947</v>
      </c>
      <c r="C531" s="65">
        <v>46171</v>
      </c>
      <c r="D531">
        <v>24012</v>
      </c>
      <c r="E531">
        <v>6826540</v>
      </c>
      <c r="F531" t="s">
        <v>962</v>
      </c>
      <c r="G531" t="s">
        <v>989</v>
      </c>
      <c r="H531">
        <v>18000000</v>
      </c>
      <c r="I531" t="s">
        <v>1001</v>
      </c>
      <c r="J531" t="s">
        <v>951</v>
      </c>
      <c r="K531" t="s">
        <v>1002</v>
      </c>
      <c r="L531" t="s">
        <v>951</v>
      </c>
      <c r="M531" t="s">
        <v>992</v>
      </c>
      <c r="N531" t="s">
        <v>958</v>
      </c>
      <c r="O531" t="s">
        <v>959</v>
      </c>
    </row>
    <row r="532" spans="1:15" x14ac:dyDescent="0.25">
      <c r="A532" t="s">
        <v>946</v>
      </c>
      <c r="B532" t="s">
        <v>947</v>
      </c>
      <c r="C532" s="65">
        <v>46174</v>
      </c>
      <c r="D532">
        <v>23540</v>
      </c>
      <c r="E532">
        <v>6894</v>
      </c>
      <c r="F532" t="s">
        <v>962</v>
      </c>
      <c r="G532" t="s">
        <v>977</v>
      </c>
      <c r="H532">
        <v>19015040</v>
      </c>
      <c r="I532" t="s">
        <v>978</v>
      </c>
      <c r="J532" t="s">
        <v>951</v>
      </c>
      <c r="K532" t="s">
        <v>979</v>
      </c>
      <c r="L532" t="s">
        <v>951</v>
      </c>
      <c r="M532" t="s">
        <v>980</v>
      </c>
      <c r="N532" t="s">
        <v>958</v>
      </c>
      <c r="O532" t="s">
        <v>959</v>
      </c>
    </row>
    <row r="533" spans="1:15" x14ac:dyDescent="0.25">
      <c r="A533" t="s">
        <v>946</v>
      </c>
      <c r="B533" t="s">
        <v>947</v>
      </c>
      <c r="C533" s="65">
        <v>46174</v>
      </c>
      <c r="D533">
        <v>23605</v>
      </c>
      <c r="E533">
        <v>78055906</v>
      </c>
      <c r="F533" t="s">
        <v>962</v>
      </c>
      <c r="G533" t="s">
        <v>967</v>
      </c>
      <c r="H533">
        <v>960000</v>
      </c>
      <c r="I533" t="s">
        <v>968</v>
      </c>
      <c r="J533" t="s">
        <v>951</v>
      </c>
      <c r="K533" t="s">
        <v>969</v>
      </c>
      <c r="L533" t="s">
        <v>951</v>
      </c>
      <c r="M533" t="s">
        <v>970</v>
      </c>
      <c r="N533" t="s">
        <v>958</v>
      </c>
      <c r="O533" t="s">
        <v>959</v>
      </c>
    </row>
    <row r="534" spans="1:15" x14ac:dyDescent="0.25">
      <c r="A534" t="s">
        <v>946</v>
      </c>
      <c r="B534" t="s">
        <v>947</v>
      </c>
      <c r="C534" s="65">
        <v>46174</v>
      </c>
      <c r="D534">
        <v>23621</v>
      </c>
      <c r="E534">
        <v>9845350</v>
      </c>
      <c r="F534" t="s">
        <v>962</v>
      </c>
      <c r="G534" t="s">
        <v>954</v>
      </c>
      <c r="H534">
        <v>10000000</v>
      </c>
      <c r="I534" t="s">
        <v>999</v>
      </c>
      <c r="J534" t="s">
        <v>951</v>
      </c>
      <c r="K534" t="s">
        <v>1000</v>
      </c>
      <c r="L534" t="s">
        <v>951</v>
      </c>
      <c r="M534" t="s">
        <v>957</v>
      </c>
      <c r="N534" t="s">
        <v>958</v>
      </c>
      <c r="O534" t="s">
        <v>959</v>
      </c>
    </row>
    <row r="535" spans="1:15" x14ac:dyDescent="0.25">
      <c r="A535" t="s">
        <v>946</v>
      </c>
      <c r="B535" t="s">
        <v>947</v>
      </c>
      <c r="C535" s="65">
        <v>46174</v>
      </c>
      <c r="D535">
        <v>23622</v>
      </c>
      <c r="E535">
        <v>9845351</v>
      </c>
      <c r="F535" t="s">
        <v>962</v>
      </c>
      <c r="G535" t="s">
        <v>954</v>
      </c>
      <c r="H535">
        <v>12575630</v>
      </c>
      <c r="I535" t="s">
        <v>999</v>
      </c>
      <c r="J535" t="s">
        <v>951</v>
      </c>
      <c r="K535" t="s">
        <v>1000</v>
      </c>
      <c r="L535" t="s">
        <v>951</v>
      </c>
      <c r="M535" t="s">
        <v>957</v>
      </c>
      <c r="N535" t="s">
        <v>958</v>
      </c>
      <c r="O535" t="s">
        <v>959</v>
      </c>
    </row>
    <row r="536" spans="1:15" x14ac:dyDescent="0.25">
      <c r="A536" t="s">
        <v>946</v>
      </c>
      <c r="B536" t="s">
        <v>947</v>
      </c>
      <c r="C536" s="65">
        <v>46174</v>
      </c>
      <c r="D536">
        <v>23635</v>
      </c>
      <c r="E536">
        <v>4782</v>
      </c>
      <c r="F536" t="s">
        <v>962</v>
      </c>
      <c r="G536" t="s">
        <v>977</v>
      </c>
      <c r="H536">
        <v>1300000</v>
      </c>
      <c r="I536" t="s">
        <v>993</v>
      </c>
      <c r="J536" t="s">
        <v>951</v>
      </c>
      <c r="K536" t="s">
        <v>994</v>
      </c>
      <c r="L536" t="s">
        <v>951</v>
      </c>
      <c r="M536" t="s">
        <v>980</v>
      </c>
      <c r="N536" t="s">
        <v>958</v>
      </c>
      <c r="O536" t="s">
        <v>959</v>
      </c>
    </row>
    <row r="537" spans="1:15" x14ac:dyDescent="0.25">
      <c r="A537" t="s">
        <v>946</v>
      </c>
      <c r="B537" t="s">
        <v>947</v>
      </c>
      <c r="C537" s="65">
        <v>46174</v>
      </c>
      <c r="D537">
        <v>23647</v>
      </c>
      <c r="E537">
        <v>29253321</v>
      </c>
      <c r="F537" t="s">
        <v>962</v>
      </c>
      <c r="G537" t="s">
        <v>989</v>
      </c>
      <c r="H537">
        <v>10000000</v>
      </c>
      <c r="I537" t="s">
        <v>990</v>
      </c>
      <c r="J537" t="s">
        <v>951</v>
      </c>
      <c r="K537" t="s">
        <v>991</v>
      </c>
      <c r="L537" t="s">
        <v>951</v>
      </c>
      <c r="M537" t="s">
        <v>992</v>
      </c>
      <c r="N537" t="s">
        <v>958</v>
      </c>
      <c r="O537" t="s">
        <v>959</v>
      </c>
    </row>
    <row r="538" spans="1:15" x14ac:dyDescent="0.25">
      <c r="A538" t="s">
        <v>946</v>
      </c>
      <c r="B538" t="s">
        <v>947</v>
      </c>
      <c r="C538" s="65">
        <v>46174</v>
      </c>
      <c r="D538">
        <v>23665</v>
      </c>
      <c r="E538">
        <v>78055912</v>
      </c>
      <c r="F538" t="s">
        <v>962</v>
      </c>
      <c r="G538" t="s">
        <v>967</v>
      </c>
      <c r="H538">
        <v>1130000</v>
      </c>
      <c r="I538" t="s">
        <v>968</v>
      </c>
      <c r="J538" t="s">
        <v>951</v>
      </c>
      <c r="K538" t="s">
        <v>969</v>
      </c>
      <c r="L538" t="s">
        <v>951</v>
      </c>
      <c r="M538" t="s">
        <v>970</v>
      </c>
      <c r="N538" t="s">
        <v>958</v>
      </c>
      <c r="O538" t="s">
        <v>959</v>
      </c>
    </row>
    <row r="539" spans="1:15" x14ac:dyDescent="0.25">
      <c r="A539" t="s">
        <v>946</v>
      </c>
      <c r="B539" t="s">
        <v>947</v>
      </c>
      <c r="C539" s="65">
        <v>46174</v>
      </c>
      <c r="D539">
        <v>23676</v>
      </c>
      <c r="E539">
        <v>78055922</v>
      </c>
      <c r="F539" t="s">
        <v>962</v>
      </c>
      <c r="G539" t="s">
        <v>967</v>
      </c>
      <c r="H539">
        <v>1130000</v>
      </c>
      <c r="I539" t="s">
        <v>968</v>
      </c>
      <c r="J539" t="s">
        <v>951</v>
      </c>
      <c r="K539" t="s">
        <v>969</v>
      </c>
      <c r="L539" t="s">
        <v>951</v>
      </c>
      <c r="M539" t="s">
        <v>970</v>
      </c>
      <c r="N539" t="s">
        <v>958</v>
      </c>
      <c r="O539" t="s">
        <v>959</v>
      </c>
    </row>
    <row r="540" spans="1:15" x14ac:dyDescent="0.25">
      <c r="A540" t="s">
        <v>946</v>
      </c>
      <c r="B540" t="s">
        <v>947</v>
      </c>
      <c r="C540" s="65">
        <v>46174</v>
      </c>
      <c r="D540">
        <v>23702</v>
      </c>
      <c r="E540">
        <v>66789087</v>
      </c>
      <c r="F540" t="s">
        <v>962</v>
      </c>
      <c r="G540" t="s">
        <v>983</v>
      </c>
      <c r="H540">
        <v>19500000</v>
      </c>
      <c r="I540" t="s">
        <v>984</v>
      </c>
      <c r="J540" t="s">
        <v>951</v>
      </c>
      <c r="K540" t="s">
        <v>985</v>
      </c>
      <c r="L540" t="s">
        <v>951</v>
      </c>
      <c r="M540" t="s">
        <v>986</v>
      </c>
      <c r="N540" t="s">
        <v>958</v>
      </c>
      <c r="O540" t="s">
        <v>959</v>
      </c>
    </row>
    <row r="541" spans="1:15" x14ac:dyDescent="0.25">
      <c r="A541" t="s">
        <v>946</v>
      </c>
      <c r="B541" t="s">
        <v>947</v>
      </c>
      <c r="C541" s="65">
        <v>46174</v>
      </c>
      <c r="D541">
        <v>23704</v>
      </c>
      <c r="E541">
        <v>9917592</v>
      </c>
      <c r="F541" t="s">
        <v>948</v>
      </c>
      <c r="G541" t="s">
        <v>954</v>
      </c>
      <c r="H541">
        <v>715865.58</v>
      </c>
      <c r="I541" t="s">
        <v>990</v>
      </c>
      <c r="J541" t="s">
        <v>951</v>
      </c>
      <c r="K541" t="s">
        <v>991</v>
      </c>
      <c r="L541" t="s">
        <v>951</v>
      </c>
      <c r="M541" t="s">
        <v>957</v>
      </c>
      <c r="N541" t="s">
        <v>958</v>
      </c>
      <c r="O541" t="s">
        <v>959</v>
      </c>
    </row>
    <row r="542" spans="1:15" x14ac:dyDescent="0.25">
      <c r="A542" t="s">
        <v>946</v>
      </c>
      <c r="B542" t="s">
        <v>947</v>
      </c>
      <c r="C542" s="65">
        <v>46174</v>
      </c>
      <c r="D542">
        <v>23806</v>
      </c>
      <c r="E542">
        <v>30069125</v>
      </c>
      <c r="F542" t="s">
        <v>948</v>
      </c>
      <c r="G542" t="s">
        <v>967</v>
      </c>
      <c r="H542">
        <v>13297142.220000001</v>
      </c>
      <c r="I542" t="s">
        <v>974</v>
      </c>
      <c r="J542" t="s">
        <v>951</v>
      </c>
      <c r="K542" t="s">
        <v>975</v>
      </c>
      <c r="L542" t="s">
        <v>951</v>
      </c>
      <c r="M542" t="s">
        <v>970</v>
      </c>
      <c r="N542" t="s">
        <v>958</v>
      </c>
      <c r="O542" t="s">
        <v>959</v>
      </c>
    </row>
    <row r="543" spans="1:15" x14ac:dyDescent="0.25">
      <c r="A543" t="s">
        <v>946</v>
      </c>
      <c r="B543" t="s">
        <v>947</v>
      </c>
      <c r="C543" s="65">
        <v>46175</v>
      </c>
      <c r="D543">
        <v>23595</v>
      </c>
      <c r="E543">
        <v>66643962</v>
      </c>
      <c r="F543" t="s">
        <v>962</v>
      </c>
      <c r="G543" t="s">
        <v>983</v>
      </c>
      <c r="H543">
        <v>4457800</v>
      </c>
      <c r="I543" t="s">
        <v>987</v>
      </c>
      <c r="J543" t="s">
        <v>951</v>
      </c>
      <c r="K543" t="s">
        <v>988</v>
      </c>
      <c r="L543" t="s">
        <v>951</v>
      </c>
      <c r="M543" t="s">
        <v>986</v>
      </c>
      <c r="N543" t="s">
        <v>958</v>
      </c>
      <c r="O543" t="s">
        <v>959</v>
      </c>
    </row>
    <row r="544" spans="1:15" x14ac:dyDescent="0.25">
      <c r="A544" t="s">
        <v>946</v>
      </c>
      <c r="B544" t="s">
        <v>947</v>
      </c>
      <c r="C544" s="65">
        <v>46175</v>
      </c>
      <c r="D544">
        <v>23606</v>
      </c>
      <c r="E544">
        <v>78055907</v>
      </c>
      <c r="F544" t="s">
        <v>962</v>
      </c>
      <c r="G544" t="s">
        <v>967</v>
      </c>
      <c r="H544">
        <v>943200</v>
      </c>
      <c r="I544" t="s">
        <v>968</v>
      </c>
      <c r="J544" t="s">
        <v>951</v>
      </c>
      <c r="K544" t="s">
        <v>969</v>
      </c>
      <c r="L544" t="s">
        <v>951</v>
      </c>
      <c r="M544" t="s">
        <v>970</v>
      </c>
      <c r="N544" t="s">
        <v>958</v>
      </c>
      <c r="O544" t="s">
        <v>959</v>
      </c>
    </row>
    <row r="545" spans="1:15" x14ac:dyDescent="0.25">
      <c r="A545" t="s">
        <v>946</v>
      </c>
      <c r="B545" t="s">
        <v>947</v>
      </c>
      <c r="C545" s="65">
        <v>46175</v>
      </c>
      <c r="D545">
        <v>23636</v>
      </c>
      <c r="E545">
        <v>4783</v>
      </c>
      <c r="F545" t="s">
        <v>962</v>
      </c>
      <c r="G545" t="s">
        <v>977</v>
      </c>
      <c r="H545">
        <v>1300000</v>
      </c>
      <c r="I545" t="s">
        <v>993</v>
      </c>
      <c r="J545" t="s">
        <v>951</v>
      </c>
      <c r="K545" t="s">
        <v>994</v>
      </c>
      <c r="L545" t="s">
        <v>951</v>
      </c>
      <c r="M545" t="s">
        <v>980</v>
      </c>
      <c r="N545" t="s">
        <v>958</v>
      </c>
      <c r="O545" t="s">
        <v>959</v>
      </c>
    </row>
    <row r="546" spans="1:15" x14ac:dyDescent="0.25">
      <c r="A546" t="s">
        <v>946</v>
      </c>
      <c r="B546" t="s">
        <v>947</v>
      </c>
      <c r="C546" s="65">
        <v>46175</v>
      </c>
      <c r="D546">
        <v>23666</v>
      </c>
      <c r="E546">
        <v>78055913</v>
      </c>
      <c r="F546" t="s">
        <v>962</v>
      </c>
      <c r="G546" t="s">
        <v>967</v>
      </c>
      <c r="H546">
        <v>1130000</v>
      </c>
      <c r="I546" t="s">
        <v>968</v>
      </c>
      <c r="J546" t="s">
        <v>951</v>
      </c>
      <c r="K546" t="s">
        <v>969</v>
      </c>
      <c r="L546" t="s">
        <v>951</v>
      </c>
      <c r="M546" t="s">
        <v>970</v>
      </c>
      <c r="N546" t="s">
        <v>958</v>
      </c>
      <c r="O546" t="s">
        <v>959</v>
      </c>
    </row>
    <row r="547" spans="1:15" x14ac:dyDescent="0.25">
      <c r="A547" t="s">
        <v>946</v>
      </c>
      <c r="B547" t="s">
        <v>947</v>
      </c>
      <c r="C547" s="65">
        <v>46175</v>
      </c>
      <c r="D547">
        <v>23677</v>
      </c>
      <c r="E547">
        <v>78055923</v>
      </c>
      <c r="F547" t="s">
        <v>962</v>
      </c>
      <c r="G547" t="s">
        <v>967</v>
      </c>
      <c r="H547">
        <v>1130000</v>
      </c>
      <c r="I547" t="s">
        <v>968</v>
      </c>
      <c r="J547" t="s">
        <v>951</v>
      </c>
      <c r="K547" t="s">
        <v>969</v>
      </c>
      <c r="L547" t="s">
        <v>951</v>
      </c>
      <c r="M547" t="s">
        <v>970</v>
      </c>
      <c r="N547" t="s">
        <v>958</v>
      </c>
      <c r="O547" t="s">
        <v>959</v>
      </c>
    </row>
    <row r="548" spans="1:15" x14ac:dyDescent="0.25">
      <c r="A548" t="s">
        <v>946</v>
      </c>
      <c r="B548" t="s">
        <v>947</v>
      </c>
      <c r="C548" s="65">
        <v>46175</v>
      </c>
      <c r="D548">
        <v>23684</v>
      </c>
      <c r="E548">
        <v>78055930</v>
      </c>
      <c r="F548" t="s">
        <v>962</v>
      </c>
      <c r="G548" t="s">
        <v>967</v>
      </c>
      <c r="H548">
        <v>1480000</v>
      </c>
      <c r="I548" t="s">
        <v>968</v>
      </c>
      <c r="J548" t="s">
        <v>951</v>
      </c>
      <c r="K548" t="s">
        <v>969</v>
      </c>
      <c r="L548" t="s">
        <v>951</v>
      </c>
      <c r="M548" t="s">
        <v>970</v>
      </c>
      <c r="N548" t="s">
        <v>958</v>
      </c>
      <c r="O548" t="s">
        <v>959</v>
      </c>
    </row>
    <row r="549" spans="1:15" x14ac:dyDescent="0.25">
      <c r="A549" t="s">
        <v>946</v>
      </c>
      <c r="B549" t="s">
        <v>947</v>
      </c>
      <c r="C549" s="65">
        <v>46175</v>
      </c>
      <c r="D549">
        <v>23721</v>
      </c>
      <c r="E549">
        <v>78055940</v>
      </c>
      <c r="F549" t="s">
        <v>962</v>
      </c>
      <c r="G549" t="s">
        <v>967</v>
      </c>
      <c r="H549">
        <v>1440000</v>
      </c>
      <c r="I549" t="s">
        <v>968</v>
      </c>
      <c r="J549" t="s">
        <v>951</v>
      </c>
      <c r="K549" t="s">
        <v>969</v>
      </c>
      <c r="L549" t="s">
        <v>951</v>
      </c>
      <c r="M549" t="s">
        <v>970</v>
      </c>
      <c r="N549" t="s">
        <v>958</v>
      </c>
      <c r="O549" t="s">
        <v>959</v>
      </c>
    </row>
    <row r="550" spans="1:15" x14ac:dyDescent="0.25">
      <c r="A550" t="s">
        <v>946</v>
      </c>
      <c r="B550" t="s">
        <v>947</v>
      </c>
      <c r="C550" s="65">
        <v>46176</v>
      </c>
      <c r="D550">
        <v>23594</v>
      </c>
      <c r="E550">
        <v>66643850</v>
      </c>
      <c r="F550" t="s">
        <v>962</v>
      </c>
      <c r="G550" t="s">
        <v>983</v>
      </c>
      <c r="H550">
        <v>4400000</v>
      </c>
      <c r="I550" t="s">
        <v>987</v>
      </c>
      <c r="J550" t="s">
        <v>951</v>
      </c>
      <c r="K550" t="s">
        <v>988</v>
      </c>
      <c r="L550" t="s">
        <v>951</v>
      </c>
      <c r="M550" t="s">
        <v>986</v>
      </c>
      <c r="N550" t="s">
        <v>958</v>
      </c>
      <c r="O550" t="s">
        <v>959</v>
      </c>
    </row>
    <row r="551" spans="1:15" x14ac:dyDescent="0.25">
      <c r="A551" t="s">
        <v>946</v>
      </c>
      <c r="B551" t="s">
        <v>947</v>
      </c>
      <c r="C551" s="65">
        <v>46176</v>
      </c>
      <c r="D551">
        <v>23627</v>
      </c>
      <c r="E551">
        <v>4745</v>
      </c>
      <c r="F551" t="s">
        <v>962</v>
      </c>
      <c r="G551" t="s">
        <v>977</v>
      </c>
      <c r="H551">
        <v>1200000</v>
      </c>
      <c r="I551" t="s">
        <v>993</v>
      </c>
      <c r="J551" t="s">
        <v>951</v>
      </c>
      <c r="K551" t="s">
        <v>994</v>
      </c>
      <c r="L551" t="s">
        <v>951</v>
      </c>
      <c r="M551" t="s">
        <v>980</v>
      </c>
      <c r="N551" t="s">
        <v>958</v>
      </c>
      <c r="O551" t="s">
        <v>959</v>
      </c>
    </row>
    <row r="552" spans="1:15" x14ac:dyDescent="0.25">
      <c r="A552" t="s">
        <v>946</v>
      </c>
      <c r="B552" t="s">
        <v>947</v>
      </c>
      <c r="C552" s="65">
        <v>46176</v>
      </c>
      <c r="D552">
        <v>23637</v>
      </c>
      <c r="E552">
        <v>4784</v>
      </c>
      <c r="F552" t="s">
        <v>962</v>
      </c>
      <c r="G552" t="s">
        <v>977</v>
      </c>
      <c r="H552">
        <v>1300000</v>
      </c>
      <c r="I552" t="s">
        <v>993</v>
      </c>
      <c r="J552" t="s">
        <v>951</v>
      </c>
      <c r="K552" t="s">
        <v>994</v>
      </c>
      <c r="L552" t="s">
        <v>951</v>
      </c>
      <c r="M552" t="s">
        <v>980</v>
      </c>
      <c r="N552" t="s">
        <v>958</v>
      </c>
      <c r="O552" t="s">
        <v>959</v>
      </c>
    </row>
    <row r="553" spans="1:15" x14ac:dyDescent="0.25">
      <c r="A553" t="s">
        <v>946</v>
      </c>
      <c r="B553" t="s">
        <v>947</v>
      </c>
      <c r="C553" s="65">
        <v>46176</v>
      </c>
      <c r="D553">
        <v>23653</v>
      </c>
      <c r="E553">
        <v>29265625</v>
      </c>
      <c r="F553" t="s">
        <v>962</v>
      </c>
      <c r="G553" t="s">
        <v>989</v>
      </c>
      <c r="H553">
        <v>11202048</v>
      </c>
      <c r="I553" t="s">
        <v>1007</v>
      </c>
      <c r="J553" t="s">
        <v>951</v>
      </c>
      <c r="K553" t="s">
        <v>1008</v>
      </c>
      <c r="L553" t="s">
        <v>951</v>
      </c>
      <c r="M553" t="s">
        <v>992</v>
      </c>
      <c r="N553" t="s">
        <v>958</v>
      </c>
      <c r="O553" t="s">
        <v>959</v>
      </c>
    </row>
    <row r="554" spans="1:15" x14ac:dyDescent="0.25">
      <c r="A554" t="s">
        <v>946</v>
      </c>
      <c r="B554" t="s">
        <v>947</v>
      </c>
      <c r="C554" s="65">
        <v>46177</v>
      </c>
      <c r="D554">
        <v>23628</v>
      </c>
      <c r="E554">
        <v>4746</v>
      </c>
      <c r="F554" t="s">
        <v>962</v>
      </c>
      <c r="G554" t="s">
        <v>977</v>
      </c>
      <c r="H554">
        <v>1200000</v>
      </c>
      <c r="I554" t="s">
        <v>993</v>
      </c>
      <c r="J554" t="s">
        <v>951</v>
      </c>
      <c r="K554" t="s">
        <v>994</v>
      </c>
      <c r="L554" t="s">
        <v>951</v>
      </c>
      <c r="M554" t="s">
        <v>980</v>
      </c>
      <c r="N554" t="s">
        <v>958</v>
      </c>
      <c r="O554" t="s">
        <v>959</v>
      </c>
    </row>
    <row r="555" spans="1:15" x14ac:dyDescent="0.25">
      <c r="A555" t="s">
        <v>946</v>
      </c>
      <c r="B555" t="s">
        <v>947</v>
      </c>
      <c r="C555" s="65">
        <v>46177</v>
      </c>
      <c r="D555">
        <v>23648</v>
      </c>
      <c r="E555">
        <v>29253322</v>
      </c>
      <c r="F555" t="s">
        <v>962</v>
      </c>
      <c r="G555" t="s">
        <v>989</v>
      </c>
      <c r="H555">
        <v>10000000</v>
      </c>
      <c r="I555" t="s">
        <v>990</v>
      </c>
      <c r="J555" t="s">
        <v>951</v>
      </c>
      <c r="K555" t="s">
        <v>991</v>
      </c>
      <c r="L555" t="s">
        <v>951</v>
      </c>
      <c r="M555" t="s">
        <v>992</v>
      </c>
      <c r="N555" t="s">
        <v>958</v>
      </c>
      <c r="O555" t="s">
        <v>959</v>
      </c>
    </row>
    <row r="556" spans="1:15" x14ac:dyDescent="0.25">
      <c r="A556" t="s">
        <v>946</v>
      </c>
      <c r="B556" t="s">
        <v>947</v>
      </c>
      <c r="C556" s="65">
        <v>46177</v>
      </c>
      <c r="D556">
        <v>23678</v>
      </c>
      <c r="E556">
        <v>78055924</v>
      </c>
      <c r="F556" t="s">
        <v>962</v>
      </c>
      <c r="G556" t="s">
        <v>967</v>
      </c>
      <c r="H556">
        <v>1130000</v>
      </c>
      <c r="I556" t="s">
        <v>968</v>
      </c>
      <c r="J556" t="s">
        <v>951</v>
      </c>
      <c r="K556" t="s">
        <v>969</v>
      </c>
      <c r="L556" t="s">
        <v>951</v>
      </c>
      <c r="M556" t="s">
        <v>970</v>
      </c>
      <c r="N556" t="s">
        <v>958</v>
      </c>
      <c r="O556" t="s">
        <v>959</v>
      </c>
    </row>
    <row r="557" spans="1:15" x14ac:dyDescent="0.25">
      <c r="A557" t="s">
        <v>946</v>
      </c>
      <c r="B557" t="s">
        <v>947</v>
      </c>
      <c r="C557" s="65">
        <v>46177</v>
      </c>
      <c r="D557">
        <v>23685</v>
      </c>
      <c r="E557">
        <v>78055931</v>
      </c>
      <c r="F557" t="s">
        <v>962</v>
      </c>
      <c r="G557" t="s">
        <v>967</v>
      </c>
      <c r="H557">
        <v>1480000</v>
      </c>
      <c r="I557" t="s">
        <v>968</v>
      </c>
      <c r="J557" t="s">
        <v>951</v>
      </c>
      <c r="K557" t="s">
        <v>969</v>
      </c>
      <c r="L557" t="s">
        <v>951</v>
      </c>
      <c r="M557" t="s">
        <v>970</v>
      </c>
      <c r="N557" t="s">
        <v>958</v>
      </c>
      <c r="O557" t="s">
        <v>959</v>
      </c>
    </row>
    <row r="558" spans="1:15" x14ac:dyDescent="0.25">
      <c r="A558" t="s">
        <v>946</v>
      </c>
      <c r="B558" t="s">
        <v>947</v>
      </c>
      <c r="C558" s="65">
        <v>46177</v>
      </c>
      <c r="D558">
        <v>23722</v>
      </c>
      <c r="E558">
        <v>78055941</v>
      </c>
      <c r="F558" t="s">
        <v>962</v>
      </c>
      <c r="G558" t="s">
        <v>967</v>
      </c>
      <c r="H558">
        <v>1440000</v>
      </c>
      <c r="I558" t="s">
        <v>968</v>
      </c>
      <c r="J558" t="s">
        <v>951</v>
      </c>
      <c r="K558" t="s">
        <v>969</v>
      </c>
      <c r="L558" t="s">
        <v>951</v>
      </c>
      <c r="M558" t="s">
        <v>970</v>
      </c>
      <c r="N558" t="s">
        <v>958</v>
      </c>
      <c r="O558" t="s">
        <v>959</v>
      </c>
    </row>
    <row r="559" spans="1:15" x14ac:dyDescent="0.25">
      <c r="A559" t="s">
        <v>946</v>
      </c>
      <c r="B559" t="s">
        <v>947</v>
      </c>
      <c r="C559" s="65">
        <v>46177</v>
      </c>
      <c r="D559">
        <v>23740</v>
      </c>
      <c r="E559">
        <v>13653578</v>
      </c>
      <c r="F559" t="s">
        <v>962</v>
      </c>
      <c r="G559" t="s">
        <v>963</v>
      </c>
      <c r="H559">
        <v>2342680</v>
      </c>
      <c r="I559" t="s">
        <v>964</v>
      </c>
      <c r="J559" t="s">
        <v>951</v>
      </c>
      <c r="K559" t="s">
        <v>965</v>
      </c>
      <c r="L559" t="s">
        <v>951</v>
      </c>
      <c r="M559" t="s">
        <v>966</v>
      </c>
      <c r="N559" t="s">
        <v>958</v>
      </c>
      <c r="O559" t="s">
        <v>959</v>
      </c>
    </row>
    <row r="560" spans="1:15" x14ac:dyDescent="0.25">
      <c r="A560" t="s">
        <v>946</v>
      </c>
      <c r="B560" t="s">
        <v>947</v>
      </c>
      <c r="C560" s="65">
        <v>46178</v>
      </c>
      <c r="D560">
        <v>23593</v>
      </c>
      <c r="E560">
        <v>6948</v>
      </c>
      <c r="F560" t="s">
        <v>962</v>
      </c>
      <c r="G560" t="s">
        <v>977</v>
      </c>
      <c r="H560">
        <v>17842880</v>
      </c>
      <c r="I560" t="s">
        <v>978</v>
      </c>
      <c r="J560" t="s">
        <v>951</v>
      </c>
      <c r="K560" t="s">
        <v>979</v>
      </c>
      <c r="L560" t="s">
        <v>951</v>
      </c>
      <c r="M560" t="s">
        <v>980</v>
      </c>
      <c r="N560" t="s">
        <v>958</v>
      </c>
      <c r="O560" t="s">
        <v>959</v>
      </c>
    </row>
    <row r="561" spans="1:15" x14ac:dyDescent="0.25">
      <c r="A561" t="s">
        <v>946</v>
      </c>
      <c r="B561" t="s">
        <v>947</v>
      </c>
      <c r="C561" s="65">
        <v>46178</v>
      </c>
      <c r="D561">
        <v>23613</v>
      </c>
      <c r="E561">
        <v>4719</v>
      </c>
      <c r="F561" t="s">
        <v>962</v>
      </c>
      <c r="G561" t="s">
        <v>977</v>
      </c>
      <c r="H561">
        <v>1300000</v>
      </c>
      <c r="I561" t="s">
        <v>993</v>
      </c>
      <c r="J561" t="s">
        <v>951</v>
      </c>
      <c r="K561" t="s">
        <v>994</v>
      </c>
      <c r="L561" t="s">
        <v>951</v>
      </c>
      <c r="M561" t="s">
        <v>980</v>
      </c>
      <c r="N561" t="s">
        <v>958</v>
      </c>
      <c r="O561" t="s">
        <v>959</v>
      </c>
    </row>
    <row r="562" spans="1:15" x14ac:dyDescent="0.25">
      <c r="A562" t="s">
        <v>946</v>
      </c>
      <c r="B562" t="s">
        <v>947</v>
      </c>
      <c r="C562" s="65">
        <v>46178</v>
      </c>
      <c r="D562">
        <v>23629</v>
      </c>
      <c r="E562">
        <v>4747</v>
      </c>
      <c r="F562" t="s">
        <v>962</v>
      </c>
      <c r="G562" t="s">
        <v>977</v>
      </c>
      <c r="H562">
        <v>953100</v>
      </c>
      <c r="I562" t="s">
        <v>993</v>
      </c>
      <c r="J562" t="s">
        <v>951</v>
      </c>
      <c r="K562" t="s">
        <v>994</v>
      </c>
      <c r="L562" t="s">
        <v>951</v>
      </c>
      <c r="M562" t="s">
        <v>980</v>
      </c>
      <c r="N562" t="s">
        <v>958</v>
      </c>
      <c r="O562" t="s">
        <v>959</v>
      </c>
    </row>
    <row r="563" spans="1:15" x14ac:dyDescent="0.25">
      <c r="A563" t="s">
        <v>946</v>
      </c>
      <c r="B563" t="s">
        <v>947</v>
      </c>
      <c r="C563" s="65">
        <v>46178</v>
      </c>
      <c r="D563">
        <v>23646</v>
      </c>
      <c r="E563">
        <v>29253320</v>
      </c>
      <c r="F563" t="s">
        <v>962</v>
      </c>
      <c r="G563" t="s">
        <v>989</v>
      </c>
      <c r="H563">
        <v>8077630</v>
      </c>
      <c r="I563" t="s">
        <v>990</v>
      </c>
      <c r="J563" t="s">
        <v>951</v>
      </c>
      <c r="K563" t="s">
        <v>991</v>
      </c>
      <c r="L563" t="s">
        <v>951</v>
      </c>
      <c r="M563" t="s">
        <v>992</v>
      </c>
      <c r="N563" t="s">
        <v>958</v>
      </c>
      <c r="O563" t="s">
        <v>959</v>
      </c>
    </row>
    <row r="564" spans="1:15" x14ac:dyDescent="0.25">
      <c r="A564" t="s">
        <v>946</v>
      </c>
      <c r="B564" t="s">
        <v>947</v>
      </c>
      <c r="C564" s="65">
        <v>46178</v>
      </c>
      <c r="D564">
        <v>23654</v>
      </c>
      <c r="E564">
        <v>29265626</v>
      </c>
      <c r="F564" t="s">
        <v>962</v>
      </c>
      <c r="G564" t="s">
        <v>989</v>
      </c>
      <c r="H564">
        <v>10296000</v>
      </c>
      <c r="I564" t="s">
        <v>1007</v>
      </c>
      <c r="J564" t="s">
        <v>951</v>
      </c>
      <c r="K564" t="s">
        <v>1008</v>
      </c>
      <c r="L564" t="s">
        <v>951</v>
      </c>
      <c r="M564" t="s">
        <v>992</v>
      </c>
      <c r="N564" t="s">
        <v>958</v>
      </c>
      <c r="O564" t="s">
        <v>959</v>
      </c>
    </row>
    <row r="565" spans="1:15" x14ac:dyDescent="0.25">
      <c r="A565" t="s">
        <v>946</v>
      </c>
      <c r="B565" t="s">
        <v>947</v>
      </c>
      <c r="C565" s="65">
        <v>46178</v>
      </c>
      <c r="D565">
        <v>23668</v>
      </c>
      <c r="E565">
        <v>78055915</v>
      </c>
      <c r="F565" t="s">
        <v>962</v>
      </c>
      <c r="G565" t="s">
        <v>967</v>
      </c>
      <c r="H565">
        <v>1130000</v>
      </c>
      <c r="I565" t="s">
        <v>968</v>
      </c>
      <c r="J565" t="s">
        <v>951</v>
      </c>
      <c r="K565" t="s">
        <v>969</v>
      </c>
      <c r="L565" t="s">
        <v>951</v>
      </c>
      <c r="M565" t="s">
        <v>970</v>
      </c>
      <c r="N565" t="s">
        <v>958</v>
      </c>
      <c r="O565" t="s">
        <v>959</v>
      </c>
    </row>
    <row r="566" spans="1:15" x14ac:dyDescent="0.25">
      <c r="A566" t="s">
        <v>946</v>
      </c>
      <c r="B566" t="s">
        <v>947</v>
      </c>
      <c r="C566" s="65">
        <v>46178</v>
      </c>
      <c r="D566">
        <v>23679</v>
      </c>
      <c r="E566">
        <v>78055925</v>
      </c>
      <c r="F566" t="s">
        <v>962</v>
      </c>
      <c r="G566" t="s">
        <v>967</v>
      </c>
      <c r="H566">
        <v>1130000</v>
      </c>
      <c r="I566" t="s">
        <v>968</v>
      </c>
      <c r="J566" t="s">
        <v>951</v>
      </c>
      <c r="K566" t="s">
        <v>969</v>
      </c>
      <c r="L566" t="s">
        <v>951</v>
      </c>
      <c r="M566" t="s">
        <v>970</v>
      </c>
      <c r="N566" t="s">
        <v>958</v>
      </c>
      <c r="O566" t="s">
        <v>959</v>
      </c>
    </row>
    <row r="567" spans="1:15" x14ac:dyDescent="0.25">
      <c r="A567" t="s">
        <v>946</v>
      </c>
      <c r="B567" t="s">
        <v>947</v>
      </c>
      <c r="C567" s="65">
        <v>46178</v>
      </c>
      <c r="D567">
        <v>23686</v>
      </c>
      <c r="E567">
        <v>78055932</v>
      </c>
      <c r="F567" t="s">
        <v>962</v>
      </c>
      <c r="G567" t="s">
        <v>967</v>
      </c>
      <c r="H567">
        <v>1480000</v>
      </c>
      <c r="I567" t="s">
        <v>968</v>
      </c>
      <c r="J567" t="s">
        <v>951</v>
      </c>
      <c r="K567" t="s">
        <v>969</v>
      </c>
      <c r="L567" t="s">
        <v>951</v>
      </c>
      <c r="M567" t="s">
        <v>970</v>
      </c>
      <c r="N567" t="s">
        <v>958</v>
      </c>
      <c r="O567" t="s">
        <v>959</v>
      </c>
    </row>
    <row r="568" spans="1:15" x14ac:dyDescent="0.25">
      <c r="A568" t="s">
        <v>946</v>
      </c>
      <c r="B568" t="s">
        <v>947</v>
      </c>
      <c r="C568" s="65">
        <v>46178</v>
      </c>
      <c r="D568">
        <v>23707</v>
      </c>
      <c r="E568">
        <v>29302289</v>
      </c>
      <c r="F568" t="s">
        <v>962</v>
      </c>
      <c r="G568" t="s">
        <v>989</v>
      </c>
      <c r="H568">
        <v>465356.51</v>
      </c>
      <c r="I568" t="s">
        <v>990</v>
      </c>
      <c r="J568" t="s">
        <v>951</v>
      </c>
      <c r="K568" t="s">
        <v>991</v>
      </c>
      <c r="L568" t="s">
        <v>951</v>
      </c>
      <c r="M568" t="s">
        <v>992</v>
      </c>
      <c r="N568" t="s">
        <v>958</v>
      </c>
      <c r="O568" t="s">
        <v>959</v>
      </c>
    </row>
    <row r="569" spans="1:15" x14ac:dyDescent="0.25">
      <c r="A569" t="s">
        <v>946</v>
      </c>
      <c r="B569" t="s">
        <v>947</v>
      </c>
      <c r="C569" s="65">
        <v>46178</v>
      </c>
      <c r="D569">
        <v>23723</v>
      </c>
      <c r="E569">
        <v>78055942</v>
      </c>
      <c r="F569" t="s">
        <v>962</v>
      </c>
      <c r="G569" t="s">
        <v>967</v>
      </c>
      <c r="H569">
        <v>1440000</v>
      </c>
      <c r="I569" t="s">
        <v>968</v>
      </c>
      <c r="J569" t="s">
        <v>951</v>
      </c>
      <c r="K569" t="s">
        <v>969</v>
      </c>
      <c r="L569" t="s">
        <v>951</v>
      </c>
      <c r="M569" t="s">
        <v>970</v>
      </c>
      <c r="N569" t="s">
        <v>958</v>
      </c>
      <c r="O569" t="s">
        <v>959</v>
      </c>
    </row>
    <row r="570" spans="1:15" x14ac:dyDescent="0.25">
      <c r="A570" t="s">
        <v>946</v>
      </c>
      <c r="B570" t="s">
        <v>947</v>
      </c>
      <c r="C570" s="65">
        <v>46178</v>
      </c>
      <c r="D570">
        <v>23741</v>
      </c>
      <c r="E570">
        <v>13653579</v>
      </c>
      <c r="F570" t="s">
        <v>962</v>
      </c>
      <c r="G570" t="s">
        <v>963</v>
      </c>
      <c r="H570">
        <v>2250000</v>
      </c>
      <c r="I570" t="s">
        <v>964</v>
      </c>
      <c r="J570" t="s">
        <v>951</v>
      </c>
      <c r="K570" t="s">
        <v>965</v>
      </c>
      <c r="L570" t="s">
        <v>951</v>
      </c>
      <c r="M570" t="s">
        <v>966</v>
      </c>
      <c r="N570" t="s">
        <v>958</v>
      </c>
      <c r="O570" t="s">
        <v>959</v>
      </c>
    </row>
    <row r="571" spans="1:15" x14ac:dyDescent="0.25">
      <c r="A571" t="s">
        <v>946</v>
      </c>
      <c r="B571" t="s">
        <v>947</v>
      </c>
      <c r="C571" s="65">
        <v>46178</v>
      </c>
      <c r="D571">
        <v>23803</v>
      </c>
      <c r="E571">
        <v>67175571</v>
      </c>
      <c r="F571" t="s">
        <v>962</v>
      </c>
      <c r="G571" t="s">
        <v>983</v>
      </c>
      <c r="H571">
        <v>7200000</v>
      </c>
      <c r="I571" t="s">
        <v>955</v>
      </c>
      <c r="J571" t="s">
        <v>951</v>
      </c>
      <c r="K571" t="s">
        <v>956</v>
      </c>
      <c r="L571" t="s">
        <v>951</v>
      </c>
      <c r="M571" t="s">
        <v>986</v>
      </c>
      <c r="N571" t="s">
        <v>958</v>
      </c>
      <c r="O571" t="s">
        <v>959</v>
      </c>
    </row>
    <row r="572" spans="1:15" x14ac:dyDescent="0.25">
      <c r="A572" t="s">
        <v>946</v>
      </c>
      <c r="B572" t="s">
        <v>947</v>
      </c>
      <c r="C572" s="65">
        <v>46178</v>
      </c>
      <c r="D572">
        <v>23955</v>
      </c>
      <c r="E572">
        <v>18970</v>
      </c>
      <c r="F572" t="s">
        <v>962</v>
      </c>
      <c r="G572" t="s">
        <v>967</v>
      </c>
      <c r="H572">
        <v>48089.29</v>
      </c>
      <c r="I572" t="s">
        <v>974</v>
      </c>
      <c r="J572" t="s">
        <v>951</v>
      </c>
      <c r="K572" t="s">
        <v>975</v>
      </c>
      <c r="L572" t="s">
        <v>951</v>
      </c>
      <c r="M572" t="s">
        <v>970</v>
      </c>
      <c r="N572" t="s">
        <v>958</v>
      </c>
      <c r="O572" t="s">
        <v>959</v>
      </c>
    </row>
    <row r="573" spans="1:15" x14ac:dyDescent="0.25">
      <c r="A573" t="s">
        <v>946</v>
      </c>
      <c r="B573" t="s">
        <v>947</v>
      </c>
      <c r="C573" s="65">
        <v>46181</v>
      </c>
      <c r="D573">
        <v>23614</v>
      </c>
      <c r="E573">
        <v>4720</v>
      </c>
      <c r="F573" t="s">
        <v>962</v>
      </c>
      <c r="G573" t="s">
        <v>977</v>
      </c>
      <c r="H573">
        <v>949750</v>
      </c>
      <c r="I573" t="s">
        <v>993</v>
      </c>
      <c r="J573" t="s">
        <v>951</v>
      </c>
      <c r="K573" t="s">
        <v>994</v>
      </c>
      <c r="L573" t="s">
        <v>951</v>
      </c>
      <c r="M573" t="s">
        <v>980</v>
      </c>
      <c r="N573" t="s">
        <v>958</v>
      </c>
      <c r="O573" t="s">
        <v>959</v>
      </c>
    </row>
    <row r="574" spans="1:15" x14ac:dyDescent="0.25">
      <c r="A574" t="s">
        <v>946</v>
      </c>
      <c r="B574" t="s">
        <v>947</v>
      </c>
      <c r="C574" s="65">
        <v>46181</v>
      </c>
      <c r="D574">
        <v>23632</v>
      </c>
      <c r="E574">
        <v>4774</v>
      </c>
      <c r="F574" t="s">
        <v>962</v>
      </c>
      <c r="G574" t="s">
        <v>977</v>
      </c>
      <c r="H574">
        <v>1300000</v>
      </c>
      <c r="I574" t="s">
        <v>993</v>
      </c>
      <c r="J574" t="s">
        <v>951</v>
      </c>
      <c r="K574" t="s">
        <v>994</v>
      </c>
      <c r="L574" t="s">
        <v>951</v>
      </c>
      <c r="M574" t="s">
        <v>980</v>
      </c>
      <c r="N574" t="s">
        <v>958</v>
      </c>
      <c r="O574" t="s">
        <v>959</v>
      </c>
    </row>
    <row r="575" spans="1:15" x14ac:dyDescent="0.25">
      <c r="A575" t="s">
        <v>946</v>
      </c>
      <c r="B575" t="s">
        <v>947</v>
      </c>
      <c r="C575" s="65">
        <v>46181</v>
      </c>
      <c r="D575">
        <v>23638</v>
      </c>
      <c r="E575">
        <v>4785</v>
      </c>
      <c r="F575" t="s">
        <v>962</v>
      </c>
      <c r="G575" t="s">
        <v>977</v>
      </c>
      <c r="H575">
        <v>1300000</v>
      </c>
      <c r="I575" t="s">
        <v>993</v>
      </c>
      <c r="J575" t="s">
        <v>951</v>
      </c>
      <c r="K575" t="s">
        <v>994</v>
      </c>
      <c r="L575" t="s">
        <v>951</v>
      </c>
      <c r="M575" t="s">
        <v>980</v>
      </c>
      <c r="N575" t="s">
        <v>958</v>
      </c>
      <c r="O575" t="s">
        <v>959</v>
      </c>
    </row>
    <row r="576" spans="1:15" x14ac:dyDescent="0.25">
      <c r="A576" t="s">
        <v>946</v>
      </c>
      <c r="B576" t="s">
        <v>947</v>
      </c>
      <c r="C576" s="65">
        <v>46181</v>
      </c>
      <c r="D576">
        <v>23652</v>
      </c>
      <c r="E576">
        <v>9845354</v>
      </c>
      <c r="F576" t="s">
        <v>962</v>
      </c>
      <c r="G576" t="s">
        <v>954</v>
      </c>
      <c r="H576">
        <v>18288270</v>
      </c>
      <c r="I576" t="s">
        <v>999</v>
      </c>
      <c r="J576" t="s">
        <v>951</v>
      </c>
      <c r="K576" t="s">
        <v>1000</v>
      </c>
      <c r="L576" t="s">
        <v>951</v>
      </c>
      <c r="M576" t="s">
        <v>957</v>
      </c>
      <c r="N576" t="s">
        <v>958</v>
      </c>
      <c r="O576" t="s">
        <v>959</v>
      </c>
    </row>
    <row r="577" spans="1:15" x14ac:dyDescent="0.25">
      <c r="A577" t="s">
        <v>946</v>
      </c>
      <c r="B577" t="s">
        <v>947</v>
      </c>
      <c r="C577" s="65">
        <v>46181</v>
      </c>
      <c r="D577">
        <v>23656</v>
      </c>
      <c r="E577">
        <v>29265628</v>
      </c>
      <c r="F577" t="s">
        <v>962</v>
      </c>
      <c r="G577" t="s">
        <v>989</v>
      </c>
      <c r="H577">
        <v>14826240</v>
      </c>
      <c r="I577" t="s">
        <v>1007</v>
      </c>
      <c r="J577" t="s">
        <v>951</v>
      </c>
      <c r="K577" t="s">
        <v>1008</v>
      </c>
      <c r="L577" t="s">
        <v>951</v>
      </c>
      <c r="M577" t="s">
        <v>992</v>
      </c>
      <c r="N577" t="s">
        <v>958</v>
      </c>
      <c r="O577" t="s">
        <v>959</v>
      </c>
    </row>
    <row r="578" spans="1:15" x14ac:dyDescent="0.25">
      <c r="A578" t="s">
        <v>946</v>
      </c>
      <c r="B578" t="s">
        <v>947</v>
      </c>
      <c r="C578" s="65">
        <v>46181</v>
      </c>
      <c r="D578">
        <v>23669</v>
      </c>
      <c r="E578">
        <v>78055916</v>
      </c>
      <c r="F578" t="s">
        <v>962</v>
      </c>
      <c r="G578" t="s">
        <v>967</v>
      </c>
      <c r="H578">
        <v>1130000</v>
      </c>
      <c r="I578" t="s">
        <v>968</v>
      </c>
      <c r="J578" t="s">
        <v>951</v>
      </c>
      <c r="K578" t="s">
        <v>969</v>
      </c>
      <c r="L578" t="s">
        <v>951</v>
      </c>
      <c r="M578" t="s">
        <v>970</v>
      </c>
      <c r="N578" t="s">
        <v>958</v>
      </c>
      <c r="O578" t="s">
        <v>959</v>
      </c>
    </row>
    <row r="579" spans="1:15" x14ac:dyDescent="0.25">
      <c r="A579" t="s">
        <v>946</v>
      </c>
      <c r="B579" t="s">
        <v>947</v>
      </c>
      <c r="C579" s="65">
        <v>46181</v>
      </c>
      <c r="D579">
        <v>23680</v>
      </c>
      <c r="E579">
        <v>78055926</v>
      </c>
      <c r="F579" t="s">
        <v>962</v>
      </c>
      <c r="G579" t="s">
        <v>967</v>
      </c>
      <c r="H579">
        <v>1130000</v>
      </c>
      <c r="I579" t="s">
        <v>968</v>
      </c>
      <c r="J579" t="s">
        <v>951</v>
      </c>
      <c r="K579" t="s">
        <v>969</v>
      </c>
      <c r="L579" t="s">
        <v>951</v>
      </c>
      <c r="M579" t="s">
        <v>970</v>
      </c>
      <c r="N579" t="s">
        <v>958</v>
      </c>
      <c r="O579" t="s">
        <v>959</v>
      </c>
    </row>
    <row r="580" spans="1:15" x14ac:dyDescent="0.25">
      <c r="A580" t="s">
        <v>946</v>
      </c>
      <c r="B580" t="s">
        <v>947</v>
      </c>
      <c r="C580" s="65">
        <v>46181</v>
      </c>
      <c r="D580">
        <v>23687</v>
      </c>
      <c r="E580">
        <v>78055933</v>
      </c>
      <c r="F580" t="s">
        <v>962</v>
      </c>
      <c r="G580" t="s">
        <v>967</v>
      </c>
      <c r="H580">
        <v>1480000</v>
      </c>
      <c r="I580" t="s">
        <v>968</v>
      </c>
      <c r="J580" t="s">
        <v>951</v>
      </c>
      <c r="K580" t="s">
        <v>969</v>
      </c>
      <c r="L580" t="s">
        <v>951</v>
      </c>
      <c r="M580" t="s">
        <v>970</v>
      </c>
      <c r="N580" t="s">
        <v>958</v>
      </c>
      <c r="O580" t="s">
        <v>959</v>
      </c>
    </row>
    <row r="581" spans="1:15" x14ac:dyDescent="0.25">
      <c r="A581" t="s">
        <v>946</v>
      </c>
      <c r="B581" t="s">
        <v>947</v>
      </c>
      <c r="C581" s="65">
        <v>46181</v>
      </c>
      <c r="D581">
        <v>23696</v>
      </c>
      <c r="E581">
        <v>9564668</v>
      </c>
      <c r="F581" t="s">
        <v>962</v>
      </c>
      <c r="G581" t="s">
        <v>954</v>
      </c>
      <c r="H581">
        <v>6348840</v>
      </c>
      <c r="I581" t="s">
        <v>1011</v>
      </c>
      <c r="J581" t="s">
        <v>951</v>
      </c>
      <c r="K581" t="s">
        <v>1012</v>
      </c>
      <c r="L581" t="s">
        <v>951</v>
      </c>
      <c r="M581" t="s">
        <v>957</v>
      </c>
      <c r="N581" t="s">
        <v>958</v>
      </c>
      <c r="O581" t="s">
        <v>959</v>
      </c>
    </row>
    <row r="582" spans="1:15" x14ac:dyDescent="0.25">
      <c r="A582" t="s">
        <v>946</v>
      </c>
      <c r="B582" t="s">
        <v>947</v>
      </c>
      <c r="C582" s="65">
        <v>46181</v>
      </c>
      <c r="D582">
        <v>23697</v>
      </c>
      <c r="E582">
        <v>9564669</v>
      </c>
      <c r="F582" t="s">
        <v>962</v>
      </c>
      <c r="G582" t="s">
        <v>954</v>
      </c>
      <c r="H582">
        <v>6000000</v>
      </c>
      <c r="I582" t="s">
        <v>1011</v>
      </c>
      <c r="J582" t="s">
        <v>951</v>
      </c>
      <c r="K582" t="s">
        <v>1012</v>
      </c>
      <c r="L582" t="s">
        <v>951</v>
      </c>
      <c r="M582" t="s">
        <v>957</v>
      </c>
      <c r="N582" t="s">
        <v>958</v>
      </c>
      <c r="O582" t="s">
        <v>959</v>
      </c>
    </row>
    <row r="583" spans="1:15" x14ac:dyDescent="0.25">
      <c r="A583" t="s">
        <v>946</v>
      </c>
      <c r="B583" t="s">
        <v>947</v>
      </c>
      <c r="C583" s="65">
        <v>46181</v>
      </c>
      <c r="D583">
        <v>23698</v>
      </c>
      <c r="E583">
        <v>9564670</v>
      </c>
      <c r="F583" t="s">
        <v>962</v>
      </c>
      <c r="G583" t="s">
        <v>954</v>
      </c>
      <c r="H583">
        <v>6000000</v>
      </c>
      <c r="I583" t="s">
        <v>1011</v>
      </c>
      <c r="J583" t="s">
        <v>951</v>
      </c>
      <c r="K583" t="s">
        <v>1012</v>
      </c>
      <c r="L583" t="s">
        <v>951</v>
      </c>
      <c r="M583" t="s">
        <v>957</v>
      </c>
      <c r="N583" t="s">
        <v>958</v>
      </c>
      <c r="O583" t="s">
        <v>959</v>
      </c>
    </row>
    <row r="584" spans="1:15" x14ac:dyDescent="0.25">
      <c r="A584" t="s">
        <v>946</v>
      </c>
      <c r="B584" t="s">
        <v>947</v>
      </c>
      <c r="C584" s="65">
        <v>46181</v>
      </c>
      <c r="D584">
        <v>23699</v>
      </c>
      <c r="E584">
        <v>9564671</v>
      </c>
      <c r="F584" t="s">
        <v>962</v>
      </c>
      <c r="G584" t="s">
        <v>954</v>
      </c>
      <c r="H584">
        <v>6000000</v>
      </c>
      <c r="I584" t="s">
        <v>1011</v>
      </c>
      <c r="J584" t="s">
        <v>951</v>
      </c>
      <c r="K584" t="s">
        <v>1012</v>
      </c>
      <c r="L584" t="s">
        <v>951</v>
      </c>
      <c r="M584" t="s">
        <v>957</v>
      </c>
      <c r="N584" t="s">
        <v>958</v>
      </c>
      <c r="O584" t="s">
        <v>959</v>
      </c>
    </row>
    <row r="585" spans="1:15" x14ac:dyDescent="0.25">
      <c r="A585" t="s">
        <v>946</v>
      </c>
      <c r="B585" t="s">
        <v>947</v>
      </c>
      <c r="C585" s="65">
        <v>46181</v>
      </c>
      <c r="D585">
        <v>23700</v>
      </c>
      <c r="E585">
        <v>9564672</v>
      </c>
      <c r="F585" t="s">
        <v>962</v>
      </c>
      <c r="G585" t="s">
        <v>954</v>
      </c>
      <c r="H585">
        <v>6000000</v>
      </c>
      <c r="I585" t="s">
        <v>1011</v>
      </c>
      <c r="J585" t="s">
        <v>951</v>
      </c>
      <c r="K585" t="s">
        <v>1012</v>
      </c>
      <c r="L585" t="s">
        <v>951</v>
      </c>
      <c r="M585" t="s">
        <v>957</v>
      </c>
      <c r="N585" t="s">
        <v>958</v>
      </c>
      <c r="O585" t="s">
        <v>959</v>
      </c>
    </row>
    <row r="586" spans="1:15" x14ac:dyDescent="0.25">
      <c r="A586" t="s">
        <v>946</v>
      </c>
      <c r="B586" t="s">
        <v>947</v>
      </c>
      <c r="C586" s="65">
        <v>46181</v>
      </c>
      <c r="D586">
        <v>23701</v>
      </c>
      <c r="E586">
        <v>9564673</v>
      </c>
      <c r="F586" t="s">
        <v>962</v>
      </c>
      <c r="G586" t="s">
        <v>954</v>
      </c>
      <c r="H586">
        <v>6000000</v>
      </c>
      <c r="I586" t="s">
        <v>1011</v>
      </c>
      <c r="J586" t="s">
        <v>951</v>
      </c>
      <c r="K586" t="s">
        <v>1012</v>
      </c>
      <c r="L586" t="s">
        <v>951</v>
      </c>
      <c r="M586" t="s">
        <v>957</v>
      </c>
      <c r="N586" t="s">
        <v>958</v>
      </c>
      <c r="O586" t="s">
        <v>959</v>
      </c>
    </row>
    <row r="587" spans="1:15" x14ac:dyDescent="0.25">
      <c r="A587" t="s">
        <v>946</v>
      </c>
      <c r="B587" t="s">
        <v>947</v>
      </c>
      <c r="C587" s="65">
        <v>46181</v>
      </c>
      <c r="D587">
        <v>23703</v>
      </c>
      <c r="E587">
        <v>66789124</v>
      </c>
      <c r="F587" t="s">
        <v>962</v>
      </c>
      <c r="G587" t="s">
        <v>983</v>
      </c>
      <c r="H587">
        <v>13467723.99</v>
      </c>
      <c r="I587" t="s">
        <v>984</v>
      </c>
      <c r="J587" t="s">
        <v>951</v>
      </c>
      <c r="K587" t="s">
        <v>985</v>
      </c>
      <c r="L587" t="s">
        <v>951</v>
      </c>
      <c r="M587" t="s">
        <v>986</v>
      </c>
      <c r="N587" t="s">
        <v>958</v>
      </c>
      <c r="O587" t="s">
        <v>959</v>
      </c>
    </row>
    <row r="588" spans="1:15" x14ac:dyDescent="0.25">
      <c r="A588" t="s">
        <v>946</v>
      </c>
      <c r="B588" t="s">
        <v>947</v>
      </c>
      <c r="C588" s="65">
        <v>46181</v>
      </c>
      <c r="D588">
        <v>23724</v>
      </c>
      <c r="E588">
        <v>78055943</v>
      </c>
      <c r="F588" t="s">
        <v>962</v>
      </c>
      <c r="G588" t="s">
        <v>967</v>
      </c>
      <c r="H588">
        <v>1440000</v>
      </c>
      <c r="I588" t="s">
        <v>968</v>
      </c>
      <c r="J588" t="s">
        <v>951</v>
      </c>
      <c r="K588" t="s">
        <v>969</v>
      </c>
      <c r="L588" t="s">
        <v>951</v>
      </c>
      <c r="M588" t="s">
        <v>970</v>
      </c>
      <c r="N588" t="s">
        <v>958</v>
      </c>
      <c r="O588" t="s">
        <v>959</v>
      </c>
    </row>
    <row r="589" spans="1:15" x14ac:dyDescent="0.25">
      <c r="A589" t="s">
        <v>946</v>
      </c>
      <c r="B589" t="s">
        <v>947</v>
      </c>
      <c r="C589" s="65">
        <v>46181</v>
      </c>
      <c r="D589">
        <v>23742</v>
      </c>
      <c r="E589">
        <v>13653580</v>
      </c>
      <c r="F589" t="s">
        <v>962</v>
      </c>
      <c r="G589" t="s">
        <v>963</v>
      </c>
      <c r="H589">
        <v>2250000</v>
      </c>
      <c r="I589" t="s">
        <v>964</v>
      </c>
      <c r="J589" t="s">
        <v>951</v>
      </c>
      <c r="K589" t="s">
        <v>965</v>
      </c>
      <c r="L589" t="s">
        <v>951</v>
      </c>
      <c r="M589" t="s">
        <v>966</v>
      </c>
      <c r="N589" t="s">
        <v>958</v>
      </c>
      <c r="O589" t="s">
        <v>959</v>
      </c>
    </row>
    <row r="590" spans="1:15" x14ac:dyDescent="0.25">
      <c r="A590" t="s">
        <v>946</v>
      </c>
      <c r="B590" t="s">
        <v>947</v>
      </c>
      <c r="C590" s="65">
        <v>46181</v>
      </c>
      <c r="D590">
        <v>23743</v>
      </c>
      <c r="E590">
        <v>13653581</v>
      </c>
      <c r="F590" t="s">
        <v>962</v>
      </c>
      <c r="G590" t="s">
        <v>963</v>
      </c>
      <c r="H590">
        <v>2250000</v>
      </c>
      <c r="I590" t="s">
        <v>964</v>
      </c>
      <c r="J590" t="s">
        <v>951</v>
      </c>
      <c r="K590" t="s">
        <v>965</v>
      </c>
      <c r="L590" t="s">
        <v>951</v>
      </c>
      <c r="M590" t="s">
        <v>966</v>
      </c>
      <c r="N590" t="s">
        <v>958</v>
      </c>
      <c r="O590" t="s">
        <v>959</v>
      </c>
    </row>
    <row r="591" spans="1:15" x14ac:dyDescent="0.25">
      <c r="A591" t="s">
        <v>946</v>
      </c>
      <c r="B591" t="s">
        <v>947</v>
      </c>
      <c r="C591" s="65">
        <v>46181</v>
      </c>
      <c r="D591">
        <v>23748</v>
      </c>
      <c r="E591">
        <v>147</v>
      </c>
      <c r="F591" t="s">
        <v>962</v>
      </c>
      <c r="G591" t="s">
        <v>977</v>
      </c>
      <c r="H591">
        <v>2015000</v>
      </c>
      <c r="I591" t="s">
        <v>1003</v>
      </c>
      <c r="J591" t="s">
        <v>951</v>
      </c>
      <c r="K591" t="s">
        <v>1004</v>
      </c>
      <c r="L591" t="s">
        <v>951</v>
      </c>
      <c r="M591" t="s">
        <v>980</v>
      </c>
      <c r="N591" t="s">
        <v>958</v>
      </c>
      <c r="O591" t="s">
        <v>959</v>
      </c>
    </row>
    <row r="592" spans="1:15" x14ac:dyDescent="0.25">
      <c r="A592" t="s">
        <v>946</v>
      </c>
      <c r="B592" t="s">
        <v>947</v>
      </c>
      <c r="C592" s="65">
        <v>46181</v>
      </c>
      <c r="D592">
        <v>23749</v>
      </c>
      <c r="E592">
        <v>148</v>
      </c>
      <c r="F592" t="s">
        <v>962</v>
      </c>
      <c r="G592" t="s">
        <v>977</v>
      </c>
      <c r="H592">
        <v>2000100</v>
      </c>
      <c r="I592" t="s">
        <v>1003</v>
      </c>
      <c r="J592" t="s">
        <v>951</v>
      </c>
      <c r="K592" t="s">
        <v>1004</v>
      </c>
      <c r="L592" t="s">
        <v>951</v>
      </c>
      <c r="M592" t="s">
        <v>980</v>
      </c>
      <c r="N592" t="s">
        <v>958</v>
      </c>
      <c r="O592" t="s">
        <v>959</v>
      </c>
    </row>
    <row r="593" spans="1:15" x14ac:dyDescent="0.25">
      <c r="A593" t="s">
        <v>946</v>
      </c>
      <c r="B593" t="s">
        <v>947</v>
      </c>
      <c r="C593" s="65">
        <v>46181</v>
      </c>
      <c r="D593">
        <v>23750</v>
      </c>
      <c r="E593">
        <v>149</v>
      </c>
      <c r="F593" t="s">
        <v>962</v>
      </c>
      <c r="G593" t="s">
        <v>977</v>
      </c>
      <c r="H593">
        <v>3000070</v>
      </c>
      <c r="I593" t="s">
        <v>1003</v>
      </c>
      <c r="J593" t="s">
        <v>951</v>
      </c>
      <c r="K593" t="s">
        <v>1004</v>
      </c>
      <c r="L593" t="s">
        <v>951</v>
      </c>
      <c r="M593" t="s">
        <v>980</v>
      </c>
      <c r="N593" t="s">
        <v>958</v>
      </c>
      <c r="O593" t="s">
        <v>959</v>
      </c>
    </row>
    <row r="594" spans="1:15" x14ac:dyDescent="0.25">
      <c r="A594" t="s">
        <v>946</v>
      </c>
      <c r="B594" t="s">
        <v>947</v>
      </c>
      <c r="C594" s="65">
        <v>46181</v>
      </c>
      <c r="D594">
        <v>23751</v>
      </c>
      <c r="E594">
        <v>150</v>
      </c>
      <c r="F594" t="s">
        <v>962</v>
      </c>
      <c r="G594" t="s">
        <v>977</v>
      </c>
      <c r="H594">
        <v>3000007.69</v>
      </c>
      <c r="I594" t="s">
        <v>1003</v>
      </c>
      <c r="J594" t="s">
        <v>951</v>
      </c>
      <c r="K594" t="s">
        <v>1004</v>
      </c>
      <c r="L594" t="s">
        <v>951</v>
      </c>
      <c r="M594" t="s">
        <v>980</v>
      </c>
      <c r="N594" t="s">
        <v>958</v>
      </c>
      <c r="O594" t="s">
        <v>959</v>
      </c>
    </row>
    <row r="595" spans="1:15" x14ac:dyDescent="0.25">
      <c r="A595" t="s">
        <v>946</v>
      </c>
      <c r="B595" t="s">
        <v>947</v>
      </c>
      <c r="C595" s="65">
        <v>46181</v>
      </c>
      <c r="D595">
        <v>23752</v>
      </c>
      <c r="E595">
        <v>144</v>
      </c>
      <c r="F595" t="s">
        <v>962</v>
      </c>
      <c r="G595" t="s">
        <v>977</v>
      </c>
      <c r="H595">
        <v>3000818.18</v>
      </c>
      <c r="I595" t="s">
        <v>1003</v>
      </c>
      <c r="J595" t="s">
        <v>951</v>
      </c>
      <c r="K595" t="s">
        <v>1004</v>
      </c>
      <c r="L595" t="s">
        <v>951</v>
      </c>
      <c r="M595" t="s">
        <v>980</v>
      </c>
      <c r="N595" t="s">
        <v>958</v>
      </c>
      <c r="O595" t="s">
        <v>959</v>
      </c>
    </row>
    <row r="596" spans="1:15" x14ac:dyDescent="0.25">
      <c r="A596" t="s">
        <v>946</v>
      </c>
      <c r="B596" t="s">
        <v>947</v>
      </c>
      <c r="C596" s="65">
        <v>46181</v>
      </c>
      <c r="D596">
        <v>23753</v>
      </c>
      <c r="E596">
        <v>145</v>
      </c>
      <c r="F596" t="s">
        <v>962</v>
      </c>
      <c r="G596" t="s">
        <v>977</v>
      </c>
      <c r="H596">
        <v>3050000</v>
      </c>
      <c r="I596" t="s">
        <v>1003</v>
      </c>
      <c r="J596" t="s">
        <v>951</v>
      </c>
      <c r="K596" t="s">
        <v>1004</v>
      </c>
      <c r="L596" t="s">
        <v>951</v>
      </c>
      <c r="M596" t="s">
        <v>980</v>
      </c>
      <c r="N596" t="s">
        <v>958</v>
      </c>
      <c r="O596" t="s">
        <v>959</v>
      </c>
    </row>
    <row r="597" spans="1:15" x14ac:dyDescent="0.25">
      <c r="A597" t="s">
        <v>946</v>
      </c>
      <c r="B597" t="s">
        <v>947</v>
      </c>
      <c r="C597" s="65">
        <v>46181</v>
      </c>
      <c r="D597">
        <v>23754</v>
      </c>
      <c r="E597">
        <v>146</v>
      </c>
      <c r="F597" t="s">
        <v>962</v>
      </c>
      <c r="G597" t="s">
        <v>977</v>
      </c>
      <c r="H597">
        <v>3004000</v>
      </c>
      <c r="I597" t="s">
        <v>1003</v>
      </c>
      <c r="J597" t="s">
        <v>951</v>
      </c>
      <c r="K597" t="s">
        <v>1004</v>
      </c>
      <c r="L597" t="s">
        <v>951</v>
      </c>
      <c r="M597" t="s">
        <v>980</v>
      </c>
      <c r="N597" t="s">
        <v>958</v>
      </c>
      <c r="O597" t="s">
        <v>959</v>
      </c>
    </row>
    <row r="598" spans="1:15" x14ac:dyDescent="0.25">
      <c r="A598" t="s">
        <v>946</v>
      </c>
      <c r="B598" t="s">
        <v>947</v>
      </c>
      <c r="C598" s="65">
        <v>46181</v>
      </c>
      <c r="D598">
        <v>23768</v>
      </c>
      <c r="E598">
        <v>66787400</v>
      </c>
      <c r="F598" t="s">
        <v>962</v>
      </c>
      <c r="G598" t="s">
        <v>983</v>
      </c>
      <c r="H598">
        <v>4000000</v>
      </c>
      <c r="I598" t="s">
        <v>987</v>
      </c>
      <c r="J598" t="s">
        <v>951</v>
      </c>
      <c r="K598" t="s">
        <v>988</v>
      </c>
      <c r="L598" t="s">
        <v>951</v>
      </c>
      <c r="M598" t="s">
        <v>986</v>
      </c>
      <c r="N598" t="s">
        <v>958</v>
      </c>
      <c r="O598" t="s">
        <v>959</v>
      </c>
    </row>
    <row r="599" spans="1:15" x14ac:dyDescent="0.25">
      <c r="A599" t="s">
        <v>946</v>
      </c>
      <c r="B599" t="s">
        <v>947</v>
      </c>
      <c r="C599" s="65">
        <v>46181</v>
      </c>
      <c r="D599">
        <v>23772</v>
      </c>
      <c r="E599">
        <v>9564661</v>
      </c>
      <c r="F599" t="s">
        <v>962</v>
      </c>
      <c r="G599" t="s">
        <v>954</v>
      </c>
      <c r="H599">
        <v>4851540</v>
      </c>
      <c r="I599" t="s">
        <v>1011</v>
      </c>
      <c r="J599" t="s">
        <v>951</v>
      </c>
      <c r="K599" t="s">
        <v>1012</v>
      </c>
      <c r="L599" t="s">
        <v>951</v>
      </c>
      <c r="M599" t="s">
        <v>957</v>
      </c>
      <c r="N599" t="s">
        <v>958</v>
      </c>
      <c r="O599" t="s">
        <v>959</v>
      </c>
    </row>
    <row r="600" spans="1:15" x14ac:dyDescent="0.25">
      <c r="A600" t="s">
        <v>946</v>
      </c>
      <c r="B600" t="s">
        <v>947</v>
      </c>
      <c r="C600" s="65">
        <v>46181</v>
      </c>
      <c r="D600">
        <v>23773</v>
      </c>
      <c r="E600">
        <v>9564662</v>
      </c>
      <c r="F600" t="s">
        <v>962</v>
      </c>
      <c r="G600" t="s">
        <v>954</v>
      </c>
      <c r="H600">
        <v>4700000</v>
      </c>
      <c r="I600" t="s">
        <v>1011</v>
      </c>
      <c r="J600" t="s">
        <v>951</v>
      </c>
      <c r="K600" t="s">
        <v>1012</v>
      </c>
      <c r="L600" t="s">
        <v>951</v>
      </c>
      <c r="M600" t="s">
        <v>957</v>
      </c>
      <c r="N600" t="s">
        <v>958</v>
      </c>
      <c r="O600" t="s">
        <v>959</v>
      </c>
    </row>
    <row r="601" spans="1:15" x14ac:dyDescent="0.25">
      <c r="A601" t="s">
        <v>946</v>
      </c>
      <c r="B601" t="s">
        <v>947</v>
      </c>
      <c r="C601" s="65">
        <v>46181</v>
      </c>
      <c r="D601">
        <v>23774</v>
      </c>
      <c r="E601">
        <v>9564663</v>
      </c>
      <c r="F601" t="s">
        <v>962</v>
      </c>
      <c r="G601" t="s">
        <v>954</v>
      </c>
      <c r="H601">
        <v>4700000</v>
      </c>
      <c r="I601" t="s">
        <v>1011</v>
      </c>
      <c r="J601" t="s">
        <v>951</v>
      </c>
      <c r="K601" t="s">
        <v>1012</v>
      </c>
      <c r="L601" t="s">
        <v>951</v>
      </c>
      <c r="M601" t="s">
        <v>957</v>
      </c>
      <c r="N601" t="s">
        <v>958</v>
      </c>
      <c r="O601" t="s">
        <v>959</v>
      </c>
    </row>
    <row r="602" spans="1:15" x14ac:dyDescent="0.25">
      <c r="A602" t="s">
        <v>946</v>
      </c>
      <c r="B602" t="s">
        <v>947</v>
      </c>
      <c r="C602" s="65">
        <v>46181</v>
      </c>
      <c r="D602">
        <v>23775</v>
      </c>
      <c r="E602">
        <v>9564664</v>
      </c>
      <c r="F602" t="s">
        <v>962</v>
      </c>
      <c r="G602" t="s">
        <v>954</v>
      </c>
      <c r="H602">
        <v>4700000</v>
      </c>
      <c r="I602" t="s">
        <v>1011</v>
      </c>
      <c r="J602" t="s">
        <v>951</v>
      </c>
      <c r="K602" t="s">
        <v>1012</v>
      </c>
      <c r="L602" t="s">
        <v>951</v>
      </c>
      <c r="M602" t="s">
        <v>957</v>
      </c>
      <c r="N602" t="s">
        <v>958</v>
      </c>
      <c r="O602" t="s">
        <v>959</v>
      </c>
    </row>
    <row r="603" spans="1:15" x14ac:dyDescent="0.25">
      <c r="A603" t="s">
        <v>946</v>
      </c>
      <c r="B603" t="s">
        <v>947</v>
      </c>
      <c r="C603" s="65">
        <v>46181</v>
      </c>
      <c r="D603">
        <v>23813</v>
      </c>
      <c r="E603">
        <v>90028097</v>
      </c>
      <c r="F603" t="s">
        <v>948</v>
      </c>
      <c r="G603" t="s">
        <v>971</v>
      </c>
      <c r="H603">
        <v>5540000</v>
      </c>
      <c r="I603" t="s">
        <v>974</v>
      </c>
      <c r="J603" t="s">
        <v>951</v>
      </c>
      <c r="K603" t="s">
        <v>975</v>
      </c>
      <c r="L603" t="s">
        <v>951</v>
      </c>
      <c r="M603" t="s">
        <v>972</v>
      </c>
      <c r="N603" t="s">
        <v>958</v>
      </c>
      <c r="O603" t="s">
        <v>959</v>
      </c>
    </row>
    <row r="604" spans="1:15" x14ac:dyDescent="0.25">
      <c r="A604" t="s">
        <v>946</v>
      </c>
      <c r="B604" t="s">
        <v>947</v>
      </c>
      <c r="C604" s="65">
        <v>46181</v>
      </c>
      <c r="D604">
        <v>23954</v>
      </c>
      <c r="E604">
        <v>146</v>
      </c>
      <c r="F604" t="s">
        <v>948</v>
      </c>
      <c r="G604" t="s">
        <v>977</v>
      </c>
      <c r="H604">
        <v>137025146.13</v>
      </c>
      <c r="I604" t="s">
        <v>974</v>
      </c>
      <c r="J604" t="s">
        <v>951</v>
      </c>
      <c r="K604" t="s">
        <v>975</v>
      </c>
      <c r="L604" t="s">
        <v>951</v>
      </c>
      <c r="M604" t="s">
        <v>980</v>
      </c>
      <c r="N604" t="s">
        <v>958</v>
      </c>
      <c r="O604" t="s">
        <v>959</v>
      </c>
    </row>
    <row r="605" spans="1:15" x14ac:dyDescent="0.25">
      <c r="A605" t="s">
        <v>946</v>
      </c>
      <c r="B605" t="s">
        <v>947</v>
      </c>
      <c r="C605" s="65">
        <v>46181</v>
      </c>
      <c r="D605">
        <v>23956</v>
      </c>
      <c r="E605">
        <v>90001953</v>
      </c>
      <c r="F605" t="s">
        <v>962</v>
      </c>
      <c r="G605" t="s">
        <v>971</v>
      </c>
      <c r="H605">
        <v>16359543.16</v>
      </c>
      <c r="I605" t="s">
        <v>974</v>
      </c>
      <c r="J605" t="s">
        <v>951</v>
      </c>
      <c r="K605" t="s">
        <v>975</v>
      </c>
      <c r="L605" t="s">
        <v>951</v>
      </c>
      <c r="M605" t="s">
        <v>972</v>
      </c>
      <c r="N605" t="s">
        <v>958</v>
      </c>
      <c r="O605" t="s">
        <v>959</v>
      </c>
    </row>
    <row r="606" spans="1:15" x14ac:dyDescent="0.25">
      <c r="A606" t="s">
        <v>946</v>
      </c>
      <c r="B606" t="s">
        <v>947</v>
      </c>
      <c r="C606" s="65">
        <v>46181</v>
      </c>
      <c r="D606">
        <v>24013</v>
      </c>
      <c r="E606">
        <v>6826541</v>
      </c>
      <c r="F606" t="s">
        <v>962</v>
      </c>
      <c r="G606" t="s">
        <v>989</v>
      </c>
      <c r="H606">
        <v>24000000</v>
      </c>
      <c r="I606" t="s">
        <v>1001</v>
      </c>
      <c r="J606" t="s">
        <v>951</v>
      </c>
      <c r="K606" t="s">
        <v>1002</v>
      </c>
      <c r="L606" t="s">
        <v>951</v>
      </c>
      <c r="M606" t="s">
        <v>992</v>
      </c>
      <c r="N606" t="s">
        <v>958</v>
      </c>
      <c r="O606" t="s">
        <v>959</v>
      </c>
    </row>
    <row r="607" spans="1:15" x14ac:dyDescent="0.25">
      <c r="A607" t="s">
        <v>946</v>
      </c>
      <c r="B607" t="s">
        <v>947</v>
      </c>
      <c r="C607" s="65">
        <v>46181</v>
      </c>
      <c r="D607">
        <v>24014</v>
      </c>
      <c r="E607">
        <v>6826542</v>
      </c>
      <c r="F607" t="s">
        <v>962</v>
      </c>
      <c r="G607" t="s">
        <v>989</v>
      </c>
      <c r="H607">
        <v>31000000</v>
      </c>
      <c r="I607" t="s">
        <v>1001</v>
      </c>
      <c r="J607" t="s">
        <v>951</v>
      </c>
      <c r="K607" t="s">
        <v>1002</v>
      </c>
      <c r="L607" t="s">
        <v>951</v>
      </c>
      <c r="M607" t="s">
        <v>992</v>
      </c>
      <c r="N607" t="s">
        <v>958</v>
      </c>
      <c r="O607" t="s">
        <v>959</v>
      </c>
    </row>
    <row r="608" spans="1:15" x14ac:dyDescent="0.25">
      <c r="A608" t="s">
        <v>946</v>
      </c>
      <c r="B608" t="s">
        <v>947</v>
      </c>
      <c r="C608" s="65">
        <v>46182</v>
      </c>
      <c r="D608">
        <v>23623</v>
      </c>
      <c r="E608">
        <v>4775</v>
      </c>
      <c r="F608" t="s">
        <v>962</v>
      </c>
      <c r="G608" t="s">
        <v>977</v>
      </c>
      <c r="H608">
        <v>1300000</v>
      </c>
      <c r="I608" t="s">
        <v>993</v>
      </c>
      <c r="J608" t="s">
        <v>951</v>
      </c>
      <c r="K608" t="s">
        <v>994</v>
      </c>
      <c r="L608" t="s">
        <v>951</v>
      </c>
      <c r="M608" t="s">
        <v>980</v>
      </c>
      <c r="N608" t="s">
        <v>958</v>
      </c>
      <c r="O608" t="s">
        <v>959</v>
      </c>
    </row>
    <row r="609" spans="1:15" x14ac:dyDescent="0.25">
      <c r="A609" t="s">
        <v>946</v>
      </c>
      <c r="B609" t="s">
        <v>947</v>
      </c>
      <c r="C609" s="65">
        <v>46182</v>
      </c>
      <c r="D609">
        <v>23639</v>
      </c>
      <c r="E609">
        <v>4786</v>
      </c>
      <c r="F609" t="s">
        <v>962</v>
      </c>
      <c r="G609" t="s">
        <v>977</v>
      </c>
      <c r="H609">
        <v>1300000</v>
      </c>
      <c r="I609" t="s">
        <v>993</v>
      </c>
      <c r="J609" t="s">
        <v>951</v>
      </c>
      <c r="K609" t="s">
        <v>994</v>
      </c>
      <c r="L609" t="s">
        <v>951</v>
      </c>
      <c r="M609" t="s">
        <v>980</v>
      </c>
      <c r="N609" t="s">
        <v>958</v>
      </c>
      <c r="O609" t="s">
        <v>959</v>
      </c>
    </row>
    <row r="610" spans="1:15" x14ac:dyDescent="0.25">
      <c r="A610" t="s">
        <v>946</v>
      </c>
      <c r="B610" t="s">
        <v>947</v>
      </c>
      <c r="C610" s="65">
        <v>46182</v>
      </c>
      <c r="D610">
        <v>23670</v>
      </c>
      <c r="E610">
        <v>78055917</v>
      </c>
      <c r="F610" t="s">
        <v>962</v>
      </c>
      <c r="G610" t="s">
        <v>967</v>
      </c>
      <c r="H610">
        <v>1143500</v>
      </c>
      <c r="I610" t="s">
        <v>968</v>
      </c>
      <c r="J610" t="s">
        <v>951</v>
      </c>
      <c r="K610" t="s">
        <v>969</v>
      </c>
      <c r="L610" t="s">
        <v>951</v>
      </c>
      <c r="M610" t="s">
        <v>970</v>
      </c>
      <c r="N610" t="s">
        <v>958</v>
      </c>
      <c r="O610" t="s">
        <v>959</v>
      </c>
    </row>
    <row r="611" spans="1:15" x14ac:dyDescent="0.25">
      <c r="A611" t="s">
        <v>946</v>
      </c>
      <c r="B611" t="s">
        <v>947</v>
      </c>
      <c r="C611" s="65">
        <v>46182</v>
      </c>
      <c r="D611">
        <v>23681</v>
      </c>
      <c r="E611">
        <v>78055927</v>
      </c>
      <c r="F611" t="s">
        <v>962</v>
      </c>
      <c r="G611" t="s">
        <v>967</v>
      </c>
      <c r="H611">
        <v>1130000</v>
      </c>
      <c r="I611" t="s">
        <v>968</v>
      </c>
      <c r="J611" t="s">
        <v>951</v>
      </c>
      <c r="K611" t="s">
        <v>969</v>
      </c>
      <c r="L611" t="s">
        <v>951</v>
      </c>
      <c r="M611" t="s">
        <v>970</v>
      </c>
      <c r="N611" t="s">
        <v>958</v>
      </c>
      <c r="O611" t="s">
        <v>959</v>
      </c>
    </row>
    <row r="612" spans="1:15" x14ac:dyDescent="0.25">
      <c r="A612" t="s">
        <v>946</v>
      </c>
      <c r="B612" t="s">
        <v>947</v>
      </c>
      <c r="C612" s="65">
        <v>46182</v>
      </c>
      <c r="D612">
        <v>23688</v>
      </c>
      <c r="E612">
        <v>78055934</v>
      </c>
      <c r="F612" t="s">
        <v>962</v>
      </c>
      <c r="G612" t="s">
        <v>967</v>
      </c>
      <c r="H612">
        <v>1480000</v>
      </c>
      <c r="I612" t="s">
        <v>968</v>
      </c>
      <c r="J612" t="s">
        <v>951</v>
      </c>
      <c r="K612" t="s">
        <v>969</v>
      </c>
      <c r="L612" t="s">
        <v>951</v>
      </c>
      <c r="M612" t="s">
        <v>970</v>
      </c>
      <c r="N612" t="s">
        <v>958</v>
      </c>
      <c r="O612" t="s">
        <v>959</v>
      </c>
    </row>
    <row r="613" spans="1:15" x14ac:dyDescent="0.25">
      <c r="A613" t="s">
        <v>946</v>
      </c>
      <c r="B613" t="s">
        <v>947</v>
      </c>
      <c r="C613" s="65">
        <v>46182</v>
      </c>
      <c r="D613">
        <v>23725</v>
      </c>
      <c r="E613">
        <v>78055944</v>
      </c>
      <c r="F613" t="s">
        <v>962</v>
      </c>
      <c r="G613" t="s">
        <v>967</v>
      </c>
      <c r="H613">
        <v>1440000</v>
      </c>
      <c r="I613" t="s">
        <v>968</v>
      </c>
      <c r="J613" t="s">
        <v>951</v>
      </c>
      <c r="K613" t="s">
        <v>969</v>
      </c>
      <c r="L613" t="s">
        <v>951</v>
      </c>
      <c r="M613" t="s">
        <v>970</v>
      </c>
      <c r="N613" t="s">
        <v>958</v>
      </c>
      <c r="O613" t="s">
        <v>959</v>
      </c>
    </row>
    <row r="614" spans="1:15" x14ac:dyDescent="0.25">
      <c r="A614" t="s">
        <v>946</v>
      </c>
      <c r="B614" t="s">
        <v>947</v>
      </c>
      <c r="C614" s="65">
        <v>46182</v>
      </c>
      <c r="D614">
        <v>23951</v>
      </c>
      <c r="E614">
        <v>1402324</v>
      </c>
      <c r="F614" t="s">
        <v>962</v>
      </c>
      <c r="G614" t="s">
        <v>949</v>
      </c>
      <c r="H614">
        <v>4840000</v>
      </c>
      <c r="I614" t="s">
        <v>974</v>
      </c>
      <c r="J614" t="s">
        <v>951</v>
      </c>
      <c r="K614" t="s">
        <v>975</v>
      </c>
      <c r="L614" t="s">
        <v>951</v>
      </c>
      <c r="M614" t="s">
        <v>953</v>
      </c>
      <c r="N614" t="s">
        <v>958</v>
      </c>
      <c r="O614" t="s">
        <v>959</v>
      </c>
    </row>
    <row r="615" spans="1:15" x14ac:dyDescent="0.25">
      <c r="A615" t="s">
        <v>946</v>
      </c>
      <c r="B615" t="s">
        <v>947</v>
      </c>
      <c r="C615" s="65">
        <v>46183</v>
      </c>
      <c r="D615">
        <v>23633</v>
      </c>
      <c r="E615">
        <v>4776</v>
      </c>
      <c r="F615" t="s">
        <v>962</v>
      </c>
      <c r="G615" t="s">
        <v>977</v>
      </c>
      <c r="H615">
        <v>1300000</v>
      </c>
      <c r="I615" t="s">
        <v>993</v>
      </c>
      <c r="J615" t="s">
        <v>951</v>
      </c>
      <c r="K615" t="s">
        <v>994</v>
      </c>
      <c r="L615" t="s">
        <v>951</v>
      </c>
      <c r="M615" t="s">
        <v>980</v>
      </c>
      <c r="N615" t="s">
        <v>958</v>
      </c>
      <c r="O615" t="s">
        <v>959</v>
      </c>
    </row>
    <row r="616" spans="1:15" x14ac:dyDescent="0.25">
      <c r="A616" t="s">
        <v>946</v>
      </c>
      <c r="B616" t="s">
        <v>947</v>
      </c>
      <c r="C616" s="65">
        <v>46183</v>
      </c>
      <c r="D616">
        <v>23640</v>
      </c>
      <c r="E616">
        <v>4787</v>
      </c>
      <c r="F616" t="s">
        <v>962</v>
      </c>
      <c r="G616" t="s">
        <v>977</v>
      </c>
      <c r="H616">
        <v>1162600</v>
      </c>
      <c r="I616" t="s">
        <v>993</v>
      </c>
      <c r="J616" t="s">
        <v>951</v>
      </c>
      <c r="K616" t="s">
        <v>994</v>
      </c>
      <c r="L616" t="s">
        <v>951</v>
      </c>
      <c r="M616" t="s">
        <v>980</v>
      </c>
      <c r="N616" t="s">
        <v>958</v>
      </c>
      <c r="O616" t="s">
        <v>959</v>
      </c>
    </row>
    <row r="617" spans="1:15" x14ac:dyDescent="0.25">
      <c r="A617" t="s">
        <v>946</v>
      </c>
      <c r="B617" t="s">
        <v>947</v>
      </c>
      <c r="C617" s="65">
        <v>46183</v>
      </c>
      <c r="D617">
        <v>23672</v>
      </c>
      <c r="E617">
        <v>9845358</v>
      </c>
      <c r="F617" t="s">
        <v>962</v>
      </c>
      <c r="G617" t="s">
        <v>954</v>
      </c>
      <c r="H617">
        <v>26628525</v>
      </c>
      <c r="I617" t="s">
        <v>999</v>
      </c>
      <c r="J617" t="s">
        <v>951</v>
      </c>
      <c r="K617" t="s">
        <v>1000</v>
      </c>
      <c r="L617" t="s">
        <v>951</v>
      </c>
      <c r="M617" t="s">
        <v>957</v>
      </c>
      <c r="N617" t="s">
        <v>958</v>
      </c>
      <c r="O617" t="s">
        <v>959</v>
      </c>
    </row>
    <row r="618" spans="1:15" x14ac:dyDescent="0.25">
      <c r="A618" t="s">
        <v>946</v>
      </c>
      <c r="B618" t="s">
        <v>947</v>
      </c>
      <c r="C618" s="65">
        <v>46183</v>
      </c>
      <c r="D618">
        <v>23673</v>
      </c>
      <c r="E618">
        <v>9845359</v>
      </c>
      <c r="F618" t="s">
        <v>962</v>
      </c>
      <c r="G618" t="s">
        <v>954</v>
      </c>
      <c r="H618">
        <v>26628525</v>
      </c>
      <c r="I618" t="s">
        <v>999</v>
      </c>
      <c r="J618" t="s">
        <v>951</v>
      </c>
      <c r="K618" t="s">
        <v>1000</v>
      </c>
      <c r="L618" t="s">
        <v>951</v>
      </c>
      <c r="M618" t="s">
        <v>957</v>
      </c>
      <c r="N618" t="s">
        <v>958</v>
      </c>
      <c r="O618" t="s">
        <v>959</v>
      </c>
    </row>
    <row r="619" spans="1:15" x14ac:dyDescent="0.25">
      <c r="A619" t="s">
        <v>946</v>
      </c>
      <c r="B619" t="s">
        <v>947</v>
      </c>
      <c r="C619" s="65">
        <v>46183</v>
      </c>
      <c r="D619">
        <v>23745</v>
      </c>
      <c r="E619">
        <v>1580</v>
      </c>
      <c r="F619" t="s">
        <v>962</v>
      </c>
      <c r="G619" t="s">
        <v>977</v>
      </c>
      <c r="H619">
        <v>22500000</v>
      </c>
      <c r="I619" t="s">
        <v>1009</v>
      </c>
      <c r="J619" t="s">
        <v>951</v>
      </c>
      <c r="K619" t="s">
        <v>1010</v>
      </c>
      <c r="L619" t="s">
        <v>951</v>
      </c>
      <c r="M619" t="s">
        <v>980</v>
      </c>
      <c r="N619" t="s">
        <v>958</v>
      </c>
      <c r="O619" t="s">
        <v>959</v>
      </c>
    </row>
    <row r="620" spans="1:15" x14ac:dyDescent="0.25">
      <c r="A620" t="s">
        <v>946</v>
      </c>
      <c r="B620" t="s">
        <v>947</v>
      </c>
      <c r="C620" s="65">
        <v>46183</v>
      </c>
      <c r="D620">
        <v>23769</v>
      </c>
      <c r="E620">
        <v>66787457</v>
      </c>
      <c r="F620" t="s">
        <v>962</v>
      </c>
      <c r="G620" t="s">
        <v>983</v>
      </c>
      <c r="H620">
        <v>4000000</v>
      </c>
      <c r="I620" t="s">
        <v>987</v>
      </c>
      <c r="J620" t="s">
        <v>951</v>
      </c>
      <c r="K620" t="s">
        <v>988</v>
      </c>
      <c r="L620" t="s">
        <v>951</v>
      </c>
      <c r="M620" t="s">
        <v>986</v>
      </c>
      <c r="N620" t="s">
        <v>958</v>
      </c>
      <c r="O620" t="s">
        <v>959</v>
      </c>
    </row>
    <row r="621" spans="1:15" x14ac:dyDescent="0.25">
      <c r="A621" t="s">
        <v>946</v>
      </c>
      <c r="B621" t="s">
        <v>947</v>
      </c>
      <c r="C621" s="65">
        <v>46183</v>
      </c>
      <c r="D621">
        <v>23810</v>
      </c>
      <c r="E621">
        <v>9953736</v>
      </c>
      <c r="F621" t="s">
        <v>948</v>
      </c>
      <c r="G621" t="s">
        <v>954</v>
      </c>
      <c r="H621">
        <v>7500000</v>
      </c>
      <c r="I621" t="s">
        <v>974</v>
      </c>
      <c r="J621" t="s">
        <v>951</v>
      </c>
      <c r="K621" t="s">
        <v>975</v>
      </c>
      <c r="L621" t="s">
        <v>951</v>
      </c>
      <c r="M621" t="s">
        <v>957</v>
      </c>
      <c r="N621" t="s">
        <v>958</v>
      </c>
      <c r="O621" t="s">
        <v>959</v>
      </c>
    </row>
    <row r="622" spans="1:15" x14ac:dyDescent="0.25">
      <c r="A622" t="s">
        <v>946</v>
      </c>
      <c r="B622" t="s">
        <v>947</v>
      </c>
      <c r="C622" s="65">
        <v>46184</v>
      </c>
      <c r="D622">
        <v>23682</v>
      </c>
      <c r="E622">
        <v>78055928</v>
      </c>
      <c r="F622" t="s">
        <v>962</v>
      </c>
      <c r="G622" t="s">
        <v>967</v>
      </c>
      <c r="H622">
        <v>1130000</v>
      </c>
      <c r="I622" t="s">
        <v>968</v>
      </c>
      <c r="J622" t="s">
        <v>951</v>
      </c>
      <c r="K622" t="s">
        <v>969</v>
      </c>
      <c r="L622" t="s">
        <v>951</v>
      </c>
      <c r="M622" t="s">
        <v>970</v>
      </c>
      <c r="N622" t="s">
        <v>958</v>
      </c>
      <c r="O622" t="s">
        <v>959</v>
      </c>
    </row>
    <row r="623" spans="1:15" x14ac:dyDescent="0.25">
      <c r="A623" t="s">
        <v>946</v>
      </c>
      <c r="B623" t="s">
        <v>947</v>
      </c>
      <c r="C623" s="65">
        <v>46184</v>
      </c>
      <c r="D623">
        <v>23689</v>
      </c>
      <c r="E623">
        <v>78055935</v>
      </c>
      <c r="F623" t="s">
        <v>962</v>
      </c>
      <c r="G623" t="s">
        <v>967</v>
      </c>
      <c r="H623">
        <v>1480000</v>
      </c>
      <c r="I623" t="s">
        <v>968</v>
      </c>
      <c r="J623" t="s">
        <v>951</v>
      </c>
      <c r="K623" t="s">
        <v>969</v>
      </c>
      <c r="L623" t="s">
        <v>951</v>
      </c>
      <c r="M623" t="s">
        <v>970</v>
      </c>
      <c r="N623" t="s">
        <v>958</v>
      </c>
      <c r="O623" t="s">
        <v>959</v>
      </c>
    </row>
    <row r="624" spans="1:15" x14ac:dyDescent="0.25">
      <c r="A624" t="s">
        <v>946</v>
      </c>
      <c r="B624" t="s">
        <v>947</v>
      </c>
      <c r="C624" s="65">
        <v>46184</v>
      </c>
      <c r="D624">
        <v>23726</v>
      </c>
      <c r="E624">
        <v>78055945</v>
      </c>
      <c r="F624" t="s">
        <v>962</v>
      </c>
      <c r="G624" t="s">
        <v>967</v>
      </c>
      <c r="H624">
        <v>1440000</v>
      </c>
      <c r="I624" t="s">
        <v>968</v>
      </c>
      <c r="J624" t="s">
        <v>951</v>
      </c>
      <c r="K624" t="s">
        <v>969</v>
      </c>
      <c r="L624" t="s">
        <v>951</v>
      </c>
      <c r="M624" t="s">
        <v>970</v>
      </c>
      <c r="N624" t="s">
        <v>958</v>
      </c>
      <c r="O624" t="s">
        <v>959</v>
      </c>
    </row>
    <row r="625" spans="1:15" x14ac:dyDescent="0.25">
      <c r="A625" t="s">
        <v>946</v>
      </c>
      <c r="B625" t="s">
        <v>947</v>
      </c>
      <c r="C625" s="65">
        <v>46184</v>
      </c>
      <c r="D625">
        <v>23812</v>
      </c>
      <c r="E625">
        <v>30069126</v>
      </c>
      <c r="F625" t="s">
        <v>948</v>
      </c>
      <c r="G625" t="s">
        <v>967</v>
      </c>
      <c r="H625">
        <v>40518212.380000003</v>
      </c>
      <c r="I625" t="s">
        <v>974</v>
      </c>
      <c r="J625" t="s">
        <v>951</v>
      </c>
      <c r="K625" t="s">
        <v>975</v>
      </c>
      <c r="L625" t="s">
        <v>951</v>
      </c>
      <c r="M625" t="s">
        <v>970</v>
      </c>
      <c r="N625" t="s">
        <v>958</v>
      </c>
      <c r="O625" t="s">
        <v>959</v>
      </c>
    </row>
    <row r="626" spans="1:15" x14ac:dyDescent="0.25">
      <c r="A626" t="s">
        <v>946</v>
      </c>
      <c r="B626" t="s">
        <v>947</v>
      </c>
      <c r="C626" s="65">
        <v>46185</v>
      </c>
      <c r="D626">
        <v>23387</v>
      </c>
      <c r="E626">
        <v>6760642</v>
      </c>
      <c r="F626" t="s">
        <v>962</v>
      </c>
      <c r="G626" t="s">
        <v>989</v>
      </c>
      <c r="H626">
        <v>24824194.600000001</v>
      </c>
      <c r="I626" t="s">
        <v>1001</v>
      </c>
      <c r="J626" t="s">
        <v>951</v>
      </c>
      <c r="K626" t="s">
        <v>1002</v>
      </c>
      <c r="L626" t="s">
        <v>951</v>
      </c>
      <c r="M626" t="s">
        <v>992</v>
      </c>
      <c r="N626" t="s">
        <v>958</v>
      </c>
      <c r="O626" t="s">
        <v>959</v>
      </c>
    </row>
    <row r="627" spans="1:15" x14ac:dyDescent="0.25">
      <c r="A627" t="s">
        <v>946</v>
      </c>
      <c r="B627" t="s">
        <v>947</v>
      </c>
      <c r="C627" s="65">
        <v>46185</v>
      </c>
      <c r="D627">
        <v>23634</v>
      </c>
      <c r="E627">
        <v>4777</v>
      </c>
      <c r="F627" t="s">
        <v>962</v>
      </c>
      <c r="G627" t="s">
        <v>977</v>
      </c>
      <c r="H627">
        <v>1269025</v>
      </c>
      <c r="I627" t="s">
        <v>993</v>
      </c>
      <c r="J627" t="s">
        <v>951</v>
      </c>
      <c r="K627" t="s">
        <v>994</v>
      </c>
      <c r="L627" t="s">
        <v>951</v>
      </c>
      <c r="M627" t="s">
        <v>980</v>
      </c>
      <c r="N627" t="s">
        <v>958</v>
      </c>
      <c r="O627" t="s">
        <v>959</v>
      </c>
    </row>
    <row r="628" spans="1:15" x14ac:dyDescent="0.25">
      <c r="A628" t="s">
        <v>946</v>
      </c>
      <c r="B628" t="s">
        <v>947</v>
      </c>
      <c r="C628" s="65">
        <v>46185</v>
      </c>
      <c r="D628">
        <v>23650</v>
      </c>
      <c r="E628">
        <v>6973</v>
      </c>
      <c r="F628" t="s">
        <v>962</v>
      </c>
      <c r="G628" t="s">
        <v>977</v>
      </c>
      <c r="H628">
        <v>43814020</v>
      </c>
      <c r="I628" t="s">
        <v>978</v>
      </c>
      <c r="J628" t="s">
        <v>951</v>
      </c>
      <c r="K628" t="s">
        <v>979</v>
      </c>
      <c r="L628" t="s">
        <v>951</v>
      </c>
      <c r="M628" t="s">
        <v>980</v>
      </c>
      <c r="N628" t="s">
        <v>958</v>
      </c>
      <c r="O628" t="s">
        <v>959</v>
      </c>
    </row>
    <row r="629" spans="1:15" x14ac:dyDescent="0.25">
      <c r="A629" t="s">
        <v>946</v>
      </c>
      <c r="B629" t="s">
        <v>947</v>
      </c>
      <c r="C629" s="65">
        <v>46185</v>
      </c>
      <c r="D629">
        <v>23683</v>
      </c>
      <c r="E629">
        <v>78055929</v>
      </c>
      <c r="F629" t="s">
        <v>962</v>
      </c>
      <c r="G629" t="s">
        <v>967</v>
      </c>
      <c r="H629">
        <v>1148175</v>
      </c>
      <c r="I629" t="s">
        <v>968</v>
      </c>
      <c r="J629" t="s">
        <v>951</v>
      </c>
      <c r="K629" t="s">
        <v>969</v>
      </c>
      <c r="L629" t="s">
        <v>951</v>
      </c>
      <c r="M629" t="s">
        <v>970</v>
      </c>
      <c r="N629" t="s">
        <v>958</v>
      </c>
      <c r="O629" t="s">
        <v>959</v>
      </c>
    </row>
    <row r="630" spans="1:15" x14ac:dyDescent="0.25">
      <c r="A630" t="s">
        <v>946</v>
      </c>
      <c r="B630" t="s">
        <v>947</v>
      </c>
      <c r="C630" s="65">
        <v>46185</v>
      </c>
      <c r="D630">
        <v>23690</v>
      </c>
      <c r="E630">
        <v>78055936</v>
      </c>
      <c r="F630" t="s">
        <v>962</v>
      </c>
      <c r="G630" t="s">
        <v>967</v>
      </c>
      <c r="H630">
        <v>1480000</v>
      </c>
      <c r="I630" t="s">
        <v>968</v>
      </c>
      <c r="J630" t="s">
        <v>951</v>
      </c>
      <c r="K630" t="s">
        <v>969</v>
      </c>
      <c r="L630" t="s">
        <v>951</v>
      </c>
      <c r="M630" t="s">
        <v>970</v>
      </c>
      <c r="N630" t="s">
        <v>958</v>
      </c>
      <c r="O630" t="s">
        <v>959</v>
      </c>
    </row>
    <row r="631" spans="1:15" x14ac:dyDescent="0.25">
      <c r="A631" t="s">
        <v>946</v>
      </c>
      <c r="B631" t="s">
        <v>947</v>
      </c>
      <c r="C631" s="65">
        <v>46185</v>
      </c>
      <c r="D631">
        <v>23706</v>
      </c>
      <c r="E631">
        <v>29273703</v>
      </c>
      <c r="F631" t="s">
        <v>948</v>
      </c>
      <c r="G631" t="s">
        <v>989</v>
      </c>
      <c r="H631">
        <v>1339800</v>
      </c>
      <c r="I631" t="s">
        <v>990</v>
      </c>
      <c r="J631" t="s">
        <v>951</v>
      </c>
      <c r="K631" t="s">
        <v>991</v>
      </c>
      <c r="L631" t="s">
        <v>951</v>
      </c>
      <c r="M631" t="s">
        <v>992</v>
      </c>
      <c r="N631" t="s">
        <v>958</v>
      </c>
      <c r="O631" t="s">
        <v>959</v>
      </c>
    </row>
    <row r="632" spans="1:15" x14ac:dyDescent="0.25">
      <c r="A632" t="s">
        <v>946</v>
      </c>
      <c r="B632" t="s">
        <v>947</v>
      </c>
      <c r="C632" s="65">
        <v>46185</v>
      </c>
      <c r="D632">
        <v>23727</v>
      </c>
      <c r="E632">
        <v>78055946</v>
      </c>
      <c r="F632" t="s">
        <v>962</v>
      </c>
      <c r="G632" t="s">
        <v>967</v>
      </c>
      <c r="H632">
        <v>1440000</v>
      </c>
      <c r="I632" t="s">
        <v>968</v>
      </c>
      <c r="J632" t="s">
        <v>951</v>
      </c>
      <c r="K632" t="s">
        <v>969</v>
      </c>
      <c r="L632" t="s">
        <v>951</v>
      </c>
      <c r="M632" t="s">
        <v>970</v>
      </c>
      <c r="N632" t="s">
        <v>958</v>
      </c>
      <c r="O632" t="s">
        <v>959</v>
      </c>
    </row>
    <row r="633" spans="1:15" x14ac:dyDescent="0.25">
      <c r="A633" t="s">
        <v>946</v>
      </c>
      <c r="B633" t="s">
        <v>947</v>
      </c>
      <c r="C633" s="65">
        <v>46185</v>
      </c>
      <c r="D633">
        <v>23746</v>
      </c>
      <c r="E633">
        <v>1581</v>
      </c>
      <c r="F633" t="s">
        <v>962</v>
      </c>
      <c r="G633" t="s">
        <v>977</v>
      </c>
      <c r="H633">
        <v>21500000</v>
      </c>
      <c r="I633" t="s">
        <v>1009</v>
      </c>
      <c r="J633" t="s">
        <v>951</v>
      </c>
      <c r="K633" t="s">
        <v>1010</v>
      </c>
      <c r="L633" t="s">
        <v>951</v>
      </c>
      <c r="M633" t="s">
        <v>980</v>
      </c>
      <c r="N633" t="s">
        <v>958</v>
      </c>
      <c r="O633" t="s">
        <v>959</v>
      </c>
    </row>
    <row r="634" spans="1:15" x14ac:dyDescent="0.25">
      <c r="A634" t="s">
        <v>946</v>
      </c>
      <c r="B634" t="s">
        <v>947</v>
      </c>
      <c r="C634" s="65">
        <v>46185</v>
      </c>
      <c r="D634">
        <v>23770</v>
      </c>
      <c r="E634">
        <v>66787525</v>
      </c>
      <c r="F634" t="s">
        <v>962</v>
      </c>
      <c r="G634" t="s">
        <v>983</v>
      </c>
      <c r="H634">
        <v>4000000</v>
      </c>
      <c r="I634" t="s">
        <v>987</v>
      </c>
      <c r="J634" t="s">
        <v>951</v>
      </c>
      <c r="K634" t="s">
        <v>988</v>
      </c>
      <c r="L634" t="s">
        <v>951</v>
      </c>
      <c r="M634" t="s">
        <v>986</v>
      </c>
      <c r="N634" t="s">
        <v>958</v>
      </c>
      <c r="O634" t="s">
        <v>959</v>
      </c>
    </row>
    <row r="635" spans="1:15" x14ac:dyDescent="0.25">
      <c r="A635" t="s">
        <v>946</v>
      </c>
      <c r="B635" t="s">
        <v>947</v>
      </c>
      <c r="C635" s="65">
        <v>46185</v>
      </c>
      <c r="D635">
        <v>23771</v>
      </c>
      <c r="E635">
        <v>66787578</v>
      </c>
      <c r="F635" t="s">
        <v>962</v>
      </c>
      <c r="G635" t="s">
        <v>983</v>
      </c>
      <c r="H635">
        <v>250230</v>
      </c>
      <c r="I635" t="s">
        <v>987</v>
      </c>
      <c r="J635" t="s">
        <v>951</v>
      </c>
      <c r="K635" t="s">
        <v>988</v>
      </c>
      <c r="L635" t="s">
        <v>951</v>
      </c>
      <c r="M635" t="s">
        <v>986</v>
      </c>
      <c r="N635" t="s">
        <v>958</v>
      </c>
      <c r="O635" t="s">
        <v>959</v>
      </c>
    </row>
    <row r="636" spans="1:15" x14ac:dyDescent="0.25">
      <c r="A636" t="s">
        <v>946</v>
      </c>
      <c r="B636" t="s">
        <v>947</v>
      </c>
      <c r="C636" s="65">
        <v>46185</v>
      </c>
      <c r="D636">
        <v>23804</v>
      </c>
      <c r="E636">
        <v>67175703</v>
      </c>
      <c r="F636" t="s">
        <v>962</v>
      </c>
      <c r="G636" t="s">
        <v>983</v>
      </c>
      <c r="H636">
        <v>7286515</v>
      </c>
      <c r="I636" t="s">
        <v>955</v>
      </c>
      <c r="J636" t="s">
        <v>951</v>
      </c>
      <c r="K636" t="s">
        <v>956</v>
      </c>
      <c r="L636" t="s">
        <v>951</v>
      </c>
      <c r="M636" t="s">
        <v>986</v>
      </c>
      <c r="N636" t="s">
        <v>958</v>
      </c>
      <c r="O636" t="s">
        <v>959</v>
      </c>
    </row>
    <row r="637" spans="1:15" x14ac:dyDescent="0.25">
      <c r="A637" t="s">
        <v>946</v>
      </c>
      <c r="B637" t="s">
        <v>947</v>
      </c>
      <c r="C637" s="65">
        <v>46185</v>
      </c>
      <c r="D637">
        <v>24017</v>
      </c>
      <c r="E637">
        <v>90018056</v>
      </c>
      <c r="F637" t="s">
        <v>962</v>
      </c>
      <c r="G637" t="s">
        <v>971</v>
      </c>
      <c r="H637">
        <v>12295800</v>
      </c>
      <c r="I637" t="s">
        <v>1013</v>
      </c>
      <c r="J637" t="s">
        <v>951</v>
      </c>
      <c r="K637" t="s">
        <v>1014</v>
      </c>
      <c r="L637" t="s">
        <v>951</v>
      </c>
      <c r="M637" t="s">
        <v>972</v>
      </c>
      <c r="N637" t="s">
        <v>958</v>
      </c>
      <c r="O637" t="s">
        <v>959</v>
      </c>
    </row>
    <row r="638" spans="1:15" x14ac:dyDescent="0.25">
      <c r="A638" t="s">
        <v>946</v>
      </c>
      <c r="B638" t="s">
        <v>947</v>
      </c>
      <c r="C638" s="65">
        <v>46185</v>
      </c>
      <c r="D638">
        <v>24018</v>
      </c>
      <c r="E638">
        <v>90018057</v>
      </c>
      <c r="F638" t="s">
        <v>962</v>
      </c>
      <c r="G638" t="s">
        <v>971</v>
      </c>
      <c r="H638">
        <v>12240330</v>
      </c>
      <c r="I638" t="s">
        <v>1013</v>
      </c>
      <c r="J638" t="s">
        <v>951</v>
      </c>
      <c r="K638" t="s">
        <v>1014</v>
      </c>
      <c r="L638" t="s">
        <v>951</v>
      </c>
      <c r="M638" t="s">
        <v>972</v>
      </c>
      <c r="N638" t="s">
        <v>958</v>
      </c>
      <c r="O638" t="s">
        <v>959</v>
      </c>
    </row>
    <row r="639" spans="1:15" x14ac:dyDescent="0.25">
      <c r="A639" t="s">
        <v>946</v>
      </c>
      <c r="B639" t="s">
        <v>947</v>
      </c>
      <c r="C639" s="65">
        <v>46188</v>
      </c>
      <c r="D639">
        <v>23658</v>
      </c>
      <c r="E639">
        <v>9487748</v>
      </c>
      <c r="F639" t="s">
        <v>962</v>
      </c>
      <c r="G639" t="s">
        <v>954</v>
      </c>
      <c r="H639">
        <v>9263100</v>
      </c>
      <c r="I639" t="s">
        <v>981</v>
      </c>
      <c r="J639" t="s">
        <v>951</v>
      </c>
      <c r="K639" t="s">
        <v>982</v>
      </c>
      <c r="L639" t="s">
        <v>951</v>
      </c>
      <c r="M639" t="s">
        <v>957</v>
      </c>
      <c r="N639" t="s">
        <v>958</v>
      </c>
      <c r="O639" t="s">
        <v>959</v>
      </c>
    </row>
    <row r="640" spans="1:15" x14ac:dyDescent="0.25">
      <c r="A640" t="s">
        <v>946</v>
      </c>
      <c r="B640" t="s">
        <v>947</v>
      </c>
      <c r="C640" s="65">
        <v>46188</v>
      </c>
      <c r="D640">
        <v>23711</v>
      </c>
      <c r="E640">
        <v>90000116</v>
      </c>
      <c r="F640" t="s">
        <v>962</v>
      </c>
      <c r="G640" t="s">
        <v>971</v>
      </c>
      <c r="H640">
        <v>6000000</v>
      </c>
      <c r="I640" t="s">
        <v>1015</v>
      </c>
      <c r="J640" t="s">
        <v>951</v>
      </c>
      <c r="K640" t="s">
        <v>1016</v>
      </c>
      <c r="L640" t="s">
        <v>951</v>
      </c>
      <c r="M640" t="s">
        <v>972</v>
      </c>
      <c r="N640" t="s">
        <v>958</v>
      </c>
      <c r="O640" t="s">
        <v>959</v>
      </c>
    </row>
    <row r="641" spans="1:15" x14ac:dyDescent="0.25">
      <c r="A641" t="s">
        <v>946</v>
      </c>
      <c r="B641" t="s">
        <v>947</v>
      </c>
      <c r="C641" s="65">
        <v>46188</v>
      </c>
      <c r="D641">
        <v>23712</v>
      </c>
      <c r="E641">
        <v>90000117</v>
      </c>
      <c r="F641" t="s">
        <v>962</v>
      </c>
      <c r="G641" t="s">
        <v>971</v>
      </c>
      <c r="H641">
        <v>6000000</v>
      </c>
      <c r="I641" t="s">
        <v>1015</v>
      </c>
      <c r="J641" t="s">
        <v>951</v>
      </c>
      <c r="K641" t="s">
        <v>1016</v>
      </c>
      <c r="L641" t="s">
        <v>951</v>
      </c>
      <c r="M641" t="s">
        <v>972</v>
      </c>
      <c r="N641" t="s">
        <v>958</v>
      </c>
      <c r="O641" t="s">
        <v>959</v>
      </c>
    </row>
    <row r="642" spans="1:15" x14ac:dyDescent="0.25">
      <c r="A642" t="s">
        <v>946</v>
      </c>
      <c r="B642" t="s">
        <v>947</v>
      </c>
      <c r="C642" s="65">
        <v>46188</v>
      </c>
      <c r="D642">
        <v>23713</v>
      </c>
      <c r="E642">
        <v>90000118</v>
      </c>
      <c r="F642" t="s">
        <v>962</v>
      </c>
      <c r="G642" t="s">
        <v>971</v>
      </c>
      <c r="H642">
        <v>4658569</v>
      </c>
      <c r="I642" t="s">
        <v>1015</v>
      </c>
      <c r="J642" t="s">
        <v>951</v>
      </c>
      <c r="K642" t="s">
        <v>1016</v>
      </c>
      <c r="L642" t="s">
        <v>951</v>
      </c>
      <c r="M642" t="s">
        <v>972</v>
      </c>
      <c r="N642" t="s">
        <v>958</v>
      </c>
      <c r="O642" t="s">
        <v>959</v>
      </c>
    </row>
    <row r="643" spans="1:15" x14ac:dyDescent="0.25">
      <c r="A643" t="s">
        <v>946</v>
      </c>
      <c r="B643" t="s">
        <v>947</v>
      </c>
      <c r="C643" s="65">
        <v>46188</v>
      </c>
      <c r="D643">
        <v>23776</v>
      </c>
      <c r="E643">
        <v>152</v>
      </c>
      <c r="F643" t="s">
        <v>962</v>
      </c>
      <c r="G643" t="s">
        <v>977</v>
      </c>
      <c r="H643">
        <v>3004000</v>
      </c>
      <c r="I643" t="s">
        <v>1003</v>
      </c>
      <c r="J643" t="s">
        <v>951</v>
      </c>
      <c r="K643" t="s">
        <v>1004</v>
      </c>
      <c r="L643" t="s">
        <v>951</v>
      </c>
      <c r="M643" t="s">
        <v>980</v>
      </c>
      <c r="N643" t="s">
        <v>958</v>
      </c>
      <c r="O643" t="s">
        <v>959</v>
      </c>
    </row>
    <row r="644" spans="1:15" x14ac:dyDescent="0.25">
      <c r="A644" t="s">
        <v>946</v>
      </c>
      <c r="B644" t="s">
        <v>947</v>
      </c>
      <c r="C644" s="65">
        <v>46188</v>
      </c>
      <c r="D644">
        <v>23777</v>
      </c>
      <c r="E644">
        <v>153</v>
      </c>
      <c r="F644" t="s">
        <v>962</v>
      </c>
      <c r="G644" t="s">
        <v>977</v>
      </c>
      <c r="H644">
        <v>3050000</v>
      </c>
      <c r="I644" t="s">
        <v>1003</v>
      </c>
      <c r="J644" t="s">
        <v>951</v>
      </c>
      <c r="K644" t="s">
        <v>1004</v>
      </c>
      <c r="L644" t="s">
        <v>951</v>
      </c>
      <c r="M644" t="s">
        <v>980</v>
      </c>
      <c r="N644" t="s">
        <v>958</v>
      </c>
      <c r="O644" t="s">
        <v>959</v>
      </c>
    </row>
    <row r="645" spans="1:15" x14ac:dyDescent="0.25">
      <c r="A645" t="s">
        <v>946</v>
      </c>
      <c r="B645" t="s">
        <v>947</v>
      </c>
      <c r="C645" s="65">
        <v>46188</v>
      </c>
      <c r="D645">
        <v>23778</v>
      </c>
      <c r="E645">
        <v>154</v>
      </c>
      <c r="F645" t="s">
        <v>962</v>
      </c>
      <c r="G645" t="s">
        <v>977</v>
      </c>
      <c r="H645">
        <v>1200000</v>
      </c>
      <c r="I645" t="s">
        <v>1003</v>
      </c>
      <c r="J645" t="s">
        <v>951</v>
      </c>
      <c r="K645" t="s">
        <v>1004</v>
      </c>
      <c r="L645" t="s">
        <v>951</v>
      </c>
      <c r="M645" t="s">
        <v>980</v>
      </c>
      <c r="N645" t="s">
        <v>958</v>
      </c>
      <c r="O645" t="s">
        <v>959</v>
      </c>
    </row>
    <row r="646" spans="1:15" x14ac:dyDescent="0.25">
      <c r="A646" t="s">
        <v>946</v>
      </c>
      <c r="B646" t="s">
        <v>947</v>
      </c>
      <c r="C646" s="65">
        <v>46189</v>
      </c>
      <c r="D646">
        <v>23691</v>
      </c>
      <c r="E646">
        <v>78055937</v>
      </c>
      <c r="F646" t="s">
        <v>962</v>
      </c>
      <c r="G646" t="s">
        <v>967</v>
      </c>
      <c r="H646">
        <v>1480000</v>
      </c>
      <c r="I646" t="s">
        <v>968</v>
      </c>
      <c r="J646" t="s">
        <v>951</v>
      </c>
      <c r="K646" t="s">
        <v>969</v>
      </c>
      <c r="L646" t="s">
        <v>951</v>
      </c>
      <c r="M646" t="s">
        <v>970</v>
      </c>
      <c r="N646" t="s">
        <v>958</v>
      </c>
      <c r="O646" t="s">
        <v>959</v>
      </c>
    </row>
    <row r="647" spans="1:15" x14ac:dyDescent="0.25">
      <c r="A647" t="s">
        <v>946</v>
      </c>
      <c r="B647" t="s">
        <v>947</v>
      </c>
      <c r="C647" s="65">
        <v>46189</v>
      </c>
      <c r="D647">
        <v>23728</v>
      </c>
      <c r="E647">
        <v>78055947</v>
      </c>
      <c r="F647" t="s">
        <v>962</v>
      </c>
      <c r="G647" t="s">
        <v>1017</v>
      </c>
      <c r="H647">
        <v>1440000</v>
      </c>
      <c r="I647" t="s">
        <v>968</v>
      </c>
      <c r="J647" t="s">
        <v>951</v>
      </c>
      <c r="K647" t="s">
        <v>969</v>
      </c>
      <c r="L647" t="s">
        <v>951</v>
      </c>
      <c r="M647" t="s">
        <v>1018</v>
      </c>
      <c r="N647" t="s">
        <v>958</v>
      </c>
      <c r="O647" t="s">
        <v>959</v>
      </c>
    </row>
    <row r="648" spans="1:15" x14ac:dyDescent="0.25">
      <c r="A648" t="s">
        <v>946</v>
      </c>
      <c r="B648" t="s">
        <v>947</v>
      </c>
      <c r="C648" s="65">
        <v>46189</v>
      </c>
      <c r="D648">
        <v>23731</v>
      </c>
      <c r="E648">
        <v>13653569</v>
      </c>
      <c r="F648" t="s">
        <v>962</v>
      </c>
      <c r="G648" t="s">
        <v>963</v>
      </c>
      <c r="H648">
        <v>2983045</v>
      </c>
      <c r="I648" t="s">
        <v>964</v>
      </c>
      <c r="J648" t="s">
        <v>951</v>
      </c>
      <c r="K648" t="s">
        <v>965</v>
      </c>
      <c r="L648" t="s">
        <v>951</v>
      </c>
      <c r="M648" t="s">
        <v>966</v>
      </c>
      <c r="N648" t="s">
        <v>958</v>
      </c>
      <c r="O648" t="s">
        <v>959</v>
      </c>
    </row>
    <row r="649" spans="1:15" x14ac:dyDescent="0.25">
      <c r="A649" t="s">
        <v>946</v>
      </c>
      <c r="B649" t="s">
        <v>947</v>
      </c>
      <c r="C649" s="65">
        <v>46189</v>
      </c>
      <c r="D649">
        <v>23794</v>
      </c>
      <c r="E649">
        <v>4857</v>
      </c>
      <c r="F649" t="s">
        <v>962</v>
      </c>
      <c r="G649" t="s">
        <v>977</v>
      </c>
      <c r="H649">
        <v>1300000</v>
      </c>
      <c r="I649" t="s">
        <v>993</v>
      </c>
      <c r="J649" t="s">
        <v>951</v>
      </c>
      <c r="K649" t="s">
        <v>994</v>
      </c>
      <c r="L649" t="s">
        <v>951</v>
      </c>
      <c r="M649" t="s">
        <v>980</v>
      </c>
      <c r="N649" t="s">
        <v>958</v>
      </c>
      <c r="O649" t="s">
        <v>959</v>
      </c>
    </row>
    <row r="650" spans="1:15" x14ac:dyDescent="0.25">
      <c r="A650" t="s">
        <v>946</v>
      </c>
      <c r="B650" t="s">
        <v>947</v>
      </c>
      <c r="C650" s="65">
        <v>46189</v>
      </c>
      <c r="D650">
        <v>23834</v>
      </c>
      <c r="E650">
        <v>7</v>
      </c>
      <c r="F650" t="s">
        <v>962</v>
      </c>
      <c r="G650" t="s">
        <v>977</v>
      </c>
      <c r="H650">
        <v>1500000</v>
      </c>
      <c r="I650" t="s">
        <v>968</v>
      </c>
      <c r="J650" t="s">
        <v>951</v>
      </c>
      <c r="K650" t="s">
        <v>969</v>
      </c>
      <c r="L650" t="s">
        <v>951</v>
      </c>
      <c r="M650" t="s">
        <v>980</v>
      </c>
      <c r="N650" t="s">
        <v>958</v>
      </c>
      <c r="O650" t="s">
        <v>959</v>
      </c>
    </row>
    <row r="651" spans="1:15" x14ac:dyDescent="0.25">
      <c r="A651" t="s">
        <v>946</v>
      </c>
      <c r="B651" t="s">
        <v>947</v>
      </c>
      <c r="C651" s="65">
        <v>46189</v>
      </c>
      <c r="D651">
        <v>23839</v>
      </c>
      <c r="E651">
        <v>2</v>
      </c>
      <c r="F651" t="s">
        <v>962</v>
      </c>
      <c r="G651" t="s">
        <v>977</v>
      </c>
      <c r="H651">
        <v>1400000</v>
      </c>
      <c r="I651" t="s">
        <v>968</v>
      </c>
      <c r="J651" t="s">
        <v>951</v>
      </c>
      <c r="K651" t="s">
        <v>969</v>
      </c>
      <c r="L651" t="s">
        <v>951</v>
      </c>
      <c r="M651" t="s">
        <v>980</v>
      </c>
      <c r="N651" t="s">
        <v>958</v>
      </c>
      <c r="O651" t="s">
        <v>959</v>
      </c>
    </row>
    <row r="652" spans="1:15" x14ac:dyDescent="0.25">
      <c r="A652" t="s">
        <v>946</v>
      </c>
      <c r="B652" t="s">
        <v>947</v>
      </c>
      <c r="C652" s="65">
        <v>46189</v>
      </c>
      <c r="D652">
        <v>23882</v>
      </c>
      <c r="E652">
        <v>33905282</v>
      </c>
      <c r="F652" t="s">
        <v>948</v>
      </c>
      <c r="G652" t="s">
        <v>977</v>
      </c>
      <c r="H652">
        <v>1000000</v>
      </c>
      <c r="I652" t="s">
        <v>996</v>
      </c>
      <c r="J652" t="s">
        <v>951</v>
      </c>
      <c r="K652" t="s">
        <v>997</v>
      </c>
      <c r="L652" t="s">
        <v>951</v>
      </c>
      <c r="M652" t="s">
        <v>980</v>
      </c>
      <c r="N652" t="s">
        <v>951</v>
      </c>
      <c r="O652" t="s">
        <v>951</v>
      </c>
    </row>
    <row r="653" spans="1:15" x14ac:dyDescent="0.25">
      <c r="A653" t="s">
        <v>946</v>
      </c>
      <c r="B653" t="s">
        <v>947</v>
      </c>
      <c r="C653" s="65">
        <v>46189</v>
      </c>
      <c r="D653">
        <v>23885</v>
      </c>
      <c r="E653">
        <v>85786683</v>
      </c>
      <c r="F653" t="s">
        <v>948</v>
      </c>
      <c r="G653" t="s">
        <v>989</v>
      </c>
      <c r="H653">
        <v>400000</v>
      </c>
      <c r="I653" t="s">
        <v>996</v>
      </c>
      <c r="J653" t="s">
        <v>951</v>
      </c>
      <c r="K653" t="s">
        <v>997</v>
      </c>
      <c r="L653" t="s">
        <v>951</v>
      </c>
      <c r="M653" t="s">
        <v>992</v>
      </c>
      <c r="N653" t="s">
        <v>951</v>
      </c>
      <c r="O653" t="s">
        <v>951</v>
      </c>
    </row>
    <row r="654" spans="1:15" x14ac:dyDescent="0.25">
      <c r="A654" t="s">
        <v>946</v>
      </c>
      <c r="B654" t="s">
        <v>947</v>
      </c>
      <c r="C654" s="65">
        <v>46189</v>
      </c>
      <c r="D654">
        <v>23945</v>
      </c>
      <c r="E654">
        <v>1677</v>
      </c>
      <c r="F654" t="s">
        <v>962</v>
      </c>
      <c r="G654" t="s">
        <v>977</v>
      </c>
      <c r="H654">
        <v>18000000</v>
      </c>
      <c r="I654" t="s">
        <v>1009</v>
      </c>
      <c r="J654" t="s">
        <v>951</v>
      </c>
      <c r="K654" t="s">
        <v>1010</v>
      </c>
      <c r="L654" t="s">
        <v>951</v>
      </c>
      <c r="M654" t="s">
        <v>980</v>
      </c>
      <c r="N654" t="s">
        <v>958</v>
      </c>
      <c r="O654" t="s">
        <v>959</v>
      </c>
    </row>
    <row r="655" spans="1:15" x14ac:dyDescent="0.25">
      <c r="A655" t="s">
        <v>946</v>
      </c>
      <c r="B655" t="s">
        <v>947</v>
      </c>
      <c r="C655" s="65">
        <v>46189</v>
      </c>
      <c r="D655">
        <v>23989</v>
      </c>
      <c r="E655">
        <v>23476997385</v>
      </c>
      <c r="F655" t="s">
        <v>962</v>
      </c>
      <c r="G655" t="s">
        <v>954</v>
      </c>
      <c r="H655">
        <v>11744287.5</v>
      </c>
      <c r="I655" t="s">
        <v>981</v>
      </c>
      <c r="J655" t="s">
        <v>951</v>
      </c>
      <c r="K655" t="s">
        <v>982</v>
      </c>
      <c r="L655" t="s">
        <v>951</v>
      </c>
      <c r="M655" t="s">
        <v>957</v>
      </c>
      <c r="N655" t="s">
        <v>958</v>
      </c>
      <c r="O655" t="s">
        <v>959</v>
      </c>
    </row>
    <row r="656" spans="1:15" x14ac:dyDescent="0.25">
      <c r="A656" t="s">
        <v>946</v>
      </c>
      <c r="B656" t="s">
        <v>947</v>
      </c>
      <c r="C656" s="65">
        <v>46189</v>
      </c>
      <c r="D656">
        <v>24063</v>
      </c>
      <c r="E656">
        <v>90001609</v>
      </c>
      <c r="F656" t="s">
        <v>962</v>
      </c>
      <c r="G656" t="s">
        <v>971</v>
      </c>
      <c r="H656">
        <v>428070</v>
      </c>
      <c r="I656" t="s">
        <v>990</v>
      </c>
      <c r="J656" t="s">
        <v>951</v>
      </c>
      <c r="K656" t="s">
        <v>991</v>
      </c>
      <c r="L656" t="s">
        <v>951</v>
      </c>
      <c r="M656" t="s">
        <v>972</v>
      </c>
      <c r="N656" t="s">
        <v>958</v>
      </c>
      <c r="O656" t="s">
        <v>959</v>
      </c>
    </row>
    <row r="657" spans="1:15" x14ac:dyDescent="0.25">
      <c r="A657" t="s">
        <v>946</v>
      </c>
      <c r="B657" t="s">
        <v>947</v>
      </c>
      <c r="C657" s="65">
        <v>46190</v>
      </c>
      <c r="D657">
        <v>23692</v>
      </c>
      <c r="E657">
        <v>78055938</v>
      </c>
      <c r="F657" t="s">
        <v>962</v>
      </c>
      <c r="G657" t="s">
        <v>967</v>
      </c>
      <c r="H657">
        <v>1480000</v>
      </c>
      <c r="I657" t="s">
        <v>968</v>
      </c>
      <c r="J657" t="s">
        <v>951</v>
      </c>
      <c r="K657" t="s">
        <v>969</v>
      </c>
      <c r="L657" t="s">
        <v>951</v>
      </c>
      <c r="M657" t="s">
        <v>970</v>
      </c>
      <c r="N657" t="s">
        <v>958</v>
      </c>
      <c r="O657" t="s">
        <v>959</v>
      </c>
    </row>
    <row r="658" spans="1:15" x14ac:dyDescent="0.25">
      <c r="A658" t="s">
        <v>946</v>
      </c>
      <c r="B658" t="s">
        <v>947</v>
      </c>
      <c r="C658" s="65">
        <v>46190</v>
      </c>
      <c r="D658">
        <v>23729</v>
      </c>
      <c r="E658">
        <v>78055948</v>
      </c>
      <c r="F658" t="s">
        <v>962</v>
      </c>
      <c r="G658" t="s">
        <v>967</v>
      </c>
      <c r="H658">
        <v>1440000</v>
      </c>
      <c r="I658" t="s">
        <v>968</v>
      </c>
      <c r="J658" t="s">
        <v>951</v>
      </c>
      <c r="K658" t="s">
        <v>969</v>
      </c>
      <c r="L658" t="s">
        <v>951</v>
      </c>
      <c r="M658" t="s">
        <v>970</v>
      </c>
      <c r="N658" t="s">
        <v>958</v>
      </c>
      <c r="O658" t="s">
        <v>959</v>
      </c>
    </row>
    <row r="659" spans="1:15" x14ac:dyDescent="0.25">
      <c r="A659" t="s">
        <v>946</v>
      </c>
      <c r="B659" t="s">
        <v>947</v>
      </c>
      <c r="C659" s="65">
        <v>46190</v>
      </c>
      <c r="D659">
        <v>23732</v>
      </c>
      <c r="E659">
        <v>13653570</v>
      </c>
      <c r="F659" t="s">
        <v>962</v>
      </c>
      <c r="G659" t="s">
        <v>963</v>
      </c>
      <c r="H659">
        <v>3050000</v>
      </c>
      <c r="I659" t="s">
        <v>964</v>
      </c>
      <c r="J659" t="s">
        <v>951</v>
      </c>
      <c r="K659" t="s">
        <v>965</v>
      </c>
      <c r="L659" t="s">
        <v>951</v>
      </c>
      <c r="M659" t="s">
        <v>966</v>
      </c>
      <c r="N659" t="s">
        <v>958</v>
      </c>
      <c r="O659" t="s">
        <v>959</v>
      </c>
    </row>
    <row r="660" spans="1:15" x14ac:dyDescent="0.25">
      <c r="A660" t="s">
        <v>946</v>
      </c>
      <c r="B660" t="s">
        <v>947</v>
      </c>
      <c r="C660" s="65">
        <v>46190</v>
      </c>
      <c r="D660">
        <v>23795</v>
      </c>
      <c r="E660">
        <v>4858</v>
      </c>
      <c r="F660" t="s">
        <v>962</v>
      </c>
      <c r="G660" t="s">
        <v>977</v>
      </c>
      <c r="H660">
        <v>1300000</v>
      </c>
      <c r="I660" t="s">
        <v>993</v>
      </c>
      <c r="J660" t="s">
        <v>951</v>
      </c>
      <c r="K660" t="s">
        <v>994</v>
      </c>
      <c r="L660" t="s">
        <v>951</v>
      </c>
      <c r="M660" t="s">
        <v>980</v>
      </c>
      <c r="N660" t="s">
        <v>958</v>
      </c>
      <c r="O660" t="s">
        <v>959</v>
      </c>
    </row>
    <row r="661" spans="1:15" x14ac:dyDescent="0.25">
      <c r="A661" t="s">
        <v>946</v>
      </c>
      <c r="B661" t="s">
        <v>947</v>
      </c>
      <c r="C661" s="65">
        <v>46190</v>
      </c>
      <c r="D661">
        <v>23837</v>
      </c>
      <c r="E661">
        <v>10</v>
      </c>
      <c r="F661" t="s">
        <v>962</v>
      </c>
      <c r="G661" t="s">
        <v>977</v>
      </c>
      <c r="H661">
        <v>1500000</v>
      </c>
      <c r="I661" t="s">
        <v>968</v>
      </c>
      <c r="J661" t="s">
        <v>951</v>
      </c>
      <c r="K661" t="s">
        <v>969</v>
      </c>
      <c r="L661" t="s">
        <v>951</v>
      </c>
      <c r="M661" t="s">
        <v>980</v>
      </c>
      <c r="N661" t="s">
        <v>958</v>
      </c>
      <c r="O661" t="s">
        <v>959</v>
      </c>
    </row>
    <row r="662" spans="1:15" x14ac:dyDescent="0.25">
      <c r="A662" t="s">
        <v>946</v>
      </c>
      <c r="B662" t="s">
        <v>947</v>
      </c>
      <c r="C662" s="65">
        <v>46190</v>
      </c>
      <c r="D662">
        <v>23846</v>
      </c>
      <c r="E662">
        <v>9</v>
      </c>
      <c r="F662" t="s">
        <v>962</v>
      </c>
      <c r="G662" t="s">
        <v>977</v>
      </c>
      <c r="H662">
        <v>1400000</v>
      </c>
      <c r="I662" t="s">
        <v>968</v>
      </c>
      <c r="J662" t="s">
        <v>951</v>
      </c>
      <c r="K662" t="s">
        <v>969</v>
      </c>
      <c r="L662" t="s">
        <v>951</v>
      </c>
      <c r="M662" t="s">
        <v>980</v>
      </c>
      <c r="N662" t="s">
        <v>958</v>
      </c>
      <c r="O662" t="s">
        <v>959</v>
      </c>
    </row>
    <row r="663" spans="1:15" x14ac:dyDescent="0.25">
      <c r="A663" t="s">
        <v>946</v>
      </c>
      <c r="B663" t="s">
        <v>947</v>
      </c>
      <c r="C663" s="65">
        <v>46190</v>
      </c>
      <c r="D663">
        <v>23921</v>
      </c>
      <c r="E663">
        <v>4893</v>
      </c>
      <c r="F663" t="s">
        <v>962</v>
      </c>
      <c r="G663" t="s">
        <v>977</v>
      </c>
      <c r="H663">
        <v>1700000</v>
      </c>
      <c r="I663" t="s">
        <v>993</v>
      </c>
      <c r="J663" t="s">
        <v>951</v>
      </c>
      <c r="K663" t="s">
        <v>994</v>
      </c>
      <c r="L663" t="s">
        <v>951</v>
      </c>
      <c r="M663" t="s">
        <v>980</v>
      </c>
      <c r="N663" t="s">
        <v>958</v>
      </c>
      <c r="O663" t="s">
        <v>959</v>
      </c>
    </row>
    <row r="664" spans="1:15" x14ac:dyDescent="0.25">
      <c r="A664" t="s">
        <v>946</v>
      </c>
      <c r="B664" t="s">
        <v>947</v>
      </c>
      <c r="C664" s="65">
        <v>46190</v>
      </c>
      <c r="D664">
        <v>23933</v>
      </c>
      <c r="E664">
        <v>9894200</v>
      </c>
      <c r="F664" t="s">
        <v>948</v>
      </c>
      <c r="G664" t="s">
        <v>954</v>
      </c>
      <c r="H664">
        <v>5814016</v>
      </c>
      <c r="I664" t="s">
        <v>1019</v>
      </c>
      <c r="J664" t="s">
        <v>951</v>
      </c>
      <c r="K664" t="s">
        <v>1020</v>
      </c>
      <c r="L664" t="s">
        <v>951</v>
      </c>
      <c r="M664" t="s">
        <v>957</v>
      </c>
      <c r="N664" t="s">
        <v>958</v>
      </c>
      <c r="O664" t="s">
        <v>959</v>
      </c>
    </row>
    <row r="665" spans="1:15" x14ac:dyDescent="0.25">
      <c r="A665" t="s">
        <v>946</v>
      </c>
      <c r="B665" t="s">
        <v>947</v>
      </c>
      <c r="C665" s="65">
        <v>46190</v>
      </c>
      <c r="D665">
        <v>23952</v>
      </c>
      <c r="E665">
        <v>19053</v>
      </c>
      <c r="F665" t="s">
        <v>962</v>
      </c>
      <c r="G665" t="s">
        <v>967</v>
      </c>
      <c r="H665">
        <v>9494944.0700000003</v>
      </c>
      <c r="I665" t="s">
        <v>974</v>
      </c>
      <c r="J665" t="s">
        <v>951</v>
      </c>
      <c r="K665" t="s">
        <v>975</v>
      </c>
      <c r="L665" t="s">
        <v>951</v>
      </c>
      <c r="M665" t="s">
        <v>970</v>
      </c>
      <c r="N665" t="s">
        <v>958</v>
      </c>
      <c r="O665" t="s">
        <v>959</v>
      </c>
    </row>
    <row r="666" spans="1:15" x14ac:dyDescent="0.25">
      <c r="A666" t="s">
        <v>946</v>
      </c>
      <c r="B666" t="s">
        <v>947</v>
      </c>
      <c r="C666" s="65">
        <v>46190</v>
      </c>
      <c r="D666">
        <v>23953</v>
      </c>
      <c r="E666">
        <v>19052</v>
      </c>
      <c r="F666" t="s">
        <v>962</v>
      </c>
      <c r="G666" t="s">
        <v>967</v>
      </c>
      <c r="H666">
        <v>8000000</v>
      </c>
      <c r="I666" t="s">
        <v>974</v>
      </c>
      <c r="J666" t="s">
        <v>951</v>
      </c>
      <c r="K666" t="s">
        <v>975</v>
      </c>
      <c r="L666" t="s">
        <v>951</v>
      </c>
      <c r="M666" t="s">
        <v>970</v>
      </c>
      <c r="N666" t="s">
        <v>958</v>
      </c>
      <c r="O666" t="s">
        <v>959</v>
      </c>
    </row>
    <row r="667" spans="1:15" x14ac:dyDescent="0.25">
      <c r="A667" t="s">
        <v>946</v>
      </c>
      <c r="B667" t="s">
        <v>947</v>
      </c>
      <c r="C667" s="65">
        <v>46191</v>
      </c>
      <c r="D667">
        <v>23693</v>
      </c>
      <c r="E667">
        <v>78055939</v>
      </c>
      <c r="F667" t="s">
        <v>962</v>
      </c>
      <c r="G667" t="s">
        <v>967</v>
      </c>
      <c r="H667">
        <v>1460205</v>
      </c>
      <c r="I667" t="s">
        <v>968</v>
      </c>
      <c r="J667" t="s">
        <v>951</v>
      </c>
      <c r="K667" t="s">
        <v>969</v>
      </c>
      <c r="L667" t="s">
        <v>951</v>
      </c>
      <c r="M667" t="s">
        <v>970</v>
      </c>
      <c r="N667" t="s">
        <v>958</v>
      </c>
      <c r="O667" t="s">
        <v>959</v>
      </c>
    </row>
    <row r="668" spans="1:15" x14ac:dyDescent="0.25">
      <c r="A668" t="s">
        <v>946</v>
      </c>
      <c r="B668" t="s">
        <v>947</v>
      </c>
      <c r="C668" s="65">
        <v>46191</v>
      </c>
      <c r="D668">
        <v>23730</v>
      </c>
      <c r="E668">
        <v>78055949</v>
      </c>
      <c r="F668" t="s">
        <v>962</v>
      </c>
      <c r="G668" t="s">
        <v>967</v>
      </c>
      <c r="H668">
        <v>1420740</v>
      </c>
      <c r="I668" t="s">
        <v>968</v>
      </c>
      <c r="J668" t="s">
        <v>951</v>
      </c>
      <c r="K668" t="s">
        <v>969</v>
      </c>
      <c r="L668" t="s">
        <v>951</v>
      </c>
      <c r="M668" t="s">
        <v>970</v>
      </c>
      <c r="N668" t="s">
        <v>958</v>
      </c>
      <c r="O668" t="s">
        <v>959</v>
      </c>
    </row>
    <row r="669" spans="1:15" x14ac:dyDescent="0.25">
      <c r="A669" t="s">
        <v>946</v>
      </c>
      <c r="B669" t="s">
        <v>947</v>
      </c>
      <c r="C669" s="65">
        <v>46191</v>
      </c>
      <c r="D669">
        <v>23733</v>
      </c>
      <c r="E669">
        <v>13653571</v>
      </c>
      <c r="F669" t="s">
        <v>962</v>
      </c>
      <c r="G669" t="s">
        <v>963</v>
      </c>
      <c r="H669">
        <v>3050000</v>
      </c>
      <c r="I669" t="s">
        <v>964</v>
      </c>
      <c r="J669" t="s">
        <v>951</v>
      </c>
      <c r="K669" t="s">
        <v>965</v>
      </c>
      <c r="L669" t="s">
        <v>951</v>
      </c>
      <c r="M669" t="s">
        <v>966</v>
      </c>
      <c r="N669" t="s">
        <v>958</v>
      </c>
      <c r="O669" t="s">
        <v>959</v>
      </c>
    </row>
    <row r="670" spans="1:15" x14ac:dyDescent="0.25">
      <c r="A670" t="s">
        <v>946</v>
      </c>
      <c r="B670" t="s">
        <v>947</v>
      </c>
      <c r="C670" s="65">
        <v>46191</v>
      </c>
      <c r="D670">
        <v>23845</v>
      </c>
      <c r="E670">
        <v>8</v>
      </c>
      <c r="F670" t="s">
        <v>962</v>
      </c>
      <c r="G670" t="s">
        <v>977</v>
      </c>
      <c r="H670">
        <v>1400000</v>
      </c>
      <c r="I670" t="s">
        <v>968</v>
      </c>
      <c r="J670" t="s">
        <v>951</v>
      </c>
      <c r="K670" t="s">
        <v>969</v>
      </c>
      <c r="L670" t="s">
        <v>951</v>
      </c>
      <c r="M670" t="s">
        <v>980</v>
      </c>
      <c r="N670" t="s">
        <v>958</v>
      </c>
      <c r="O670" t="s">
        <v>959</v>
      </c>
    </row>
    <row r="671" spans="1:15" x14ac:dyDescent="0.25">
      <c r="A671" t="s">
        <v>946</v>
      </c>
      <c r="B671" t="s">
        <v>947</v>
      </c>
      <c r="C671" s="65">
        <v>46191</v>
      </c>
      <c r="D671">
        <v>24010</v>
      </c>
      <c r="E671">
        <v>4954</v>
      </c>
      <c r="F671" t="s">
        <v>962</v>
      </c>
      <c r="G671" t="s">
        <v>977</v>
      </c>
      <c r="H671">
        <v>843325</v>
      </c>
      <c r="I671" t="s">
        <v>993</v>
      </c>
      <c r="J671" t="s">
        <v>951</v>
      </c>
      <c r="K671" t="s">
        <v>994</v>
      </c>
      <c r="L671" t="s">
        <v>951</v>
      </c>
      <c r="M671" t="s">
        <v>980</v>
      </c>
      <c r="N671" t="s">
        <v>958</v>
      </c>
      <c r="O671" t="s">
        <v>959</v>
      </c>
    </row>
    <row r="672" spans="1:15" x14ac:dyDescent="0.25">
      <c r="A672" t="s">
        <v>946</v>
      </c>
      <c r="B672" t="s">
        <v>947</v>
      </c>
      <c r="C672" s="65">
        <v>46191</v>
      </c>
      <c r="D672">
        <v>24059</v>
      </c>
      <c r="E672">
        <v>9625</v>
      </c>
      <c r="F672" t="s">
        <v>948</v>
      </c>
      <c r="G672" t="s">
        <v>967</v>
      </c>
      <c r="H672">
        <v>2000000</v>
      </c>
      <c r="I672" t="s">
        <v>990</v>
      </c>
      <c r="J672" t="s">
        <v>951</v>
      </c>
      <c r="K672" t="s">
        <v>991</v>
      </c>
      <c r="L672" t="s">
        <v>951</v>
      </c>
      <c r="M672" t="s">
        <v>970</v>
      </c>
      <c r="N672" t="s">
        <v>958</v>
      </c>
      <c r="O672" t="s">
        <v>959</v>
      </c>
    </row>
    <row r="673" spans="1:15" x14ac:dyDescent="0.25">
      <c r="A673" t="s">
        <v>946</v>
      </c>
      <c r="B673" t="s">
        <v>947</v>
      </c>
      <c r="C673" s="65">
        <v>46192</v>
      </c>
      <c r="D673">
        <v>23671</v>
      </c>
      <c r="E673">
        <v>7069</v>
      </c>
      <c r="F673" t="s">
        <v>962</v>
      </c>
      <c r="G673" t="s">
        <v>977</v>
      </c>
      <c r="H673">
        <v>28375270</v>
      </c>
      <c r="I673" t="s">
        <v>978</v>
      </c>
      <c r="J673" t="s">
        <v>951</v>
      </c>
      <c r="K673" t="s">
        <v>979</v>
      </c>
      <c r="L673" t="s">
        <v>951</v>
      </c>
      <c r="M673" t="s">
        <v>980</v>
      </c>
      <c r="N673" t="s">
        <v>958</v>
      </c>
      <c r="O673" t="s">
        <v>959</v>
      </c>
    </row>
    <row r="674" spans="1:15" x14ac:dyDescent="0.25">
      <c r="A674" t="s">
        <v>946</v>
      </c>
      <c r="B674" t="s">
        <v>947</v>
      </c>
      <c r="C674" s="65">
        <v>46192</v>
      </c>
      <c r="D674">
        <v>23705</v>
      </c>
      <c r="E674">
        <v>29273700</v>
      </c>
      <c r="F674" t="s">
        <v>948</v>
      </c>
      <c r="G674" t="s">
        <v>989</v>
      </c>
      <c r="H674">
        <v>1339800</v>
      </c>
      <c r="I674" t="s">
        <v>990</v>
      </c>
      <c r="J674" t="s">
        <v>951</v>
      </c>
      <c r="K674" t="s">
        <v>991</v>
      </c>
      <c r="L674" t="s">
        <v>951</v>
      </c>
      <c r="M674" t="s">
        <v>992</v>
      </c>
      <c r="N674" t="s">
        <v>958</v>
      </c>
      <c r="O674" t="s">
        <v>959</v>
      </c>
    </row>
    <row r="675" spans="1:15" x14ac:dyDescent="0.25">
      <c r="A675" t="s">
        <v>946</v>
      </c>
      <c r="B675" t="s">
        <v>947</v>
      </c>
      <c r="C675" s="65">
        <v>46192</v>
      </c>
      <c r="D675">
        <v>23734</v>
      </c>
      <c r="E675">
        <v>13653572</v>
      </c>
      <c r="F675" t="s">
        <v>962</v>
      </c>
      <c r="G675" t="s">
        <v>963</v>
      </c>
      <c r="H675">
        <v>3050000</v>
      </c>
      <c r="I675" t="s">
        <v>964</v>
      </c>
      <c r="J675" t="s">
        <v>951</v>
      </c>
      <c r="K675" t="s">
        <v>965</v>
      </c>
      <c r="L675" t="s">
        <v>951</v>
      </c>
      <c r="M675" t="s">
        <v>966</v>
      </c>
      <c r="N675" t="s">
        <v>958</v>
      </c>
      <c r="O675" t="s">
        <v>959</v>
      </c>
    </row>
    <row r="676" spans="1:15" x14ac:dyDescent="0.25">
      <c r="A676" t="s">
        <v>946</v>
      </c>
      <c r="B676" t="s">
        <v>947</v>
      </c>
      <c r="C676" s="65">
        <v>46192</v>
      </c>
      <c r="D676">
        <v>23747</v>
      </c>
      <c r="E676">
        <v>1582</v>
      </c>
      <c r="F676" t="s">
        <v>962</v>
      </c>
      <c r="G676" t="s">
        <v>977</v>
      </c>
      <c r="H676">
        <v>21096432.5</v>
      </c>
      <c r="I676" t="s">
        <v>1009</v>
      </c>
      <c r="J676" t="s">
        <v>951</v>
      </c>
      <c r="K676" t="s">
        <v>1010</v>
      </c>
      <c r="L676" t="s">
        <v>951</v>
      </c>
      <c r="M676" t="s">
        <v>980</v>
      </c>
      <c r="N676" t="s">
        <v>958</v>
      </c>
      <c r="O676" t="s">
        <v>959</v>
      </c>
    </row>
    <row r="677" spans="1:15" x14ac:dyDescent="0.25">
      <c r="A677" t="s">
        <v>946</v>
      </c>
      <c r="B677" t="s">
        <v>947</v>
      </c>
      <c r="C677" s="65">
        <v>46192</v>
      </c>
      <c r="D677">
        <v>23781</v>
      </c>
      <c r="E677">
        <v>157</v>
      </c>
      <c r="F677" t="s">
        <v>962</v>
      </c>
      <c r="G677" t="s">
        <v>977</v>
      </c>
      <c r="H677">
        <v>3000060</v>
      </c>
      <c r="I677" t="s">
        <v>1003</v>
      </c>
      <c r="J677" t="s">
        <v>951</v>
      </c>
      <c r="K677" t="s">
        <v>1004</v>
      </c>
      <c r="L677" t="s">
        <v>951</v>
      </c>
      <c r="M677" t="s">
        <v>980</v>
      </c>
      <c r="N677" t="s">
        <v>958</v>
      </c>
      <c r="O677" t="s">
        <v>959</v>
      </c>
    </row>
    <row r="678" spans="1:15" x14ac:dyDescent="0.25">
      <c r="A678" t="s">
        <v>946</v>
      </c>
      <c r="B678" t="s">
        <v>947</v>
      </c>
      <c r="C678" s="65">
        <v>46192</v>
      </c>
      <c r="D678">
        <v>23782</v>
      </c>
      <c r="E678">
        <v>158</v>
      </c>
      <c r="F678" t="s">
        <v>962</v>
      </c>
      <c r="G678" t="s">
        <v>977</v>
      </c>
      <c r="H678">
        <v>3000900</v>
      </c>
      <c r="I678" t="s">
        <v>1003</v>
      </c>
      <c r="J678" t="s">
        <v>951</v>
      </c>
      <c r="K678" t="s">
        <v>1004</v>
      </c>
      <c r="L678" t="s">
        <v>951</v>
      </c>
      <c r="M678" t="s">
        <v>980</v>
      </c>
      <c r="N678" t="s">
        <v>958</v>
      </c>
      <c r="O678" t="s">
        <v>959</v>
      </c>
    </row>
    <row r="679" spans="1:15" x14ac:dyDescent="0.25">
      <c r="A679" t="s">
        <v>946</v>
      </c>
      <c r="B679" t="s">
        <v>947</v>
      </c>
      <c r="C679" s="65">
        <v>46192</v>
      </c>
      <c r="D679">
        <v>23783</v>
      </c>
      <c r="E679">
        <v>159</v>
      </c>
      <c r="F679" t="s">
        <v>962</v>
      </c>
      <c r="G679" t="s">
        <v>977</v>
      </c>
      <c r="H679">
        <v>2364000</v>
      </c>
      <c r="I679" t="s">
        <v>1003</v>
      </c>
      <c r="J679" t="s">
        <v>951</v>
      </c>
      <c r="K679" t="s">
        <v>1004</v>
      </c>
      <c r="L679" t="s">
        <v>951</v>
      </c>
      <c r="M679" t="s">
        <v>980</v>
      </c>
      <c r="N679" t="s">
        <v>958</v>
      </c>
      <c r="O679" t="s">
        <v>959</v>
      </c>
    </row>
    <row r="680" spans="1:15" x14ac:dyDescent="0.25">
      <c r="A680" t="s">
        <v>946</v>
      </c>
      <c r="B680" t="s">
        <v>947</v>
      </c>
      <c r="C680" s="65">
        <v>46192</v>
      </c>
      <c r="D680">
        <v>23796</v>
      </c>
      <c r="E680">
        <v>4859</v>
      </c>
      <c r="F680" t="s">
        <v>962</v>
      </c>
      <c r="G680" t="s">
        <v>977</v>
      </c>
      <c r="H680">
        <v>1300000</v>
      </c>
      <c r="I680" t="s">
        <v>993</v>
      </c>
      <c r="J680" t="s">
        <v>951</v>
      </c>
      <c r="K680" t="s">
        <v>994</v>
      </c>
      <c r="L680" t="s">
        <v>951</v>
      </c>
      <c r="M680" t="s">
        <v>980</v>
      </c>
      <c r="N680" t="s">
        <v>958</v>
      </c>
      <c r="O680" t="s">
        <v>959</v>
      </c>
    </row>
    <row r="681" spans="1:15" x14ac:dyDescent="0.25">
      <c r="A681" t="s">
        <v>946</v>
      </c>
      <c r="B681" t="s">
        <v>947</v>
      </c>
      <c r="C681" s="65">
        <v>46192</v>
      </c>
      <c r="D681">
        <v>23833</v>
      </c>
      <c r="E681">
        <v>6</v>
      </c>
      <c r="F681" t="s">
        <v>962</v>
      </c>
      <c r="G681" t="s">
        <v>977</v>
      </c>
      <c r="H681">
        <v>1500000</v>
      </c>
      <c r="I681" t="s">
        <v>968</v>
      </c>
      <c r="J681" t="s">
        <v>951</v>
      </c>
      <c r="K681" t="s">
        <v>969</v>
      </c>
      <c r="L681" t="s">
        <v>951</v>
      </c>
      <c r="M681" t="s">
        <v>980</v>
      </c>
      <c r="N681" t="s">
        <v>958</v>
      </c>
      <c r="O681" t="s">
        <v>959</v>
      </c>
    </row>
    <row r="682" spans="1:15" x14ac:dyDescent="0.25">
      <c r="A682" t="s">
        <v>946</v>
      </c>
      <c r="B682" t="s">
        <v>947</v>
      </c>
      <c r="C682" s="65">
        <v>46192</v>
      </c>
      <c r="D682">
        <v>23840</v>
      </c>
      <c r="E682">
        <v>3</v>
      </c>
      <c r="F682" t="s">
        <v>962</v>
      </c>
      <c r="G682" t="s">
        <v>977</v>
      </c>
      <c r="H682">
        <v>1400000</v>
      </c>
      <c r="I682" t="s">
        <v>968</v>
      </c>
      <c r="J682" t="s">
        <v>951</v>
      </c>
      <c r="K682" t="s">
        <v>969</v>
      </c>
      <c r="L682" t="s">
        <v>951</v>
      </c>
      <c r="M682" t="s">
        <v>980</v>
      </c>
      <c r="N682" t="s">
        <v>958</v>
      </c>
      <c r="O682" t="s">
        <v>959</v>
      </c>
    </row>
    <row r="683" spans="1:15" x14ac:dyDescent="0.25">
      <c r="A683" t="s">
        <v>946</v>
      </c>
      <c r="B683" t="s">
        <v>947</v>
      </c>
      <c r="C683" s="65">
        <v>46192</v>
      </c>
      <c r="D683">
        <v>23922</v>
      </c>
      <c r="E683">
        <v>4894</v>
      </c>
      <c r="F683" t="s">
        <v>962</v>
      </c>
      <c r="G683" t="s">
        <v>977</v>
      </c>
      <c r="H683">
        <v>1700000</v>
      </c>
      <c r="I683" t="s">
        <v>993</v>
      </c>
      <c r="J683" t="s">
        <v>951</v>
      </c>
      <c r="K683" t="s">
        <v>994</v>
      </c>
      <c r="L683" t="s">
        <v>951</v>
      </c>
      <c r="M683" t="s">
        <v>980</v>
      </c>
      <c r="N683" t="s">
        <v>958</v>
      </c>
      <c r="O683" t="s">
        <v>959</v>
      </c>
    </row>
    <row r="684" spans="1:15" x14ac:dyDescent="0.25">
      <c r="A684" t="s">
        <v>946</v>
      </c>
      <c r="B684" t="s">
        <v>947</v>
      </c>
      <c r="C684" s="65">
        <v>46192</v>
      </c>
      <c r="D684">
        <v>24041</v>
      </c>
      <c r="E684">
        <v>6141</v>
      </c>
      <c r="F684" t="s">
        <v>948</v>
      </c>
      <c r="G684" t="s">
        <v>977</v>
      </c>
      <c r="H684">
        <v>1000000</v>
      </c>
      <c r="I684" t="s">
        <v>1019</v>
      </c>
      <c r="J684" t="s">
        <v>951</v>
      </c>
      <c r="K684" t="s">
        <v>1020</v>
      </c>
      <c r="L684" t="s">
        <v>951</v>
      </c>
      <c r="M684" t="s">
        <v>980</v>
      </c>
      <c r="N684" t="s">
        <v>958</v>
      </c>
      <c r="O684" t="s">
        <v>959</v>
      </c>
    </row>
    <row r="685" spans="1:15" x14ac:dyDescent="0.25">
      <c r="A685" t="s">
        <v>946</v>
      </c>
      <c r="B685" t="s">
        <v>947</v>
      </c>
      <c r="C685" s="65">
        <v>46195</v>
      </c>
      <c r="D685">
        <v>23735</v>
      </c>
      <c r="E685">
        <v>13653573</v>
      </c>
      <c r="F685" t="s">
        <v>962</v>
      </c>
      <c r="G685" t="s">
        <v>963</v>
      </c>
      <c r="H685">
        <v>3050000</v>
      </c>
      <c r="I685" t="s">
        <v>964</v>
      </c>
      <c r="J685" t="s">
        <v>951</v>
      </c>
      <c r="K685" t="s">
        <v>965</v>
      </c>
      <c r="L685" t="s">
        <v>951</v>
      </c>
      <c r="M685" t="s">
        <v>966</v>
      </c>
      <c r="N685" t="s">
        <v>958</v>
      </c>
      <c r="O685" t="s">
        <v>959</v>
      </c>
    </row>
    <row r="686" spans="1:15" x14ac:dyDescent="0.25">
      <c r="A686" t="s">
        <v>946</v>
      </c>
      <c r="B686" t="s">
        <v>947</v>
      </c>
      <c r="C686" s="65">
        <v>46195</v>
      </c>
      <c r="D686">
        <v>23736</v>
      </c>
      <c r="E686">
        <v>13653574</v>
      </c>
      <c r="F686" t="s">
        <v>962</v>
      </c>
      <c r="G686" t="s">
        <v>963</v>
      </c>
      <c r="H686">
        <v>3050000</v>
      </c>
      <c r="I686" t="s">
        <v>964</v>
      </c>
      <c r="J686" t="s">
        <v>951</v>
      </c>
      <c r="K686" t="s">
        <v>965</v>
      </c>
      <c r="L686" t="s">
        <v>951</v>
      </c>
      <c r="M686" t="s">
        <v>966</v>
      </c>
      <c r="N686" t="s">
        <v>958</v>
      </c>
      <c r="O686" t="s">
        <v>959</v>
      </c>
    </row>
    <row r="687" spans="1:15" x14ac:dyDescent="0.25">
      <c r="A687" t="s">
        <v>946</v>
      </c>
      <c r="B687" t="s">
        <v>947</v>
      </c>
      <c r="C687" s="65">
        <v>46195</v>
      </c>
      <c r="D687">
        <v>23737</v>
      </c>
      <c r="E687">
        <v>13653575</v>
      </c>
      <c r="F687" t="s">
        <v>962</v>
      </c>
      <c r="G687" t="s">
        <v>963</v>
      </c>
      <c r="H687">
        <v>3050000</v>
      </c>
      <c r="I687" t="s">
        <v>964</v>
      </c>
      <c r="J687" t="s">
        <v>951</v>
      </c>
      <c r="K687" t="s">
        <v>965</v>
      </c>
      <c r="L687" t="s">
        <v>951</v>
      </c>
      <c r="M687" t="s">
        <v>966</v>
      </c>
      <c r="N687" t="s">
        <v>958</v>
      </c>
      <c r="O687" t="s">
        <v>959</v>
      </c>
    </row>
    <row r="688" spans="1:15" x14ac:dyDescent="0.25">
      <c r="A688" t="s">
        <v>946</v>
      </c>
      <c r="B688" t="s">
        <v>947</v>
      </c>
      <c r="C688" s="65">
        <v>46195</v>
      </c>
      <c r="D688">
        <v>23779</v>
      </c>
      <c r="E688">
        <v>155</v>
      </c>
      <c r="F688" t="s">
        <v>962</v>
      </c>
      <c r="G688" t="s">
        <v>977</v>
      </c>
      <c r="H688">
        <v>3000380</v>
      </c>
      <c r="I688" t="s">
        <v>1003</v>
      </c>
      <c r="J688" t="s">
        <v>951</v>
      </c>
      <c r="K688" t="s">
        <v>1004</v>
      </c>
      <c r="L688" t="s">
        <v>951</v>
      </c>
      <c r="M688" t="s">
        <v>980</v>
      </c>
      <c r="N688" t="s">
        <v>958</v>
      </c>
      <c r="O688" t="s">
        <v>959</v>
      </c>
    </row>
    <row r="689" spans="1:15" x14ac:dyDescent="0.25">
      <c r="A689" t="s">
        <v>946</v>
      </c>
      <c r="B689" t="s">
        <v>947</v>
      </c>
      <c r="C689" s="65">
        <v>46195</v>
      </c>
      <c r="D689">
        <v>23780</v>
      </c>
      <c r="E689">
        <v>156</v>
      </c>
      <c r="F689" t="s">
        <v>962</v>
      </c>
      <c r="G689" t="s">
        <v>977</v>
      </c>
      <c r="H689">
        <v>3019000</v>
      </c>
      <c r="I689" t="s">
        <v>1003</v>
      </c>
      <c r="J689" t="s">
        <v>951</v>
      </c>
      <c r="K689" t="s">
        <v>1004</v>
      </c>
      <c r="L689" t="s">
        <v>951</v>
      </c>
      <c r="M689" t="s">
        <v>980</v>
      </c>
      <c r="N689" t="s">
        <v>958</v>
      </c>
      <c r="O689" t="s">
        <v>959</v>
      </c>
    </row>
    <row r="690" spans="1:15" x14ac:dyDescent="0.25">
      <c r="A690" t="s">
        <v>946</v>
      </c>
      <c r="B690" t="s">
        <v>947</v>
      </c>
      <c r="C690" s="65">
        <v>46195</v>
      </c>
      <c r="D690">
        <v>23792</v>
      </c>
      <c r="E690">
        <v>9845372</v>
      </c>
      <c r="F690" t="s">
        <v>962</v>
      </c>
      <c r="G690" t="s">
        <v>954</v>
      </c>
      <c r="H690">
        <v>14268870</v>
      </c>
      <c r="I690" t="s">
        <v>999</v>
      </c>
      <c r="J690" t="s">
        <v>951</v>
      </c>
      <c r="K690" t="s">
        <v>1000</v>
      </c>
      <c r="L690" t="s">
        <v>951</v>
      </c>
      <c r="M690" t="s">
        <v>957</v>
      </c>
      <c r="N690" t="s">
        <v>958</v>
      </c>
      <c r="O690" t="s">
        <v>959</v>
      </c>
    </row>
    <row r="691" spans="1:15" x14ac:dyDescent="0.25">
      <c r="A691" t="s">
        <v>946</v>
      </c>
      <c r="B691" t="s">
        <v>947</v>
      </c>
      <c r="C691" s="65">
        <v>46195</v>
      </c>
      <c r="D691">
        <v>23797</v>
      </c>
      <c r="E691">
        <v>4860</v>
      </c>
      <c r="F691" t="s">
        <v>962</v>
      </c>
      <c r="G691" t="s">
        <v>977</v>
      </c>
      <c r="H691">
        <v>1300000</v>
      </c>
      <c r="I691" t="s">
        <v>993</v>
      </c>
      <c r="J691" t="s">
        <v>951</v>
      </c>
      <c r="K691" t="s">
        <v>994</v>
      </c>
      <c r="L691" t="s">
        <v>951</v>
      </c>
      <c r="M691" t="s">
        <v>980</v>
      </c>
      <c r="N691" t="s">
        <v>958</v>
      </c>
      <c r="O691" t="s">
        <v>959</v>
      </c>
    </row>
    <row r="692" spans="1:15" x14ac:dyDescent="0.25">
      <c r="A692" t="s">
        <v>946</v>
      </c>
      <c r="B692" t="s">
        <v>947</v>
      </c>
      <c r="C692" s="65">
        <v>46195</v>
      </c>
      <c r="D692">
        <v>23815</v>
      </c>
      <c r="E692">
        <v>9985872</v>
      </c>
      <c r="F692" t="s">
        <v>962</v>
      </c>
      <c r="G692" t="s">
        <v>954</v>
      </c>
      <c r="H692">
        <v>6526515</v>
      </c>
      <c r="I692" t="s">
        <v>1011</v>
      </c>
      <c r="J692" t="s">
        <v>951</v>
      </c>
      <c r="K692" t="s">
        <v>1012</v>
      </c>
      <c r="L692" t="s">
        <v>951</v>
      </c>
      <c r="M692" t="s">
        <v>957</v>
      </c>
      <c r="N692" t="s">
        <v>958</v>
      </c>
      <c r="O692" t="s">
        <v>959</v>
      </c>
    </row>
    <row r="693" spans="1:15" x14ac:dyDescent="0.25">
      <c r="A693" t="s">
        <v>946</v>
      </c>
      <c r="B693" t="s">
        <v>947</v>
      </c>
      <c r="C693" s="65">
        <v>46195</v>
      </c>
      <c r="D693">
        <v>23816</v>
      </c>
      <c r="E693">
        <v>9985873</v>
      </c>
      <c r="F693" t="s">
        <v>962</v>
      </c>
      <c r="G693" t="s">
        <v>954</v>
      </c>
      <c r="H693">
        <v>10000000</v>
      </c>
      <c r="I693" t="s">
        <v>1011</v>
      </c>
      <c r="J693" t="s">
        <v>951</v>
      </c>
      <c r="K693" t="s">
        <v>1012</v>
      </c>
      <c r="L693" t="s">
        <v>951</v>
      </c>
      <c r="M693" t="s">
        <v>957</v>
      </c>
      <c r="N693" t="s">
        <v>958</v>
      </c>
      <c r="O693" t="s">
        <v>959</v>
      </c>
    </row>
    <row r="694" spans="1:15" x14ac:dyDescent="0.25">
      <c r="A694" t="s">
        <v>946</v>
      </c>
      <c r="B694" t="s">
        <v>947</v>
      </c>
      <c r="C694" s="65">
        <v>46195</v>
      </c>
      <c r="D694">
        <v>23817</v>
      </c>
      <c r="E694">
        <v>9985874</v>
      </c>
      <c r="F694" t="s">
        <v>962</v>
      </c>
      <c r="G694" t="s">
        <v>954</v>
      </c>
      <c r="H694">
        <v>10000000</v>
      </c>
      <c r="I694" t="s">
        <v>1011</v>
      </c>
      <c r="J694" t="s">
        <v>951</v>
      </c>
      <c r="K694" t="s">
        <v>1012</v>
      </c>
      <c r="L694" t="s">
        <v>951</v>
      </c>
      <c r="M694" t="s">
        <v>957</v>
      </c>
      <c r="N694" t="s">
        <v>958</v>
      </c>
      <c r="O694" t="s">
        <v>959</v>
      </c>
    </row>
    <row r="695" spans="1:15" x14ac:dyDescent="0.25">
      <c r="A695" t="s">
        <v>946</v>
      </c>
      <c r="B695" t="s">
        <v>947</v>
      </c>
      <c r="C695" s="65">
        <v>46195</v>
      </c>
      <c r="D695">
        <v>23818</v>
      </c>
      <c r="E695">
        <v>9985875</v>
      </c>
      <c r="F695" t="s">
        <v>962</v>
      </c>
      <c r="G695" t="s">
        <v>954</v>
      </c>
      <c r="H695">
        <v>10000000</v>
      </c>
      <c r="I695" t="s">
        <v>1011</v>
      </c>
      <c r="J695" t="s">
        <v>951</v>
      </c>
      <c r="K695" t="s">
        <v>1012</v>
      </c>
      <c r="L695" t="s">
        <v>951</v>
      </c>
      <c r="M695" t="s">
        <v>957</v>
      </c>
      <c r="N695" t="s">
        <v>958</v>
      </c>
      <c r="O695" t="s">
        <v>959</v>
      </c>
    </row>
    <row r="696" spans="1:15" x14ac:dyDescent="0.25">
      <c r="A696" t="s">
        <v>946</v>
      </c>
      <c r="B696" t="s">
        <v>947</v>
      </c>
      <c r="C696" s="65">
        <v>46195</v>
      </c>
      <c r="D696">
        <v>23819</v>
      </c>
      <c r="E696">
        <v>9985876</v>
      </c>
      <c r="F696" t="s">
        <v>962</v>
      </c>
      <c r="G696" t="s">
        <v>954</v>
      </c>
      <c r="H696">
        <v>10000000</v>
      </c>
      <c r="I696" t="s">
        <v>1011</v>
      </c>
      <c r="J696" t="s">
        <v>951</v>
      </c>
      <c r="K696" t="s">
        <v>1012</v>
      </c>
      <c r="L696" t="s">
        <v>951</v>
      </c>
      <c r="M696" t="s">
        <v>957</v>
      </c>
      <c r="N696" t="s">
        <v>958</v>
      </c>
      <c r="O696" t="s">
        <v>959</v>
      </c>
    </row>
    <row r="697" spans="1:15" x14ac:dyDescent="0.25">
      <c r="A697" t="s">
        <v>946</v>
      </c>
      <c r="B697" t="s">
        <v>947</v>
      </c>
      <c r="C697" s="65">
        <v>46195</v>
      </c>
      <c r="D697">
        <v>23820</v>
      </c>
      <c r="E697">
        <v>9985877</v>
      </c>
      <c r="F697" t="s">
        <v>962</v>
      </c>
      <c r="G697" t="s">
        <v>954</v>
      </c>
      <c r="H697">
        <v>10000000</v>
      </c>
      <c r="I697" t="s">
        <v>1011</v>
      </c>
      <c r="J697" t="s">
        <v>951</v>
      </c>
      <c r="K697" t="s">
        <v>1012</v>
      </c>
      <c r="L697" t="s">
        <v>951</v>
      </c>
      <c r="M697" t="s">
        <v>957</v>
      </c>
      <c r="N697" t="s">
        <v>958</v>
      </c>
      <c r="O697" t="s">
        <v>959</v>
      </c>
    </row>
    <row r="698" spans="1:15" x14ac:dyDescent="0.25">
      <c r="A698" t="s">
        <v>946</v>
      </c>
      <c r="B698" t="s">
        <v>947</v>
      </c>
      <c r="C698" s="65">
        <v>46195</v>
      </c>
      <c r="D698">
        <v>23821</v>
      </c>
      <c r="E698">
        <v>9985878</v>
      </c>
      <c r="F698" t="s">
        <v>962</v>
      </c>
      <c r="G698" t="s">
        <v>954</v>
      </c>
      <c r="H698">
        <v>10000000</v>
      </c>
      <c r="I698" t="s">
        <v>1011</v>
      </c>
      <c r="J698" t="s">
        <v>951</v>
      </c>
      <c r="K698" t="s">
        <v>1012</v>
      </c>
      <c r="L698" t="s">
        <v>951</v>
      </c>
      <c r="M698" t="s">
        <v>957</v>
      </c>
      <c r="N698" t="s">
        <v>958</v>
      </c>
      <c r="O698" t="s">
        <v>959</v>
      </c>
    </row>
    <row r="699" spans="1:15" x14ac:dyDescent="0.25">
      <c r="A699" t="s">
        <v>946</v>
      </c>
      <c r="B699" t="s">
        <v>947</v>
      </c>
      <c r="C699" s="65">
        <v>46195</v>
      </c>
      <c r="D699">
        <v>23835</v>
      </c>
      <c r="E699">
        <v>8</v>
      </c>
      <c r="F699" t="s">
        <v>962</v>
      </c>
      <c r="G699" t="s">
        <v>977</v>
      </c>
      <c r="H699">
        <v>1500000</v>
      </c>
      <c r="I699" t="s">
        <v>968</v>
      </c>
      <c r="J699" t="s">
        <v>951</v>
      </c>
      <c r="K699" t="s">
        <v>969</v>
      </c>
      <c r="L699" t="s">
        <v>951</v>
      </c>
      <c r="M699" t="s">
        <v>980</v>
      </c>
      <c r="N699" t="s">
        <v>958</v>
      </c>
      <c r="O699" t="s">
        <v>959</v>
      </c>
    </row>
    <row r="700" spans="1:15" x14ac:dyDescent="0.25">
      <c r="A700" t="s">
        <v>946</v>
      </c>
      <c r="B700" t="s">
        <v>947</v>
      </c>
      <c r="C700" s="65">
        <v>46195</v>
      </c>
      <c r="D700">
        <v>23838</v>
      </c>
      <c r="E700">
        <v>1</v>
      </c>
      <c r="F700" t="s">
        <v>962</v>
      </c>
      <c r="G700" t="s">
        <v>977</v>
      </c>
      <c r="H700">
        <v>1400000</v>
      </c>
      <c r="I700" t="s">
        <v>968</v>
      </c>
      <c r="J700" t="s">
        <v>951</v>
      </c>
      <c r="K700" t="s">
        <v>969</v>
      </c>
      <c r="L700" t="s">
        <v>951</v>
      </c>
      <c r="M700" t="s">
        <v>980</v>
      </c>
      <c r="N700" t="s">
        <v>958</v>
      </c>
      <c r="O700" t="s">
        <v>959</v>
      </c>
    </row>
    <row r="701" spans="1:15" x14ac:dyDescent="0.25">
      <c r="A701" t="s">
        <v>946</v>
      </c>
      <c r="B701" t="s">
        <v>947</v>
      </c>
      <c r="C701" s="65">
        <v>46195</v>
      </c>
      <c r="D701">
        <v>23847</v>
      </c>
      <c r="E701">
        <v>10</v>
      </c>
      <c r="F701" t="s">
        <v>962</v>
      </c>
      <c r="G701" t="s">
        <v>977</v>
      </c>
      <c r="H701">
        <v>1400000</v>
      </c>
      <c r="I701" t="s">
        <v>968</v>
      </c>
      <c r="J701" t="s">
        <v>951</v>
      </c>
      <c r="K701" t="s">
        <v>969</v>
      </c>
      <c r="L701" t="s">
        <v>951</v>
      </c>
      <c r="M701" t="s">
        <v>980</v>
      </c>
      <c r="N701" t="s">
        <v>958</v>
      </c>
      <c r="O701" t="s">
        <v>959</v>
      </c>
    </row>
    <row r="702" spans="1:15" x14ac:dyDescent="0.25">
      <c r="A702" t="s">
        <v>946</v>
      </c>
      <c r="B702" t="s">
        <v>947</v>
      </c>
      <c r="C702" s="65">
        <v>46195</v>
      </c>
      <c r="D702">
        <v>23923</v>
      </c>
      <c r="E702">
        <v>4895</v>
      </c>
      <c r="F702" t="s">
        <v>962</v>
      </c>
      <c r="G702" t="s">
        <v>977</v>
      </c>
      <c r="H702">
        <v>1700000</v>
      </c>
      <c r="I702" t="s">
        <v>993</v>
      </c>
      <c r="J702" t="s">
        <v>951</v>
      </c>
      <c r="K702" t="s">
        <v>994</v>
      </c>
      <c r="L702" t="s">
        <v>951</v>
      </c>
      <c r="M702" t="s">
        <v>980</v>
      </c>
      <c r="N702" t="s">
        <v>958</v>
      </c>
      <c r="O702" t="s">
        <v>959</v>
      </c>
    </row>
    <row r="703" spans="1:15" x14ac:dyDescent="0.25">
      <c r="A703" t="s">
        <v>946</v>
      </c>
      <c r="B703" t="s">
        <v>947</v>
      </c>
      <c r="C703" s="65">
        <v>46195</v>
      </c>
      <c r="D703">
        <v>24005</v>
      </c>
      <c r="E703">
        <v>4949</v>
      </c>
      <c r="F703" t="s">
        <v>962</v>
      </c>
      <c r="G703" t="s">
        <v>977</v>
      </c>
      <c r="H703">
        <v>1300000</v>
      </c>
      <c r="I703" t="s">
        <v>993</v>
      </c>
      <c r="J703" t="s">
        <v>951</v>
      </c>
      <c r="K703" t="s">
        <v>994</v>
      </c>
      <c r="L703" t="s">
        <v>951</v>
      </c>
      <c r="M703" t="s">
        <v>980</v>
      </c>
      <c r="N703" t="s">
        <v>958</v>
      </c>
      <c r="O703" t="s">
        <v>959</v>
      </c>
    </row>
    <row r="704" spans="1:15" x14ac:dyDescent="0.25">
      <c r="A704" t="s">
        <v>946</v>
      </c>
      <c r="B704" t="s">
        <v>947</v>
      </c>
      <c r="C704" s="65">
        <v>46195</v>
      </c>
      <c r="D704">
        <v>24015</v>
      </c>
      <c r="E704">
        <v>6826543</v>
      </c>
      <c r="F704" t="s">
        <v>962</v>
      </c>
      <c r="G704" t="s">
        <v>989</v>
      </c>
      <c r="H704">
        <v>28000000</v>
      </c>
      <c r="I704" t="s">
        <v>1001</v>
      </c>
      <c r="J704" t="s">
        <v>951</v>
      </c>
      <c r="K704" t="s">
        <v>1002</v>
      </c>
      <c r="L704" t="s">
        <v>951</v>
      </c>
      <c r="M704" t="s">
        <v>992</v>
      </c>
      <c r="N704" t="s">
        <v>958</v>
      </c>
      <c r="O704" t="s">
        <v>959</v>
      </c>
    </row>
    <row r="705" spans="1:15" x14ac:dyDescent="0.25">
      <c r="A705" t="s">
        <v>946</v>
      </c>
      <c r="B705" t="s">
        <v>947</v>
      </c>
      <c r="C705" s="65">
        <v>46195</v>
      </c>
      <c r="D705">
        <v>24016</v>
      </c>
      <c r="E705">
        <v>6826544</v>
      </c>
      <c r="F705" t="s">
        <v>962</v>
      </c>
      <c r="G705" t="s">
        <v>989</v>
      </c>
      <c r="H705">
        <v>32881480.800000001</v>
      </c>
      <c r="I705" t="s">
        <v>1001</v>
      </c>
      <c r="J705" t="s">
        <v>951</v>
      </c>
      <c r="K705" t="s">
        <v>1002</v>
      </c>
      <c r="L705" t="s">
        <v>951</v>
      </c>
      <c r="M705" t="s">
        <v>992</v>
      </c>
      <c r="N705" t="s">
        <v>958</v>
      </c>
      <c r="O705" t="s">
        <v>959</v>
      </c>
    </row>
    <row r="706" spans="1:15" x14ac:dyDescent="0.25">
      <c r="A706" t="s">
        <v>946</v>
      </c>
      <c r="B706" t="s">
        <v>947</v>
      </c>
      <c r="C706" s="65">
        <v>46195</v>
      </c>
      <c r="D706">
        <v>24028</v>
      </c>
      <c r="E706">
        <v>29507859</v>
      </c>
      <c r="F706" t="s">
        <v>962</v>
      </c>
      <c r="G706" t="s">
        <v>989</v>
      </c>
      <c r="H706">
        <v>14620320</v>
      </c>
      <c r="I706" t="s">
        <v>1007</v>
      </c>
      <c r="J706" t="s">
        <v>951</v>
      </c>
      <c r="K706" t="s">
        <v>1008</v>
      </c>
      <c r="L706" t="s">
        <v>951</v>
      </c>
      <c r="M706" t="s">
        <v>992</v>
      </c>
      <c r="N706" t="s">
        <v>958</v>
      </c>
      <c r="O706" t="s">
        <v>959</v>
      </c>
    </row>
    <row r="707" spans="1:15" x14ac:dyDescent="0.25">
      <c r="A707" t="s">
        <v>946</v>
      </c>
      <c r="B707" t="s">
        <v>947</v>
      </c>
      <c r="C707" s="65">
        <v>46195</v>
      </c>
      <c r="D707">
        <v>24045</v>
      </c>
      <c r="E707">
        <v>67807232</v>
      </c>
      <c r="F707" t="s">
        <v>962</v>
      </c>
      <c r="G707" t="s">
        <v>983</v>
      </c>
      <c r="H707">
        <v>8200000</v>
      </c>
      <c r="I707" t="s">
        <v>987</v>
      </c>
      <c r="J707" t="s">
        <v>951</v>
      </c>
      <c r="K707" t="s">
        <v>988</v>
      </c>
      <c r="L707" t="s">
        <v>951</v>
      </c>
      <c r="M707" t="s">
        <v>986</v>
      </c>
      <c r="N707" t="s">
        <v>958</v>
      </c>
      <c r="O707" t="s">
        <v>959</v>
      </c>
    </row>
    <row r="708" spans="1:15" x14ac:dyDescent="0.25">
      <c r="A708" t="s">
        <v>946</v>
      </c>
      <c r="B708" t="s">
        <v>947</v>
      </c>
      <c r="C708" s="65">
        <v>46195</v>
      </c>
      <c r="D708">
        <v>24046</v>
      </c>
      <c r="E708">
        <v>67807298</v>
      </c>
      <c r="F708" t="s">
        <v>962</v>
      </c>
      <c r="G708" t="s">
        <v>983</v>
      </c>
      <c r="H708">
        <v>8200000</v>
      </c>
      <c r="I708" t="s">
        <v>987</v>
      </c>
      <c r="J708" t="s">
        <v>951</v>
      </c>
      <c r="K708" t="s">
        <v>988</v>
      </c>
      <c r="L708" t="s">
        <v>951</v>
      </c>
      <c r="M708" t="s">
        <v>986</v>
      </c>
      <c r="N708" t="s">
        <v>958</v>
      </c>
      <c r="O708" t="s">
        <v>959</v>
      </c>
    </row>
    <row r="709" spans="1:15" x14ac:dyDescent="0.25">
      <c r="A709" t="s">
        <v>946</v>
      </c>
      <c r="B709" t="s">
        <v>947</v>
      </c>
      <c r="C709" s="65">
        <v>46195</v>
      </c>
      <c r="D709">
        <v>24047</v>
      </c>
      <c r="E709">
        <v>67807403</v>
      </c>
      <c r="F709" t="s">
        <v>962</v>
      </c>
      <c r="G709" t="s">
        <v>983</v>
      </c>
      <c r="H709">
        <v>8152000</v>
      </c>
      <c r="I709" t="s">
        <v>987</v>
      </c>
      <c r="J709" t="s">
        <v>951</v>
      </c>
      <c r="K709" t="s">
        <v>988</v>
      </c>
      <c r="L709" t="s">
        <v>951</v>
      </c>
      <c r="M709" t="s">
        <v>986</v>
      </c>
      <c r="N709" t="s">
        <v>958</v>
      </c>
      <c r="O709" t="s">
        <v>959</v>
      </c>
    </row>
    <row r="710" spans="1:15" x14ac:dyDescent="0.25">
      <c r="A710" t="s">
        <v>946</v>
      </c>
      <c r="B710" t="s">
        <v>947</v>
      </c>
      <c r="C710" s="65">
        <v>46195</v>
      </c>
      <c r="D710">
        <v>24062</v>
      </c>
      <c r="E710">
        <v>73031556</v>
      </c>
      <c r="F710" t="s">
        <v>948</v>
      </c>
      <c r="G710" t="s">
        <v>983</v>
      </c>
      <c r="H710">
        <v>1411594.11</v>
      </c>
      <c r="I710" t="s">
        <v>990</v>
      </c>
      <c r="J710" t="s">
        <v>951</v>
      </c>
      <c r="K710" t="s">
        <v>991</v>
      </c>
      <c r="L710" t="s">
        <v>951</v>
      </c>
      <c r="M710" t="s">
        <v>986</v>
      </c>
      <c r="N710" t="s">
        <v>958</v>
      </c>
      <c r="O710" t="s">
        <v>959</v>
      </c>
    </row>
    <row r="711" spans="1:15" x14ac:dyDescent="0.25">
      <c r="A711" t="s">
        <v>946</v>
      </c>
      <c r="B711" t="s">
        <v>947</v>
      </c>
      <c r="C711" s="65">
        <v>46196</v>
      </c>
      <c r="D711">
        <v>23738</v>
      </c>
      <c r="E711">
        <v>13653576</v>
      </c>
      <c r="F711" t="s">
        <v>962</v>
      </c>
      <c r="G711" t="s">
        <v>963</v>
      </c>
      <c r="H711">
        <v>3050000</v>
      </c>
      <c r="I711" t="s">
        <v>964</v>
      </c>
      <c r="J711" t="s">
        <v>951</v>
      </c>
      <c r="K711" t="s">
        <v>965</v>
      </c>
      <c r="L711" t="s">
        <v>951</v>
      </c>
      <c r="M711" t="s">
        <v>966</v>
      </c>
      <c r="N711" t="s">
        <v>958</v>
      </c>
      <c r="O711" t="s">
        <v>959</v>
      </c>
    </row>
    <row r="712" spans="1:15" x14ac:dyDescent="0.25">
      <c r="A712" t="s">
        <v>946</v>
      </c>
      <c r="B712" t="s">
        <v>947</v>
      </c>
      <c r="C712" s="65">
        <v>46196</v>
      </c>
      <c r="D712">
        <v>23798</v>
      </c>
      <c r="E712">
        <v>4861</v>
      </c>
      <c r="F712" t="s">
        <v>962</v>
      </c>
      <c r="G712" t="s">
        <v>977</v>
      </c>
      <c r="H712">
        <v>1300000</v>
      </c>
      <c r="I712" t="s">
        <v>993</v>
      </c>
      <c r="J712" t="s">
        <v>951</v>
      </c>
      <c r="K712" t="s">
        <v>994</v>
      </c>
      <c r="L712" t="s">
        <v>951</v>
      </c>
      <c r="M712" t="s">
        <v>980</v>
      </c>
      <c r="N712" t="s">
        <v>958</v>
      </c>
      <c r="O712" t="s">
        <v>959</v>
      </c>
    </row>
    <row r="713" spans="1:15" x14ac:dyDescent="0.25">
      <c r="A713" t="s">
        <v>946</v>
      </c>
      <c r="B713" t="s">
        <v>947</v>
      </c>
      <c r="C713" s="65">
        <v>46196</v>
      </c>
      <c r="D713">
        <v>23836</v>
      </c>
      <c r="E713">
        <v>9</v>
      </c>
      <c r="F713" t="s">
        <v>962</v>
      </c>
      <c r="G713" t="s">
        <v>977</v>
      </c>
      <c r="H713">
        <v>1500000</v>
      </c>
      <c r="I713" t="s">
        <v>968</v>
      </c>
      <c r="J713" t="s">
        <v>951</v>
      </c>
      <c r="K713" t="s">
        <v>969</v>
      </c>
      <c r="L713" t="s">
        <v>951</v>
      </c>
      <c r="M713" t="s">
        <v>980</v>
      </c>
      <c r="N713" t="s">
        <v>958</v>
      </c>
      <c r="O713" t="s">
        <v>959</v>
      </c>
    </row>
    <row r="714" spans="1:15" x14ac:dyDescent="0.25">
      <c r="A714" t="s">
        <v>946</v>
      </c>
      <c r="B714" t="s">
        <v>947</v>
      </c>
      <c r="C714" s="65">
        <v>46196</v>
      </c>
      <c r="D714">
        <v>23843</v>
      </c>
      <c r="E714">
        <v>6</v>
      </c>
      <c r="F714" t="s">
        <v>962</v>
      </c>
      <c r="G714" t="s">
        <v>977</v>
      </c>
      <c r="H714">
        <v>1400000</v>
      </c>
      <c r="I714" t="s">
        <v>968</v>
      </c>
      <c r="J714" t="s">
        <v>951</v>
      </c>
      <c r="K714" t="s">
        <v>969</v>
      </c>
      <c r="L714" t="s">
        <v>951</v>
      </c>
      <c r="M714" t="s">
        <v>980</v>
      </c>
      <c r="N714" t="s">
        <v>958</v>
      </c>
      <c r="O714" t="s">
        <v>959</v>
      </c>
    </row>
    <row r="715" spans="1:15" x14ac:dyDescent="0.25">
      <c r="A715" t="s">
        <v>946</v>
      </c>
      <c r="B715" t="s">
        <v>947</v>
      </c>
      <c r="C715" s="65">
        <v>46196</v>
      </c>
      <c r="D715">
        <v>23853</v>
      </c>
      <c r="E715">
        <v>78056232</v>
      </c>
      <c r="F715" t="s">
        <v>962</v>
      </c>
      <c r="G715" t="s">
        <v>967</v>
      </c>
      <c r="H715">
        <v>1420000</v>
      </c>
      <c r="I715" t="s">
        <v>968</v>
      </c>
      <c r="J715" t="s">
        <v>951</v>
      </c>
      <c r="K715" t="s">
        <v>969</v>
      </c>
      <c r="L715" t="s">
        <v>951</v>
      </c>
      <c r="M715" t="s">
        <v>970</v>
      </c>
      <c r="N715" t="s">
        <v>958</v>
      </c>
      <c r="O715" t="s">
        <v>959</v>
      </c>
    </row>
    <row r="716" spans="1:15" x14ac:dyDescent="0.25">
      <c r="A716" t="s">
        <v>946</v>
      </c>
      <c r="B716" t="s">
        <v>947</v>
      </c>
      <c r="C716" s="65">
        <v>46196</v>
      </c>
      <c r="D716">
        <v>23924</v>
      </c>
      <c r="E716">
        <v>4896</v>
      </c>
      <c r="F716" t="s">
        <v>962</v>
      </c>
      <c r="G716" t="s">
        <v>977</v>
      </c>
      <c r="H716">
        <v>1700000</v>
      </c>
      <c r="I716" t="s">
        <v>993</v>
      </c>
      <c r="J716" t="s">
        <v>951</v>
      </c>
      <c r="K716" t="s">
        <v>994</v>
      </c>
      <c r="L716" t="s">
        <v>951</v>
      </c>
      <c r="M716" t="s">
        <v>980</v>
      </c>
      <c r="N716" t="s">
        <v>958</v>
      </c>
      <c r="O716" t="s">
        <v>959</v>
      </c>
    </row>
    <row r="717" spans="1:15" x14ac:dyDescent="0.25">
      <c r="A717" t="s">
        <v>946</v>
      </c>
      <c r="B717" t="s">
        <v>947</v>
      </c>
      <c r="C717" s="65">
        <v>46196</v>
      </c>
      <c r="D717">
        <v>24006</v>
      </c>
      <c r="E717">
        <v>4950</v>
      </c>
      <c r="F717" t="s">
        <v>962</v>
      </c>
      <c r="G717" t="s">
        <v>977</v>
      </c>
      <c r="H717">
        <v>1300000</v>
      </c>
      <c r="I717" t="s">
        <v>993</v>
      </c>
      <c r="J717" t="s">
        <v>951</v>
      </c>
      <c r="K717" t="s">
        <v>994</v>
      </c>
      <c r="L717" t="s">
        <v>951</v>
      </c>
      <c r="M717" t="s">
        <v>980</v>
      </c>
      <c r="N717" t="s">
        <v>958</v>
      </c>
      <c r="O717" t="s">
        <v>959</v>
      </c>
    </row>
    <row r="718" spans="1:15" x14ac:dyDescent="0.25">
      <c r="A718" t="s">
        <v>946</v>
      </c>
      <c r="B718" t="s">
        <v>947</v>
      </c>
      <c r="C718" s="65">
        <v>46197</v>
      </c>
      <c r="D718">
        <v>23739</v>
      </c>
      <c r="E718">
        <v>13653577</v>
      </c>
      <c r="F718" t="s">
        <v>962</v>
      </c>
      <c r="G718" t="s">
        <v>963</v>
      </c>
      <c r="H718">
        <v>3050000</v>
      </c>
      <c r="I718" t="s">
        <v>964</v>
      </c>
      <c r="J718" t="s">
        <v>951</v>
      </c>
      <c r="K718" t="s">
        <v>965</v>
      </c>
      <c r="L718" t="s">
        <v>951</v>
      </c>
      <c r="M718" t="s">
        <v>966</v>
      </c>
      <c r="N718" t="s">
        <v>958</v>
      </c>
      <c r="O718" t="s">
        <v>959</v>
      </c>
    </row>
    <row r="719" spans="1:15" x14ac:dyDescent="0.25">
      <c r="A719" t="s">
        <v>946</v>
      </c>
      <c r="B719" t="s">
        <v>947</v>
      </c>
      <c r="C719" s="65">
        <v>46197</v>
      </c>
      <c r="D719">
        <v>23793</v>
      </c>
      <c r="E719">
        <v>29339958</v>
      </c>
      <c r="F719" t="s">
        <v>962</v>
      </c>
      <c r="G719" t="s">
        <v>989</v>
      </c>
      <c r="H719">
        <v>9609600</v>
      </c>
      <c r="I719" t="s">
        <v>1007</v>
      </c>
      <c r="J719" t="s">
        <v>951</v>
      </c>
      <c r="K719" t="s">
        <v>1008</v>
      </c>
      <c r="L719" t="s">
        <v>951</v>
      </c>
      <c r="M719" t="s">
        <v>992</v>
      </c>
      <c r="N719" t="s">
        <v>958</v>
      </c>
      <c r="O719" t="s">
        <v>959</v>
      </c>
    </row>
    <row r="720" spans="1:15" x14ac:dyDescent="0.25">
      <c r="A720" t="s">
        <v>946</v>
      </c>
      <c r="B720" t="s">
        <v>947</v>
      </c>
      <c r="C720" s="65">
        <v>46197</v>
      </c>
      <c r="D720">
        <v>23799</v>
      </c>
      <c r="E720">
        <v>4862</v>
      </c>
      <c r="F720" t="s">
        <v>962</v>
      </c>
      <c r="G720" t="s">
        <v>977</v>
      </c>
      <c r="H720">
        <v>949750</v>
      </c>
      <c r="I720" t="s">
        <v>993</v>
      </c>
      <c r="J720" t="s">
        <v>951</v>
      </c>
      <c r="K720" t="s">
        <v>994</v>
      </c>
      <c r="L720" t="s">
        <v>951</v>
      </c>
      <c r="M720" t="s">
        <v>980</v>
      </c>
      <c r="N720" t="s">
        <v>958</v>
      </c>
      <c r="O720" t="s">
        <v>959</v>
      </c>
    </row>
    <row r="721" spans="1:15" x14ac:dyDescent="0.25">
      <c r="A721" t="s">
        <v>946</v>
      </c>
      <c r="B721" t="s">
        <v>947</v>
      </c>
      <c r="C721" s="65">
        <v>46197</v>
      </c>
      <c r="D721">
        <v>23925</v>
      </c>
      <c r="E721">
        <v>4897</v>
      </c>
      <c r="F721" t="s">
        <v>962</v>
      </c>
      <c r="G721" t="s">
        <v>977</v>
      </c>
      <c r="H721">
        <v>1700000</v>
      </c>
      <c r="I721" t="s">
        <v>993</v>
      </c>
      <c r="J721" t="s">
        <v>951</v>
      </c>
      <c r="K721" t="s">
        <v>994</v>
      </c>
      <c r="L721" t="s">
        <v>951</v>
      </c>
      <c r="M721" t="s">
        <v>980</v>
      </c>
      <c r="N721" t="s">
        <v>958</v>
      </c>
      <c r="O721" t="s">
        <v>959</v>
      </c>
    </row>
    <row r="722" spans="1:15" x14ac:dyDescent="0.25">
      <c r="A722" t="s">
        <v>946</v>
      </c>
      <c r="B722" t="s">
        <v>947</v>
      </c>
      <c r="C722" s="65">
        <v>46197</v>
      </c>
      <c r="D722">
        <v>23999</v>
      </c>
      <c r="E722">
        <v>4995</v>
      </c>
      <c r="F722" t="s">
        <v>962</v>
      </c>
      <c r="G722" t="s">
        <v>977</v>
      </c>
      <c r="H722">
        <v>860000</v>
      </c>
      <c r="I722" t="s">
        <v>993</v>
      </c>
      <c r="J722" t="s">
        <v>951</v>
      </c>
      <c r="K722" t="s">
        <v>994</v>
      </c>
      <c r="L722" t="s">
        <v>951</v>
      </c>
      <c r="M722" t="s">
        <v>980</v>
      </c>
      <c r="N722" t="s">
        <v>958</v>
      </c>
      <c r="O722" t="s">
        <v>959</v>
      </c>
    </row>
    <row r="723" spans="1:15" x14ac:dyDescent="0.25">
      <c r="A723" t="s">
        <v>946</v>
      </c>
      <c r="B723" t="s">
        <v>947</v>
      </c>
      <c r="C723" s="65">
        <v>46197</v>
      </c>
      <c r="D723">
        <v>24007</v>
      </c>
      <c r="E723">
        <v>4951</v>
      </c>
      <c r="F723" t="s">
        <v>962</v>
      </c>
      <c r="G723" t="s">
        <v>977</v>
      </c>
      <c r="H723">
        <v>1300000</v>
      </c>
      <c r="I723" t="s">
        <v>993</v>
      </c>
      <c r="J723" t="s">
        <v>951</v>
      </c>
      <c r="K723" t="s">
        <v>994</v>
      </c>
      <c r="L723" t="s">
        <v>951</v>
      </c>
      <c r="M723" t="s">
        <v>980</v>
      </c>
      <c r="N723" t="s">
        <v>958</v>
      </c>
      <c r="O723" t="s">
        <v>959</v>
      </c>
    </row>
    <row r="724" spans="1:15" x14ac:dyDescent="0.25">
      <c r="A724" t="s">
        <v>946</v>
      </c>
      <c r="B724" t="s">
        <v>947</v>
      </c>
      <c r="C724" s="65">
        <v>46198</v>
      </c>
      <c r="D724">
        <v>23830</v>
      </c>
      <c r="E724">
        <v>3</v>
      </c>
      <c r="F724" t="s">
        <v>962</v>
      </c>
      <c r="G724" t="s">
        <v>977</v>
      </c>
      <c r="H724">
        <v>1500000</v>
      </c>
      <c r="I724" t="s">
        <v>968</v>
      </c>
      <c r="J724" t="s">
        <v>951</v>
      </c>
      <c r="K724" t="s">
        <v>969</v>
      </c>
      <c r="L724" t="s">
        <v>951</v>
      </c>
      <c r="M724" t="s">
        <v>980</v>
      </c>
      <c r="N724" t="s">
        <v>958</v>
      </c>
      <c r="O724" t="s">
        <v>959</v>
      </c>
    </row>
    <row r="725" spans="1:15" x14ac:dyDescent="0.25">
      <c r="A725" t="s">
        <v>946</v>
      </c>
      <c r="B725" t="s">
        <v>947</v>
      </c>
      <c r="C725" s="65">
        <v>46198</v>
      </c>
      <c r="D725">
        <v>23854</v>
      </c>
      <c r="E725">
        <v>78056233</v>
      </c>
      <c r="F725" t="s">
        <v>962</v>
      </c>
      <c r="G725" t="s">
        <v>967</v>
      </c>
      <c r="H725">
        <v>1420000</v>
      </c>
      <c r="I725" t="s">
        <v>968</v>
      </c>
      <c r="J725" t="s">
        <v>951</v>
      </c>
      <c r="K725" t="s">
        <v>969</v>
      </c>
      <c r="L725" t="s">
        <v>951</v>
      </c>
      <c r="M725" t="s">
        <v>970</v>
      </c>
      <c r="N725" t="s">
        <v>958</v>
      </c>
      <c r="O725" t="s">
        <v>959</v>
      </c>
    </row>
    <row r="726" spans="1:15" x14ac:dyDescent="0.25">
      <c r="A726" t="s">
        <v>946</v>
      </c>
      <c r="B726" t="s">
        <v>947</v>
      </c>
      <c r="C726" s="65">
        <v>46198</v>
      </c>
      <c r="D726">
        <v>23863</v>
      </c>
      <c r="E726">
        <v>78056242</v>
      </c>
      <c r="F726" t="s">
        <v>962</v>
      </c>
      <c r="G726" t="s">
        <v>967</v>
      </c>
      <c r="H726">
        <v>932000</v>
      </c>
      <c r="I726" t="s">
        <v>968</v>
      </c>
      <c r="J726" t="s">
        <v>951</v>
      </c>
      <c r="K726" t="s">
        <v>969</v>
      </c>
      <c r="L726" t="s">
        <v>951</v>
      </c>
      <c r="M726" t="s">
        <v>970</v>
      </c>
      <c r="N726" t="s">
        <v>958</v>
      </c>
      <c r="O726" t="s">
        <v>959</v>
      </c>
    </row>
    <row r="727" spans="1:15" x14ac:dyDescent="0.25">
      <c r="A727" t="s">
        <v>946</v>
      </c>
      <c r="B727" t="s">
        <v>947</v>
      </c>
      <c r="C727" s="65">
        <v>46198</v>
      </c>
      <c r="D727">
        <v>23883</v>
      </c>
      <c r="E727">
        <v>63573435</v>
      </c>
      <c r="F727" t="s">
        <v>948</v>
      </c>
      <c r="G727" t="s">
        <v>983</v>
      </c>
      <c r="H727">
        <v>1700000</v>
      </c>
      <c r="I727" t="s">
        <v>996</v>
      </c>
      <c r="J727" t="s">
        <v>951</v>
      </c>
      <c r="K727" t="s">
        <v>997</v>
      </c>
      <c r="L727" t="s">
        <v>951</v>
      </c>
      <c r="M727" t="s">
        <v>986</v>
      </c>
      <c r="N727" t="s">
        <v>951</v>
      </c>
      <c r="O727" t="s">
        <v>951</v>
      </c>
    </row>
    <row r="728" spans="1:15" x14ac:dyDescent="0.25">
      <c r="A728" t="s">
        <v>946</v>
      </c>
      <c r="B728" t="s">
        <v>947</v>
      </c>
      <c r="C728" s="65">
        <v>46198</v>
      </c>
      <c r="D728">
        <v>23886</v>
      </c>
      <c r="E728">
        <v>12924573</v>
      </c>
      <c r="F728" t="s">
        <v>962</v>
      </c>
      <c r="G728" t="s">
        <v>954</v>
      </c>
      <c r="H728">
        <v>5000000</v>
      </c>
      <c r="I728" t="s">
        <v>996</v>
      </c>
      <c r="J728" t="s">
        <v>951</v>
      </c>
      <c r="K728" t="s">
        <v>997</v>
      </c>
      <c r="L728" t="s">
        <v>951</v>
      </c>
      <c r="M728" t="s">
        <v>957</v>
      </c>
      <c r="N728" t="s">
        <v>951</v>
      </c>
      <c r="O728" t="s">
        <v>951</v>
      </c>
    </row>
    <row r="729" spans="1:15" x14ac:dyDescent="0.25">
      <c r="A729" t="s">
        <v>946</v>
      </c>
      <c r="B729" t="s">
        <v>947</v>
      </c>
      <c r="C729" s="65">
        <v>46198</v>
      </c>
      <c r="D729">
        <v>24024</v>
      </c>
      <c r="E729">
        <v>820</v>
      </c>
      <c r="F729" t="s">
        <v>962</v>
      </c>
      <c r="G729" t="s">
        <v>977</v>
      </c>
      <c r="H729">
        <v>769560</v>
      </c>
      <c r="I729" t="s">
        <v>1019</v>
      </c>
      <c r="J729" t="s">
        <v>951</v>
      </c>
      <c r="K729" t="s">
        <v>1020</v>
      </c>
      <c r="L729" t="s">
        <v>951</v>
      </c>
      <c r="M729" t="s">
        <v>980</v>
      </c>
      <c r="N729" t="s">
        <v>958</v>
      </c>
      <c r="O729" t="s">
        <v>959</v>
      </c>
    </row>
    <row r="730" spans="1:15" x14ac:dyDescent="0.25">
      <c r="A730" t="s">
        <v>946</v>
      </c>
      <c r="B730" t="s">
        <v>947</v>
      </c>
      <c r="C730" s="65">
        <v>46198</v>
      </c>
      <c r="D730">
        <v>24058</v>
      </c>
      <c r="E730">
        <v>9621</v>
      </c>
      <c r="F730" t="s">
        <v>948</v>
      </c>
      <c r="G730" t="s">
        <v>967</v>
      </c>
      <c r="H730">
        <v>2000000</v>
      </c>
      <c r="I730" t="s">
        <v>990</v>
      </c>
      <c r="J730" t="s">
        <v>951</v>
      </c>
      <c r="K730" t="s">
        <v>991</v>
      </c>
      <c r="L730" t="s">
        <v>951</v>
      </c>
      <c r="M730" t="s">
        <v>970</v>
      </c>
      <c r="N730" t="s">
        <v>958</v>
      </c>
      <c r="O730" t="s">
        <v>959</v>
      </c>
    </row>
    <row r="731" spans="1:15" x14ac:dyDescent="0.25">
      <c r="A731" t="s">
        <v>946</v>
      </c>
      <c r="B731" t="s">
        <v>947</v>
      </c>
      <c r="C731" s="65">
        <v>46199</v>
      </c>
      <c r="D731">
        <v>23791</v>
      </c>
      <c r="E731">
        <v>7067</v>
      </c>
      <c r="F731" t="s">
        <v>962</v>
      </c>
      <c r="G731" t="s">
        <v>977</v>
      </c>
      <c r="H731">
        <v>23839200</v>
      </c>
      <c r="I731" t="s">
        <v>978</v>
      </c>
      <c r="J731" t="s">
        <v>951</v>
      </c>
      <c r="K731" t="s">
        <v>979</v>
      </c>
      <c r="L731" t="s">
        <v>951</v>
      </c>
      <c r="M731" t="s">
        <v>980</v>
      </c>
      <c r="N731" t="s">
        <v>958</v>
      </c>
      <c r="O731" t="s">
        <v>959</v>
      </c>
    </row>
    <row r="732" spans="1:15" x14ac:dyDescent="0.25">
      <c r="A732" t="s">
        <v>946</v>
      </c>
      <c r="B732" t="s">
        <v>947</v>
      </c>
      <c r="C732" s="65">
        <v>46199</v>
      </c>
      <c r="D732">
        <v>23831</v>
      </c>
      <c r="E732">
        <v>4</v>
      </c>
      <c r="F732" t="s">
        <v>962</v>
      </c>
      <c r="G732" t="s">
        <v>977</v>
      </c>
      <c r="H732">
        <v>1500000</v>
      </c>
      <c r="I732" t="s">
        <v>968</v>
      </c>
      <c r="J732" t="s">
        <v>951</v>
      </c>
      <c r="K732" t="s">
        <v>969</v>
      </c>
      <c r="L732" t="s">
        <v>951</v>
      </c>
      <c r="M732" t="s">
        <v>980</v>
      </c>
      <c r="N732" t="s">
        <v>958</v>
      </c>
      <c r="O732" t="s">
        <v>959</v>
      </c>
    </row>
    <row r="733" spans="1:15" x14ac:dyDescent="0.25">
      <c r="A733" t="s">
        <v>946</v>
      </c>
      <c r="B733" t="s">
        <v>947</v>
      </c>
      <c r="C733" s="65">
        <v>46199</v>
      </c>
      <c r="D733">
        <v>23844</v>
      </c>
      <c r="E733">
        <v>7</v>
      </c>
      <c r="F733" t="s">
        <v>962</v>
      </c>
      <c r="G733" t="s">
        <v>977</v>
      </c>
      <c r="H733">
        <v>1400000</v>
      </c>
      <c r="I733" t="s">
        <v>968</v>
      </c>
      <c r="J733" t="s">
        <v>951</v>
      </c>
      <c r="K733" t="s">
        <v>969</v>
      </c>
      <c r="L733" t="s">
        <v>951</v>
      </c>
      <c r="M733" t="s">
        <v>980</v>
      </c>
      <c r="N733" t="s">
        <v>958</v>
      </c>
      <c r="O733" t="s">
        <v>959</v>
      </c>
    </row>
    <row r="734" spans="1:15" x14ac:dyDescent="0.25">
      <c r="A734" t="s">
        <v>946</v>
      </c>
      <c r="B734" t="s">
        <v>947</v>
      </c>
      <c r="C734" s="65">
        <v>46199</v>
      </c>
      <c r="D734">
        <v>23855</v>
      </c>
      <c r="E734">
        <v>78056234</v>
      </c>
      <c r="F734" t="s">
        <v>962</v>
      </c>
      <c r="G734" t="s">
        <v>967</v>
      </c>
      <c r="H734">
        <v>1420000</v>
      </c>
      <c r="I734" t="s">
        <v>968</v>
      </c>
      <c r="J734" t="s">
        <v>951</v>
      </c>
      <c r="K734" t="s">
        <v>969</v>
      </c>
      <c r="L734" t="s">
        <v>951</v>
      </c>
      <c r="M734" t="s">
        <v>970</v>
      </c>
      <c r="N734" t="s">
        <v>958</v>
      </c>
      <c r="O734" t="s">
        <v>959</v>
      </c>
    </row>
    <row r="735" spans="1:15" x14ac:dyDescent="0.25">
      <c r="A735" t="s">
        <v>946</v>
      </c>
      <c r="B735" t="s">
        <v>947</v>
      </c>
      <c r="C735" s="65">
        <v>46199</v>
      </c>
      <c r="D735">
        <v>23864</v>
      </c>
      <c r="E735">
        <v>78056243</v>
      </c>
      <c r="F735" t="s">
        <v>962</v>
      </c>
      <c r="G735" t="s">
        <v>967</v>
      </c>
      <c r="H735">
        <v>932000</v>
      </c>
      <c r="I735" t="s">
        <v>968</v>
      </c>
      <c r="J735" t="s">
        <v>951</v>
      </c>
      <c r="K735" t="s">
        <v>969</v>
      </c>
      <c r="L735" t="s">
        <v>951</v>
      </c>
      <c r="M735" t="s">
        <v>970</v>
      </c>
      <c r="N735" t="s">
        <v>958</v>
      </c>
      <c r="O735" t="s">
        <v>959</v>
      </c>
    </row>
    <row r="736" spans="1:15" x14ac:dyDescent="0.25">
      <c r="A736" t="s">
        <v>946</v>
      </c>
      <c r="B736" t="s">
        <v>947</v>
      </c>
      <c r="C736" s="65">
        <v>46199</v>
      </c>
      <c r="D736">
        <v>23887</v>
      </c>
      <c r="E736">
        <v>12924574</v>
      </c>
      <c r="F736" t="s">
        <v>962</v>
      </c>
      <c r="G736" t="s">
        <v>954</v>
      </c>
      <c r="H736">
        <v>5000000</v>
      </c>
      <c r="I736" t="s">
        <v>996</v>
      </c>
      <c r="J736" t="s">
        <v>951</v>
      </c>
      <c r="K736" t="s">
        <v>997</v>
      </c>
      <c r="L736" t="s">
        <v>951</v>
      </c>
      <c r="M736" t="s">
        <v>957</v>
      </c>
      <c r="N736" t="s">
        <v>951</v>
      </c>
      <c r="O736" t="s">
        <v>951</v>
      </c>
    </row>
    <row r="737" spans="1:15" x14ac:dyDescent="0.25">
      <c r="A737" t="s">
        <v>946</v>
      </c>
      <c r="B737" t="s">
        <v>947</v>
      </c>
      <c r="C737" s="65">
        <v>46199</v>
      </c>
      <c r="D737">
        <v>23926</v>
      </c>
      <c r="E737">
        <v>4898</v>
      </c>
      <c r="F737" t="s">
        <v>962</v>
      </c>
      <c r="G737" t="s">
        <v>977</v>
      </c>
      <c r="H737">
        <v>1433000</v>
      </c>
      <c r="I737" t="s">
        <v>993</v>
      </c>
      <c r="J737" t="s">
        <v>951</v>
      </c>
      <c r="K737" t="s">
        <v>994</v>
      </c>
      <c r="L737" t="s">
        <v>951</v>
      </c>
      <c r="M737" t="s">
        <v>980</v>
      </c>
      <c r="N737" t="s">
        <v>958</v>
      </c>
      <c r="O737" t="s">
        <v>959</v>
      </c>
    </row>
    <row r="738" spans="1:15" x14ac:dyDescent="0.25">
      <c r="A738" t="s">
        <v>946</v>
      </c>
      <c r="B738" t="s">
        <v>947</v>
      </c>
      <c r="C738" s="65">
        <v>46199</v>
      </c>
      <c r="D738">
        <v>23929</v>
      </c>
      <c r="E738">
        <v>363</v>
      </c>
      <c r="F738" t="s">
        <v>962</v>
      </c>
      <c r="G738" t="s">
        <v>977</v>
      </c>
      <c r="H738">
        <v>6000000</v>
      </c>
      <c r="I738" t="s">
        <v>1019</v>
      </c>
      <c r="J738" t="s">
        <v>951</v>
      </c>
      <c r="K738" t="s">
        <v>1020</v>
      </c>
      <c r="L738" t="s">
        <v>951</v>
      </c>
      <c r="M738" t="s">
        <v>980</v>
      </c>
      <c r="N738" t="s">
        <v>958</v>
      </c>
      <c r="O738" t="s">
        <v>959</v>
      </c>
    </row>
    <row r="739" spans="1:15" x14ac:dyDescent="0.25">
      <c r="A739" t="s">
        <v>946</v>
      </c>
      <c r="B739" t="s">
        <v>947</v>
      </c>
      <c r="C739" s="65">
        <v>46199</v>
      </c>
      <c r="D739">
        <v>23930</v>
      </c>
      <c r="E739">
        <v>364</v>
      </c>
      <c r="F739" t="s">
        <v>962</v>
      </c>
      <c r="G739" t="s">
        <v>977</v>
      </c>
      <c r="H739">
        <v>7872560</v>
      </c>
      <c r="I739" t="s">
        <v>1019</v>
      </c>
      <c r="J739" t="s">
        <v>951</v>
      </c>
      <c r="K739" t="s">
        <v>1020</v>
      </c>
      <c r="L739" t="s">
        <v>951</v>
      </c>
      <c r="M739" t="s">
        <v>980</v>
      </c>
      <c r="N739" t="s">
        <v>958</v>
      </c>
      <c r="O739" t="s">
        <v>959</v>
      </c>
    </row>
    <row r="740" spans="1:15" x14ac:dyDescent="0.25">
      <c r="A740" t="s">
        <v>946</v>
      </c>
      <c r="B740" t="s">
        <v>947</v>
      </c>
      <c r="C740" s="65">
        <v>46199</v>
      </c>
      <c r="D740">
        <v>23946</v>
      </c>
      <c r="E740">
        <v>1678</v>
      </c>
      <c r="F740" t="s">
        <v>962</v>
      </c>
      <c r="G740" t="s">
        <v>977</v>
      </c>
      <c r="H740">
        <v>16500000</v>
      </c>
      <c r="I740" t="s">
        <v>1009</v>
      </c>
      <c r="J740" t="s">
        <v>951</v>
      </c>
      <c r="K740" t="s">
        <v>1010</v>
      </c>
      <c r="L740" t="s">
        <v>951</v>
      </c>
      <c r="M740" t="s">
        <v>980</v>
      </c>
      <c r="N740" t="s">
        <v>958</v>
      </c>
      <c r="O740" t="s">
        <v>959</v>
      </c>
    </row>
    <row r="741" spans="1:15" x14ac:dyDescent="0.25">
      <c r="A741" t="s">
        <v>946</v>
      </c>
      <c r="B741" t="s">
        <v>947</v>
      </c>
      <c r="C741" s="65">
        <v>46199</v>
      </c>
      <c r="D741">
        <v>23947</v>
      </c>
      <c r="E741">
        <v>1679</v>
      </c>
      <c r="F741" t="s">
        <v>962</v>
      </c>
      <c r="G741" t="s">
        <v>977</v>
      </c>
      <c r="H741">
        <v>17304197.5</v>
      </c>
      <c r="I741" t="s">
        <v>1009</v>
      </c>
      <c r="J741" t="s">
        <v>951</v>
      </c>
      <c r="K741" t="s">
        <v>1010</v>
      </c>
      <c r="L741" t="s">
        <v>951</v>
      </c>
      <c r="M741" t="s">
        <v>980</v>
      </c>
      <c r="N741" t="s">
        <v>958</v>
      </c>
      <c r="O741" t="s">
        <v>959</v>
      </c>
    </row>
    <row r="742" spans="1:15" x14ac:dyDescent="0.25">
      <c r="A742" t="s">
        <v>946</v>
      </c>
      <c r="B742" t="s">
        <v>947</v>
      </c>
      <c r="C742" s="65">
        <v>46199</v>
      </c>
      <c r="D742">
        <v>24000</v>
      </c>
      <c r="E742">
        <v>4996</v>
      </c>
      <c r="F742" t="s">
        <v>962</v>
      </c>
      <c r="G742" t="s">
        <v>977</v>
      </c>
      <c r="H742">
        <v>860000</v>
      </c>
      <c r="I742" t="s">
        <v>993</v>
      </c>
      <c r="J742" t="s">
        <v>951</v>
      </c>
      <c r="K742" t="s">
        <v>994</v>
      </c>
      <c r="L742" t="s">
        <v>951</v>
      </c>
      <c r="M742" t="s">
        <v>980</v>
      </c>
      <c r="N742" t="s">
        <v>958</v>
      </c>
      <c r="O742" t="s">
        <v>959</v>
      </c>
    </row>
    <row r="743" spans="1:15" x14ac:dyDescent="0.25">
      <c r="A743" t="s">
        <v>946</v>
      </c>
      <c r="B743" t="s">
        <v>947</v>
      </c>
      <c r="C743" s="65">
        <v>46199</v>
      </c>
      <c r="D743">
        <v>24008</v>
      </c>
      <c r="E743">
        <v>4952</v>
      </c>
      <c r="F743" t="s">
        <v>962</v>
      </c>
      <c r="G743" t="s">
        <v>977</v>
      </c>
      <c r="H743">
        <v>1300000</v>
      </c>
      <c r="I743" t="s">
        <v>993</v>
      </c>
      <c r="J743" t="s">
        <v>951</v>
      </c>
      <c r="K743" t="s">
        <v>994</v>
      </c>
      <c r="L743" t="s">
        <v>951</v>
      </c>
      <c r="M743" t="s">
        <v>980</v>
      </c>
      <c r="N743" t="s">
        <v>958</v>
      </c>
      <c r="O743" t="s">
        <v>959</v>
      </c>
    </row>
    <row r="744" spans="1:15" x14ac:dyDescent="0.25">
      <c r="A744" t="s">
        <v>946</v>
      </c>
      <c r="B744" t="s">
        <v>947</v>
      </c>
      <c r="C744" s="65">
        <v>46199</v>
      </c>
      <c r="D744">
        <v>24053</v>
      </c>
      <c r="E744">
        <v>67322072</v>
      </c>
      <c r="F744" t="s">
        <v>962</v>
      </c>
      <c r="G744" t="s">
        <v>983</v>
      </c>
      <c r="H744">
        <v>5690000</v>
      </c>
      <c r="I744" t="s">
        <v>987</v>
      </c>
      <c r="J744" t="s">
        <v>951</v>
      </c>
      <c r="K744" t="s">
        <v>988</v>
      </c>
      <c r="L744" t="s">
        <v>951</v>
      </c>
      <c r="M744" t="s">
        <v>986</v>
      </c>
      <c r="N744" t="s">
        <v>958</v>
      </c>
      <c r="O744" t="s">
        <v>959</v>
      </c>
    </row>
    <row r="745" spans="1:15" x14ac:dyDescent="0.25">
      <c r="A745" t="s">
        <v>946</v>
      </c>
      <c r="B745" t="s">
        <v>947</v>
      </c>
      <c r="C745" s="65">
        <v>46202</v>
      </c>
      <c r="D745">
        <v>23784</v>
      </c>
      <c r="E745">
        <v>160</v>
      </c>
      <c r="F745" t="s">
        <v>962</v>
      </c>
      <c r="G745" t="s">
        <v>977</v>
      </c>
      <c r="H745">
        <v>3000720</v>
      </c>
      <c r="I745" t="s">
        <v>1003</v>
      </c>
      <c r="J745" t="s">
        <v>951</v>
      </c>
      <c r="K745" t="s">
        <v>1004</v>
      </c>
      <c r="L745" t="s">
        <v>951</v>
      </c>
      <c r="M745" t="s">
        <v>980</v>
      </c>
      <c r="N745" t="s">
        <v>958</v>
      </c>
      <c r="O745" t="s">
        <v>959</v>
      </c>
    </row>
    <row r="746" spans="1:15" x14ac:dyDescent="0.25">
      <c r="A746" t="s">
        <v>946</v>
      </c>
      <c r="B746" t="s">
        <v>947</v>
      </c>
      <c r="C746" s="65">
        <v>46202</v>
      </c>
      <c r="D746">
        <v>23785</v>
      </c>
      <c r="E746">
        <v>161</v>
      </c>
      <c r="F746" t="s">
        <v>962</v>
      </c>
      <c r="G746" t="s">
        <v>977</v>
      </c>
      <c r="H746">
        <v>2086000</v>
      </c>
      <c r="I746" t="s">
        <v>1003</v>
      </c>
      <c r="J746" t="s">
        <v>951</v>
      </c>
      <c r="K746" t="s">
        <v>1004</v>
      </c>
      <c r="L746" t="s">
        <v>951</v>
      </c>
      <c r="M746" t="s">
        <v>980</v>
      </c>
      <c r="N746" t="s">
        <v>958</v>
      </c>
      <c r="O746" t="s">
        <v>959</v>
      </c>
    </row>
    <row r="747" spans="1:15" x14ac:dyDescent="0.25">
      <c r="A747" t="s">
        <v>946</v>
      </c>
      <c r="B747" t="s">
        <v>947</v>
      </c>
      <c r="C747" s="65">
        <v>46202</v>
      </c>
      <c r="D747">
        <v>23786</v>
      </c>
      <c r="E747">
        <v>162</v>
      </c>
      <c r="F747" t="s">
        <v>962</v>
      </c>
      <c r="G747" t="s">
        <v>977</v>
      </c>
      <c r="H747">
        <v>2600000</v>
      </c>
      <c r="I747" t="s">
        <v>1003</v>
      </c>
      <c r="J747" t="s">
        <v>951</v>
      </c>
      <c r="K747" t="s">
        <v>1004</v>
      </c>
      <c r="L747" t="s">
        <v>951</v>
      </c>
      <c r="M747" t="s">
        <v>980</v>
      </c>
      <c r="N747" t="s">
        <v>958</v>
      </c>
      <c r="O747" t="s">
        <v>959</v>
      </c>
    </row>
    <row r="748" spans="1:15" x14ac:dyDescent="0.25">
      <c r="A748" t="s">
        <v>946</v>
      </c>
      <c r="B748" t="s">
        <v>947</v>
      </c>
      <c r="C748" s="65">
        <v>46202</v>
      </c>
      <c r="D748">
        <v>23787</v>
      </c>
      <c r="E748">
        <v>163</v>
      </c>
      <c r="F748" t="s">
        <v>962</v>
      </c>
      <c r="G748" t="s">
        <v>977</v>
      </c>
      <c r="H748">
        <v>3000040</v>
      </c>
      <c r="I748" t="s">
        <v>1003</v>
      </c>
      <c r="J748" t="s">
        <v>951</v>
      </c>
      <c r="K748" t="s">
        <v>1004</v>
      </c>
      <c r="L748" t="s">
        <v>951</v>
      </c>
      <c r="M748" t="s">
        <v>980</v>
      </c>
      <c r="N748" t="s">
        <v>958</v>
      </c>
      <c r="O748" t="s">
        <v>959</v>
      </c>
    </row>
    <row r="749" spans="1:15" x14ac:dyDescent="0.25">
      <c r="A749" t="s">
        <v>946</v>
      </c>
      <c r="B749" t="s">
        <v>947</v>
      </c>
      <c r="C749" s="65">
        <v>46202</v>
      </c>
      <c r="D749">
        <v>23788</v>
      </c>
      <c r="E749">
        <v>164</v>
      </c>
      <c r="F749" t="s">
        <v>962</v>
      </c>
      <c r="G749" t="s">
        <v>977</v>
      </c>
      <c r="H749">
        <v>3000400</v>
      </c>
      <c r="I749" t="s">
        <v>1003</v>
      </c>
      <c r="J749" t="s">
        <v>951</v>
      </c>
      <c r="K749" t="s">
        <v>1004</v>
      </c>
      <c r="L749" t="s">
        <v>951</v>
      </c>
      <c r="M749" t="s">
        <v>980</v>
      </c>
      <c r="N749" t="s">
        <v>958</v>
      </c>
      <c r="O749" t="s">
        <v>959</v>
      </c>
    </row>
    <row r="750" spans="1:15" x14ac:dyDescent="0.25">
      <c r="A750" t="s">
        <v>946</v>
      </c>
      <c r="B750" t="s">
        <v>947</v>
      </c>
      <c r="C750" s="65">
        <v>46202</v>
      </c>
      <c r="D750">
        <v>23789</v>
      </c>
      <c r="E750">
        <v>165</v>
      </c>
      <c r="F750" t="s">
        <v>962</v>
      </c>
      <c r="G750" t="s">
        <v>977</v>
      </c>
      <c r="H750">
        <v>3500000</v>
      </c>
      <c r="I750" t="s">
        <v>1003</v>
      </c>
      <c r="J750" t="s">
        <v>951</v>
      </c>
      <c r="K750" t="s">
        <v>1004</v>
      </c>
      <c r="L750" t="s">
        <v>951</v>
      </c>
      <c r="M750" t="s">
        <v>980</v>
      </c>
      <c r="N750" t="s">
        <v>958</v>
      </c>
      <c r="O750" t="s">
        <v>959</v>
      </c>
    </row>
    <row r="751" spans="1:15" x14ac:dyDescent="0.25">
      <c r="A751" t="s">
        <v>946</v>
      </c>
      <c r="B751" t="s">
        <v>947</v>
      </c>
      <c r="C751" s="65">
        <v>46202</v>
      </c>
      <c r="D751">
        <v>23790</v>
      </c>
      <c r="E751">
        <v>166</v>
      </c>
      <c r="F751" t="s">
        <v>962</v>
      </c>
      <c r="G751" t="s">
        <v>977</v>
      </c>
      <c r="H751">
        <v>3047000</v>
      </c>
      <c r="I751" t="s">
        <v>1003</v>
      </c>
      <c r="J751" t="s">
        <v>951</v>
      </c>
      <c r="K751" t="s">
        <v>1004</v>
      </c>
      <c r="L751" t="s">
        <v>951</v>
      </c>
      <c r="M751" t="s">
        <v>980</v>
      </c>
      <c r="N751" t="s">
        <v>958</v>
      </c>
      <c r="O751" t="s">
        <v>959</v>
      </c>
    </row>
    <row r="752" spans="1:15" x14ac:dyDescent="0.25">
      <c r="A752" t="s">
        <v>946</v>
      </c>
      <c r="B752" t="s">
        <v>947</v>
      </c>
      <c r="C752" s="65">
        <v>46202</v>
      </c>
      <c r="D752">
        <v>23827</v>
      </c>
      <c r="E752">
        <v>8393</v>
      </c>
      <c r="F752" t="s">
        <v>962</v>
      </c>
      <c r="G752" t="s">
        <v>977</v>
      </c>
      <c r="H752">
        <v>23687070</v>
      </c>
      <c r="I752" t="s">
        <v>981</v>
      </c>
      <c r="J752" t="s">
        <v>951</v>
      </c>
      <c r="K752" t="s">
        <v>982</v>
      </c>
      <c r="L752" t="s">
        <v>951</v>
      </c>
      <c r="M752" t="s">
        <v>980</v>
      </c>
      <c r="N752" t="s">
        <v>958</v>
      </c>
      <c r="O752" t="s">
        <v>959</v>
      </c>
    </row>
    <row r="753" spans="1:15" x14ac:dyDescent="0.25">
      <c r="A753" t="s">
        <v>946</v>
      </c>
      <c r="B753" t="s">
        <v>947</v>
      </c>
      <c r="C753" s="65">
        <v>46202</v>
      </c>
      <c r="D753">
        <v>23832</v>
      </c>
      <c r="E753">
        <v>5</v>
      </c>
      <c r="F753" t="s">
        <v>962</v>
      </c>
      <c r="G753" t="s">
        <v>977</v>
      </c>
      <c r="H753">
        <v>1500000</v>
      </c>
      <c r="I753" t="s">
        <v>968</v>
      </c>
      <c r="J753" t="s">
        <v>951</v>
      </c>
      <c r="K753" t="s">
        <v>969</v>
      </c>
      <c r="L753" t="s">
        <v>951</v>
      </c>
      <c r="M753" t="s">
        <v>980</v>
      </c>
      <c r="N753" t="s">
        <v>958</v>
      </c>
      <c r="O753" t="s">
        <v>959</v>
      </c>
    </row>
    <row r="754" spans="1:15" x14ac:dyDescent="0.25">
      <c r="A754" t="s">
        <v>946</v>
      </c>
      <c r="B754" t="s">
        <v>947</v>
      </c>
      <c r="C754" s="65">
        <v>46202</v>
      </c>
      <c r="D754">
        <v>23841</v>
      </c>
      <c r="E754">
        <v>4</v>
      </c>
      <c r="F754" t="s">
        <v>962</v>
      </c>
      <c r="G754" t="s">
        <v>977</v>
      </c>
      <c r="H754">
        <v>1400000</v>
      </c>
      <c r="I754" t="s">
        <v>968</v>
      </c>
      <c r="J754" t="s">
        <v>951</v>
      </c>
      <c r="K754" t="s">
        <v>969</v>
      </c>
      <c r="L754" t="s">
        <v>951</v>
      </c>
      <c r="M754" t="s">
        <v>980</v>
      </c>
      <c r="N754" t="s">
        <v>958</v>
      </c>
      <c r="O754" t="s">
        <v>959</v>
      </c>
    </row>
    <row r="755" spans="1:15" x14ac:dyDescent="0.25">
      <c r="A755" t="s">
        <v>946</v>
      </c>
      <c r="B755" t="s">
        <v>947</v>
      </c>
      <c r="C755" s="65">
        <v>46202</v>
      </c>
      <c r="D755">
        <v>23849</v>
      </c>
      <c r="E755">
        <v>766</v>
      </c>
      <c r="F755" t="s">
        <v>962</v>
      </c>
      <c r="G755" t="s">
        <v>977</v>
      </c>
      <c r="H755">
        <v>11791139.880000001</v>
      </c>
      <c r="I755" t="s">
        <v>984</v>
      </c>
      <c r="J755" t="s">
        <v>951</v>
      </c>
      <c r="K755" t="s">
        <v>985</v>
      </c>
      <c r="L755" t="s">
        <v>951</v>
      </c>
      <c r="M755" t="s">
        <v>980</v>
      </c>
      <c r="N755" t="s">
        <v>958</v>
      </c>
      <c r="O755" t="s">
        <v>959</v>
      </c>
    </row>
    <row r="756" spans="1:15" x14ac:dyDescent="0.25">
      <c r="A756" t="s">
        <v>946</v>
      </c>
      <c r="B756" t="s">
        <v>947</v>
      </c>
      <c r="C756" s="65">
        <v>46202</v>
      </c>
      <c r="D756">
        <v>23850</v>
      </c>
      <c r="E756">
        <v>375</v>
      </c>
      <c r="F756" t="s">
        <v>962</v>
      </c>
      <c r="G756" t="s">
        <v>967</v>
      </c>
      <c r="H756">
        <v>9174159.5</v>
      </c>
      <c r="I756" t="s">
        <v>990</v>
      </c>
      <c r="J756" t="s">
        <v>951</v>
      </c>
      <c r="K756" t="s">
        <v>991</v>
      </c>
      <c r="L756" t="s">
        <v>951</v>
      </c>
      <c r="M756" t="s">
        <v>970</v>
      </c>
      <c r="N756" t="s">
        <v>958</v>
      </c>
      <c r="O756" t="s">
        <v>959</v>
      </c>
    </row>
    <row r="757" spans="1:15" x14ac:dyDescent="0.25">
      <c r="A757" t="s">
        <v>946</v>
      </c>
      <c r="B757" t="s">
        <v>947</v>
      </c>
      <c r="C757" s="65">
        <v>46202</v>
      </c>
      <c r="D757">
        <v>23856</v>
      </c>
      <c r="E757">
        <v>78056235</v>
      </c>
      <c r="F757" t="s">
        <v>962</v>
      </c>
      <c r="G757" t="s">
        <v>967</v>
      </c>
      <c r="H757">
        <v>1420000</v>
      </c>
      <c r="I757" t="s">
        <v>968</v>
      </c>
      <c r="J757" t="s">
        <v>951</v>
      </c>
      <c r="K757" t="s">
        <v>969</v>
      </c>
      <c r="L757" t="s">
        <v>951</v>
      </c>
      <c r="M757" t="s">
        <v>970</v>
      </c>
      <c r="N757" t="s">
        <v>958</v>
      </c>
      <c r="O757" t="s">
        <v>959</v>
      </c>
    </row>
    <row r="758" spans="1:15" x14ac:dyDescent="0.25">
      <c r="A758" t="s">
        <v>946</v>
      </c>
      <c r="B758" t="s">
        <v>947</v>
      </c>
      <c r="C758" s="65">
        <v>46202</v>
      </c>
      <c r="D758">
        <v>23865</v>
      </c>
      <c r="E758">
        <v>78056244</v>
      </c>
      <c r="F758" t="s">
        <v>962</v>
      </c>
      <c r="G758" t="s">
        <v>967</v>
      </c>
      <c r="H758">
        <v>932000</v>
      </c>
      <c r="I758" t="s">
        <v>968</v>
      </c>
      <c r="J758" t="s">
        <v>951</v>
      </c>
      <c r="K758" t="s">
        <v>969</v>
      </c>
      <c r="L758" t="s">
        <v>951</v>
      </c>
      <c r="M758" t="s">
        <v>970</v>
      </c>
      <c r="N758" t="s">
        <v>958</v>
      </c>
      <c r="O758" t="s">
        <v>959</v>
      </c>
    </row>
    <row r="759" spans="1:15" x14ac:dyDescent="0.25">
      <c r="A759" t="s">
        <v>946</v>
      </c>
      <c r="B759" t="s">
        <v>947</v>
      </c>
      <c r="C759" s="65">
        <v>46202</v>
      </c>
      <c r="D759">
        <v>23888</v>
      </c>
      <c r="E759">
        <v>12924575</v>
      </c>
      <c r="F759" t="s">
        <v>962</v>
      </c>
      <c r="G759" t="s">
        <v>954</v>
      </c>
      <c r="H759">
        <v>5000000</v>
      </c>
      <c r="I759" t="s">
        <v>996</v>
      </c>
      <c r="J759" t="s">
        <v>951</v>
      </c>
      <c r="K759" t="s">
        <v>997</v>
      </c>
      <c r="L759" t="s">
        <v>951</v>
      </c>
      <c r="M759" t="s">
        <v>957</v>
      </c>
      <c r="N759" t="s">
        <v>951</v>
      </c>
      <c r="O759" t="s">
        <v>951</v>
      </c>
    </row>
    <row r="760" spans="1:15" x14ac:dyDescent="0.25">
      <c r="A760" t="s">
        <v>946</v>
      </c>
      <c r="B760" t="s">
        <v>947</v>
      </c>
      <c r="C760" s="65">
        <v>46202</v>
      </c>
      <c r="D760">
        <v>23889</v>
      </c>
      <c r="E760">
        <v>12924576</v>
      </c>
      <c r="F760" t="s">
        <v>962</v>
      </c>
      <c r="G760" t="s">
        <v>954</v>
      </c>
      <c r="H760">
        <v>5000000</v>
      </c>
      <c r="I760" t="s">
        <v>996</v>
      </c>
      <c r="J760" t="s">
        <v>951</v>
      </c>
      <c r="K760" t="s">
        <v>997</v>
      </c>
      <c r="L760" t="s">
        <v>951</v>
      </c>
      <c r="M760" t="s">
        <v>957</v>
      </c>
      <c r="N760" t="s">
        <v>951</v>
      </c>
      <c r="O760" t="s">
        <v>951</v>
      </c>
    </row>
    <row r="761" spans="1:15" x14ac:dyDescent="0.25">
      <c r="A761" t="s">
        <v>946</v>
      </c>
      <c r="B761" t="s">
        <v>947</v>
      </c>
      <c r="C761" s="65">
        <v>46202</v>
      </c>
      <c r="D761">
        <v>23890</v>
      </c>
      <c r="E761">
        <v>12924577</v>
      </c>
      <c r="F761" t="s">
        <v>962</v>
      </c>
      <c r="G761" t="s">
        <v>954</v>
      </c>
      <c r="H761">
        <v>5000000</v>
      </c>
      <c r="I761" t="s">
        <v>996</v>
      </c>
      <c r="J761" t="s">
        <v>951</v>
      </c>
      <c r="K761" t="s">
        <v>997</v>
      </c>
      <c r="L761" t="s">
        <v>951</v>
      </c>
      <c r="M761" t="s">
        <v>957</v>
      </c>
      <c r="N761" t="s">
        <v>951</v>
      </c>
      <c r="O761" t="s">
        <v>951</v>
      </c>
    </row>
    <row r="762" spans="1:15" x14ac:dyDescent="0.25">
      <c r="A762" t="s">
        <v>946</v>
      </c>
      <c r="B762" t="s">
        <v>947</v>
      </c>
      <c r="C762" s="65">
        <v>46202</v>
      </c>
      <c r="D762">
        <v>23912</v>
      </c>
      <c r="E762">
        <v>78056252</v>
      </c>
      <c r="F762" t="s">
        <v>962</v>
      </c>
      <c r="G762" t="s">
        <v>967</v>
      </c>
      <c r="H762">
        <v>1380000</v>
      </c>
      <c r="I762" t="s">
        <v>968</v>
      </c>
      <c r="J762" t="s">
        <v>951</v>
      </c>
      <c r="K762" t="s">
        <v>969</v>
      </c>
      <c r="L762" t="s">
        <v>951</v>
      </c>
      <c r="M762" t="s">
        <v>970</v>
      </c>
      <c r="N762" t="s">
        <v>958</v>
      </c>
      <c r="O762" t="s">
        <v>959</v>
      </c>
    </row>
    <row r="763" spans="1:15" x14ac:dyDescent="0.25">
      <c r="A763" t="s">
        <v>946</v>
      </c>
      <c r="B763" t="s">
        <v>947</v>
      </c>
      <c r="C763" s="65">
        <v>46202</v>
      </c>
      <c r="D763">
        <v>23927</v>
      </c>
      <c r="E763">
        <v>29411502</v>
      </c>
      <c r="F763" t="s">
        <v>962</v>
      </c>
      <c r="G763" t="s">
        <v>989</v>
      </c>
      <c r="H763">
        <v>14002560</v>
      </c>
      <c r="I763" t="s">
        <v>1007</v>
      </c>
      <c r="J763" t="s">
        <v>951</v>
      </c>
      <c r="K763" t="s">
        <v>1008</v>
      </c>
      <c r="L763" t="s">
        <v>951</v>
      </c>
      <c r="M763" t="s">
        <v>992</v>
      </c>
      <c r="N763" t="s">
        <v>958</v>
      </c>
      <c r="O763" t="s">
        <v>959</v>
      </c>
    </row>
    <row r="764" spans="1:15" x14ac:dyDescent="0.25">
      <c r="A764" t="s">
        <v>946</v>
      </c>
      <c r="B764" t="s">
        <v>947</v>
      </c>
      <c r="C764" s="65">
        <v>46202</v>
      </c>
      <c r="D764">
        <v>23931</v>
      </c>
      <c r="E764">
        <v>721</v>
      </c>
      <c r="F764" t="s">
        <v>962</v>
      </c>
      <c r="G764" t="s">
        <v>977</v>
      </c>
      <c r="H764">
        <v>10000250.289999999</v>
      </c>
      <c r="I764" t="s">
        <v>1019</v>
      </c>
      <c r="J764" t="s">
        <v>951</v>
      </c>
      <c r="K764" t="s">
        <v>1020</v>
      </c>
      <c r="L764" t="s">
        <v>951</v>
      </c>
      <c r="M764" t="s">
        <v>980</v>
      </c>
      <c r="N764" t="s">
        <v>958</v>
      </c>
      <c r="O764" t="s">
        <v>959</v>
      </c>
    </row>
    <row r="765" spans="1:15" x14ac:dyDescent="0.25">
      <c r="A765" t="s">
        <v>946</v>
      </c>
      <c r="B765" t="s">
        <v>947</v>
      </c>
      <c r="C765" s="65">
        <v>46202</v>
      </c>
      <c r="D765">
        <v>23959</v>
      </c>
      <c r="E765">
        <v>5073</v>
      </c>
      <c r="F765" t="s">
        <v>962</v>
      </c>
      <c r="G765" t="s">
        <v>977</v>
      </c>
      <c r="H765">
        <v>1300000</v>
      </c>
      <c r="I765" t="s">
        <v>993</v>
      </c>
      <c r="J765" t="s">
        <v>951</v>
      </c>
      <c r="K765" t="s">
        <v>994</v>
      </c>
      <c r="L765" t="s">
        <v>951</v>
      </c>
      <c r="M765" t="s">
        <v>980</v>
      </c>
      <c r="N765" t="s">
        <v>958</v>
      </c>
      <c r="O765" t="s">
        <v>959</v>
      </c>
    </row>
    <row r="766" spans="1:15" x14ac:dyDescent="0.25">
      <c r="A766" t="s">
        <v>946</v>
      </c>
      <c r="B766" t="s">
        <v>947</v>
      </c>
      <c r="C766" s="65">
        <v>46202</v>
      </c>
      <c r="D766">
        <v>23975</v>
      </c>
      <c r="E766">
        <v>9845378</v>
      </c>
      <c r="F766" t="s">
        <v>962</v>
      </c>
      <c r="G766" t="s">
        <v>954</v>
      </c>
      <c r="H766">
        <v>14107155</v>
      </c>
      <c r="I766" t="s">
        <v>999</v>
      </c>
      <c r="J766" t="s">
        <v>951</v>
      </c>
      <c r="K766" t="s">
        <v>1000</v>
      </c>
      <c r="L766" t="s">
        <v>951</v>
      </c>
      <c r="M766" t="s">
        <v>957</v>
      </c>
      <c r="N766" t="s">
        <v>958</v>
      </c>
      <c r="O766" t="s">
        <v>959</v>
      </c>
    </row>
    <row r="767" spans="1:15" x14ac:dyDescent="0.25">
      <c r="A767" t="s">
        <v>946</v>
      </c>
      <c r="B767" t="s">
        <v>947</v>
      </c>
      <c r="C767" s="65">
        <v>46202</v>
      </c>
      <c r="D767">
        <v>23976</v>
      </c>
      <c r="E767">
        <v>9845377</v>
      </c>
      <c r="F767" t="s">
        <v>962</v>
      </c>
      <c r="G767" t="s">
        <v>954</v>
      </c>
      <c r="H767">
        <v>15000000</v>
      </c>
      <c r="I767" t="s">
        <v>999</v>
      </c>
      <c r="J767" t="s">
        <v>951</v>
      </c>
      <c r="K767" t="s">
        <v>1000</v>
      </c>
      <c r="L767" t="s">
        <v>951</v>
      </c>
      <c r="M767" t="s">
        <v>957</v>
      </c>
      <c r="N767" t="s">
        <v>958</v>
      </c>
      <c r="O767" t="s">
        <v>959</v>
      </c>
    </row>
    <row r="768" spans="1:15" x14ac:dyDescent="0.25">
      <c r="A768" t="s">
        <v>946</v>
      </c>
      <c r="B768" t="s">
        <v>947</v>
      </c>
      <c r="C768" s="65">
        <v>46202</v>
      </c>
      <c r="D768">
        <v>23988</v>
      </c>
      <c r="E768">
        <v>72199155</v>
      </c>
      <c r="F768" t="s">
        <v>962</v>
      </c>
      <c r="G768" t="s">
        <v>954</v>
      </c>
      <c r="H768">
        <v>45101475</v>
      </c>
      <c r="I768" t="s">
        <v>1021</v>
      </c>
      <c r="J768" t="s">
        <v>951</v>
      </c>
      <c r="K768" t="s">
        <v>1022</v>
      </c>
      <c r="L768" t="s">
        <v>951</v>
      </c>
      <c r="M768" t="s">
        <v>957</v>
      </c>
      <c r="N768" t="s">
        <v>958</v>
      </c>
      <c r="O768" t="s">
        <v>959</v>
      </c>
    </row>
    <row r="769" spans="1:15" x14ac:dyDescent="0.25">
      <c r="A769" t="s">
        <v>946</v>
      </c>
      <c r="B769" t="s">
        <v>947</v>
      </c>
      <c r="C769" s="65">
        <v>46202</v>
      </c>
      <c r="D769">
        <v>24001</v>
      </c>
      <c r="E769">
        <v>4997</v>
      </c>
      <c r="F769" t="s">
        <v>962</v>
      </c>
      <c r="G769" t="s">
        <v>977</v>
      </c>
      <c r="H769">
        <v>860000</v>
      </c>
      <c r="I769" t="s">
        <v>993</v>
      </c>
      <c r="J769" t="s">
        <v>951</v>
      </c>
      <c r="K769" t="s">
        <v>994</v>
      </c>
      <c r="L769" t="s">
        <v>951</v>
      </c>
      <c r="M769" t="s">
        <v>980</v>
      </c>
      <c r="N769" t="s">
        <v>958</v>
      </c>
      <c r="O769" t="s">
        <v>959</v>
      </c>
    </row>
    <row r="770" spans="1:15" x14ac:dyDescent="0.25">
      <c r="A770" t="s">
        <v>946</v>
      </c>
      <c r="B770" t="s">
        <v>947</v>
      </c>
      <c r="C770" s="65">
        <v>46202</v>
      </c>
      <c r="D770">
        <v>24009</v>
      </c>
      <c r="E770">
        <v>4953</v>
      </c>
      <c r="F770" t="s">
        <v>962</v>
      </c>
      <c r="G770" t="s">
        <v>977</v>
      </c>
      <c r="H770">
        <v>1300000</v>
      </c>
      <c r="I770" t="s">
        <v>993</v>
      </c>
      <c r="J770" t="s">
        <v>951</v>
      </c>
      <c r="K770" t="s">
        <v>994</v>
      </c>
      <c r="L770" t="s">
        <v>951</v>
      </c>
      <c r="M770" t="s">
        <v>980</v>
      </c>
      <c r="N770" t="s">
        <v>958</v>
      </c>
      <c r="O770" t="s">
        <v>959</v>
      </c>
    </row>
    <row r="771" spans="1:15" x14ac:dyDescent="0.25">
      <c r="A771" t="s">
        <v>946</v>
      </c>
      <c r="B771" t="s">
        <v>947</v>
      </c>
      <c r="C771" s="65">
        <v>46202</v>
      </c>
      <c r="D771">
        <v>24049</v>
      </c>
      <c r="E771">
        <v>67321835</v>
      </c>
      <c r="F771" t="s">
        <v>962</v>
      </c>
      <c r="G771" t="s">
        <v>983</v>
      </c>
      <c r="H771">
        <v>5000000</v>
      </c>
      <c r="I771" t="s">
        <v>987</v>
      </c>
      <c r="J771" t="s">
        <v>951</v>
      </c>
      <c r="K771" t="s">
        <v>988</v>
      </c>
      <c r="L771" t="s">
        <v>951</v>
      </c>
      <c r="M771" t="s">
        <v>986</v>
      </c>
      <c r="N771" t="s">
        <v>958</v>
      </c>
      <c r="O771" t="s">
        <v>959</v>
      </c>
    </row>
    <row r="772" spans="1:15" x14ac:dyDescent="0.25">
      <c r="A772" t="s">
        <v>946</v>
      </c>
      <c r="B772" t="s">
        <v>947</v>
      </c>
      <c r="C772" s="65">
        <v>46202</v>
      </c>
      <c r="D772">
        <v>24050</v>
      </c>
      <c r="E772">
        <v>67321896</v>
      </c>
      <c r="F772" t="s">
        <v>962</v>
      </c>
      <c r="G772" t="s">
        <v>983</v>
      </c>
      <c r="H772">
        <v>5000000</v>
      </c>
      <c r="I772" t="s">
        <v>987</v>
      </c>
      <c r="J772" t="s">
        <v>951</v>
      </c>
      <c r="K772" t="s">
        <v>988</v>
      </c>
      <c r="L772" t="s">
        <v>951</v>
      </c>
      <c r="M772" t="s">
        <v>986</v>
      </c>
      <c r="N772" t="s">
        <v>958</v>
      </c>
      <c r="O772" t="s">
        <v>959</v>
      </c>
    </row>
    <row r="773" spans="1:15" x14ac:dyDescent="0.25">
      <c r="A773" t="s">
        <v>946</v>
      </c>
      <c r="B773" t="s">
        <v>947</v>
      </c>
      <c r="C773" s="65">
        <v>46202</v>
      </c>
      <c r="D773">
        <v>24051</v>
      </c>
      <c r="E773">
        <v>67321962</v>
      </c>
      <c r="F773" t="s">
        <v>962</v>
      </c>
      <c r="G773" t="s">
        <v>983</v>
      </c>
      <c r="H773">
        <v>5000000</v>
      </c>
      <c r="I773" t="s">
        <v>987</v>
      </c>
      <c r="J773" t="s">
        <v>951</v>
      </c>
      <c r="K773" t="s">
        <v>988</v>
      </c>
      <c r="L773" t="s">
        <v>951</v>
      </c>
      <c r="M773" t="s">
        <v>986</v>
      </c>
      <c r="N773" t="s">
        <v>958</v>
      </c>
      <c r="O773" t="s">
        <v>959</v>
      </c>
    </row>
    <row r="774" spans="1:15" x14ac:dyDescent="0.25">
      <c r="A774" t="s">
        <v>946</v>
      </c>
      <c r="B774" t="s">
        <v>947</v>
      </c>
      <c r="C774" s="65">
        <v>46202</v>
      </c>
      <c r="D774">
        <v>24052</v>
      </c>
      <c r="E774">
        <v>67322021</v>
      </c>
      <c r="F774" t="s">
        <v>962</v>
      </c>
      <c r="G774" t="s">
        <v>983</v>
      </c>
      <c r="H774">
        <v>5000000</v>
      </c>
      <c r="I774" t="s">
        <v>987</v>
      </c>
      <c r="J774" t="s">
        <v>951</v>
      </c>
      <c r="K774" t="s">
        <v>988</v>
      </c>
      <c r="L774" t="s">
        <v>951</v>
      </c>
      <c r="M774" t="s">
        <v>986</v>
      </c>
      <c r="N774" t="s">
        <v>958</v>
      </c>
      <c r="O774" t="s">
        <v>959</v>
      </c>
    </row>
    <row r="775" spans="1:15" x14ac:dyDescent="0.25">
      <c r="A775" t="s">
        <v>946</v>
      </c>
      <c r="B775" t="s">
        <v>947</v>
      </c>
      <c r="C775" s="65">
        <v>46203</v>
      </c>
      <c r="D775">
        <v>23828</v>
      </c>
      <c r="E775">
        <v>1</v>
      </c>
      <c r="F775" t="s">
        <v>962</v>
      </c>
      <c r="G775" t="s">
        <v>977</v>
      </c>
      <c r="H775">
        <v>1500000</v>
      </c>
      <c r="I775" t="s">
        <v>968</v>
      </c>
      <c r="J775" t="s">
        <v>951</v>
      </c>
      <c r="K775" t="s">
        <v>969</v>
      </c>
      <c r="L775" t="s">
        <v>951</v>
      </c>
      <c r="M775" t="s">
        <v>980</v>
      </c>
      <c r="N775" t="s">
        <v>958</v>
      </c>
      <c r="O775" t="s">
        <v>959</v>
      </c>
    </row>
    <row r="776" spans="1:15" x14ac:dyDescent="0.25">
      <c r="A776" t="s">
        <v>946</v>
      </c>
      <c r="B776" t="s">
        <v>947</v>
      </c>
      <c r="C776" s="65">
        <v>46203</v>
      </c>
      <c r="D776">
        <v>23842</v>
      </c>
      <c r="E776">
        <v>5</v>
      </c>
      <c r="F776" t="s">
        <v>962</v>
      </c>
      <c r="G776" t="s">
        <v>977</v>
      </c>
      <c r="H776">
        <v>1381275</v>
      </c>
      <c r="I776" t="s">
        <v>968</v>
      </c>
      <c r="J776" t="s">
        <v>951</v>
      </c>
      <c r="K776" t="s">
        <v>969</v>
      </c>
      <c r="L776" t="s">
        <v>951</v>
      </c>
      <c r="M776" t="s">
        <v>980</v>
      </c>
      <c r="N776" t="s">
        <v>958</v>
      </c>
      <c r="O776" t="s">
        <v>959</v>
      </c>
    </row>
    <row r="777" spans="1:15" x14ac:dyDescent="0.25">
      <c r="A777" t="s">
        <v>946</v>
      </c>
      <c r="B777" t="s">
        <v>947</v>
      </c>
      <c r="C777" s="65">
        <v>46203</v>
      </c>
      <c r="D777">
        <v>23851</v>
      </c>
      <c r="E777">
        <v>29427205</v>
      </c>
      <c r="F777" t="s">
        <v>962</v>
      </c>
      <c r="G777" t="s">
        <v>989</v>
      </c>
      <c r="H777">
        <v>2359320.5</v>
      </c>
      <c r="I777" t="s">
        <v>990</v>
      </c>
      <c r="J777" t="s">
        <v>951</v>
      </c>
      <c r="K777" t="s">
        <v>991</v>
      </c>
      <c r="L777" t="s">
        <v>951</v>
      </c>
      <c r="M777" t="s">
        <v>992</v>
      </c>
      <c r="N777" t="s">
        <v>958</v>
      </c>
      <c r="O777" t="s">
        <v>959</v>
      </c>
    </row>
    <row r="778" spans="1:15" x14ac:dyDescent="0.25">
      <c r="A778" t="s">
        <v>946</v>
      </c>
      <c r="B778" t="s">
        <v>947</v>
      </c>
      <c r="C778" s="65">
        <v>46203</v>
      </c>
      <c r="D778">
        <v>23857</v>
      </c>
      <c r="E778">
        <v>78056236</v>
      </c>
      <c r="F778" t="s">
        <v>962</v>
      </c>
      <c r="G778" t="s">
        <v>967</v>
      </c>
      <c r="H778">
        <v>1420000</v>
      </c>
      <c r="I778" t="s">
        <v>968</v>
      </c>
      <c r="J778" t="s">
        <v>951</v>
      </c>
      <c r="K778" t="s">
        <v>969</v>
      </c>
      <c r="L778" t="s">
        <v>951</v>
      </c>
      <c r="M778" t="s">
        <v>970</v>
      </c>
      <c r="N778" t="s">
        <v>958</v>
      </c>
      <c r="O778" t="s">
        <v>959</v>
      </c>
    </row>
    <row r="779" spans="1:15" x14ac:dyDescent="0.25">
      <c r="A779" t="s">
        <v>946</v>
      </c>
      <c r="B779" t="s">
        <v>947</v>
      </c>
      <c r="C779" s="65">
        <v>46203</v>
      </c>
      <c r="D779">
        <v>23866</v>
      </c>
      <c r="E779">
        <v>78056245</v>
      </c>
      <c r="F779" t="s">
        <v>962</v>
      </c>
      <c r="G779" t="s">
        <v>967</v>
      </c>
      <c r="H779">
        <v>932000</v>
      </c>
      <c r="I779" t="s">
        <v>968</v>
      </c>
      <c r="J779" t="s">
        <v>951</v>
      </c>
      <c r="K779" t="s">
        <v>969</v>
      </c>
      <c r="L779" t="s">
        <v>951</v>
      </c>
      <c r="M779" t="s">
        <v>970</v>
      </c>
      <c r="N779" t="s">
        <v>958</v>
      </c>
      <c r="O779" t="s">
        <v>959</v>
      </c>
    </row>
    <row r="780" spans="1:15" x14ac:dyDescent="0.25">
      <c r="A780" t="s">
        <v>946</v>
      </c>
      <c r="B780" t="s">
        <v>947</v>
      </c>
      <c r="C780" s="65">
        <v>46203</v>
      </c>
      <c r="D780">
        <v>23879</v>
      </c>
      <c r="E780">
        <v>12924597</v>
      </c>
      <c r="F780" t="s">
        <v>962</v>
      </c>
      <c r="G780" t="s">
        <v>954</v>
      </c>
      <c r="H780">
        <v>222000</v>
      </c>
      <c r="I780" t="s">
        <v>996</v>
      </c>
      <c r="J780" t="s">
        <v>951</v>
      </c>
      <c r="K780" t="s">
        <v>997</v>
      </c>
      <c r="L780" t="s">
        <v>951</v>
      </c>
      <c r="M780" t="s">
        <v>957</v>
      </c>
      <c r="N780" t="s">
        <v>951</v>
      </c>
      <c r="O780" t="s">
        <v>951</v>
      </c>
    </row>
    <row r="781" spans="1:15" x14ac:dyDescent="0.25">
      <c r="A781" t="s">
        <v>946</v>
      </c>
      <c r="B781" t="s">
        <v>947</v>
      </c>
      <c r="C781" s="65">
        <v>46203</v>
      </c>
      <c r="D781">
        <v>23891</v>
      </c>
      <c r="E781">
        <v>12924578</v>
      </c>
      <c r="F781" t="s">
        <v>962</v>
      </c>
      <c r="G781" t="s">
        <v>954</v>
      </c>
      <c r="H781">
        <v>5866140</v>
      </c>
      <c r="I781" t="s">
        <v>996</v>
      </c>
      <c r="J781" t="s">
        <v>951</v>
      </c>
      <c r="K781" t="s">
        <v>997</v>
      </c>
      <c r="L781" t="s">
        <v>951</v>
      </c>
      <c r="M781" t="s">
        <v>957</v>
      </c>
      <c r="N781" t="s">
        <v>951</v>
      </c>
      <c r="O781" t="s">
        <v>951</v>
      </c>
    </row>
    <row r="782" spans="1:15" x14ac:dyDescent="0.25">
      <c r="A782" t="s">
        <v>946</v>
      </c>
      <c r="B782" t="s">
        <v>947</v>
      </c>
      <c r="C782" s="65">
        <v>46203</v>
      </c>
      <c r="D782">
        <v>23913</v>
      </c>
      <c r="E782">
        <v>78056253</v>
      </c>
      <c r="F782" t="s">
        <v>962</v>
      </c>
      <c r="G782" t="s">
        <v>967</v>
      </c>
      <c r="H782">
        <v>1380000</v>
      </c>
      <c r="I782" t="s">
        <v>968</v>
      </c>
      <c r="J782" t="s">
        <v>951</v>
      </c>
      <c r="K782" t="s">
        <v>969</v>
      </c>
      <c r="L782" t="s">
        <v>951</v>
      </c>
      <c r="M782" t="s">
        <v>970</v>
      </c>
      <c r="N782" t="s">
        <v>958</v>
      </c>
      <c r="O782" t="s">
        <v>959</v>
      </c>
    </row>
    <row r="783" spans="1:15" x14ac:dyDescent="0.25">
      <c r="A783" t="s">
        <v>946</v>
      </c>
      <c r="B783" t="s">
        <v>947</v>
      </c>
      <c r="C783" s="65">
        <v>46203</v>
      </c>
      <c r="D783">
        <v>23960</v>
      </c>
      <c r="E783">
        <v>5074</v>
      </c>
      <c r="F783" t="s">
        <v>962</v>
      </c>
      <c r="G783" t="s">
        <v>977</v>
      </c>
      <c r="H783">
        <v>1300000</v>
      </c>
      <c r="I783" t="s">
        <v>993</v>
      </c>
      <c r="J783" t="s">
        <v>951</v>
      </c>
      <c r="K783" t="s">
        <v>994</v>
      </c>
      <c r="L783" t="s">
        <v>951</v>
      </c>
      <c r="M783" t="s">
        <v>980</v>
      </c>
      <c r="N783" t="s">
        <v>958</v>
      </c>
      <c r="O783" t="s">
        <v>959</v>
      </c>
    </row>
    <row r="784" spans="1:15" x14ac:dyDescent="0.25">
      <c r="A784" t="s">
        <v>946</v>
      </c>
      <c r="B784" t="s">
        <v>947</v>
      </c>
      <c r="C784" s="65">
        <v>46203</v>
      </c>
      <c r="D784">
        <v>24002</v>
      </c>
      <c r="E784">
        <v>4998</v>
      </c>
      <c r="F784" t="s">
        <v>962</v>
      </c>
      <c r="G784" t="s">
        <v>977</v>
      </c>
      <c r="H784">
        <v>860000</v>
      </c>
      <c r="I784" t="s">
        <v>993</v>
      </c>
      <c r="J784" t="s">
        <v>951</v>
      </c>
      <c r="K784" t="s">
        <v>994</v>
      </c>
      <c r="L784" t="s">
        <v>951</v>
      </c>
      <c r="M784" t="s">
        <v>980</v>
      </c>
      <c r="N784" t="s">
        <v>958</v>
      </c>
      <c r="O784" t="s">
        <v>959</v>
      </c>
    </row>
    <row r="785" spans="1:15" x14ac:dyDescent="0.25">
      <c r="A785" t="s">
        <v>946</v>
      </c>
      <c r="B785" t="s">
        <v>947</v>
      </c>
      <c r="C785" s="65">
        <v>46203</v>
      </c>
      <c r="D785">
        <v>24048</v>
      </c>
      <c r="E785">
        <v>67321766</v>
      </c>
      <c r="F785" t="s">
        <v>962</v>
      </c>
      <c r="G785" t="s">
        <v>983</v>
      </c>
      <c r="H785">
        <v>5000000</v>
      </c>
      <c r="I785" t="s">
        <v>987</v>
      </c>
      <c r="J785" t="s">
        <v>951</v>
      </c>
      <c r="K785" t="s">
        <v>988</v>
      </c>
      <c r="L785" t="s">
        <v>951</v>
      </c>
      <c r="M785" t="s">
        <v>986</v>
      </c>
      <c r="N785" t="s">
        <v>958</v>
      </c>
      <c r="O785" t="s">
        <v>959</v>
      </c>
    </row>
    <row r="786" spans="1:15" x14ac:dyDescent="0.25">
      <c r="A786" t="s">
        <v>946</v>
      </c>
      <c r="B786" t="s">
        <v>947</v>
      </c>
      <c r="C786" s="65">
        <v>46204</v>
      </c>
      <c r="D786">
        <v>23884</v>
      </c>
      <c r="E786">
        <v>12795049</v>
      </c>
      <c r="F786" t="s">
        <v>948</v>
      </c>
      <c r="G786" t="s">
        <v>963</v>
      </c>
      <c r="H786">
        <v>2000000</v>
      </c>
      <c r="I786" t="s">
        <v>996</v>
      </c>
      <c r="J786" t="s">
        <v>951</v>
      </c>
      <c r="K786" t="s">
        <v>997</v>
      </c>
      <c r="L786" t="s">
        <v>951</v>
      </c>
      <c r="M786" t="s">
        <v>966</v>
      </c>
      <c r="N786" t="s">
        <v>951</v>
      </c>
      <c r="O786" t="s">
        <v>951</v>
      </c>
    </row>
    <row r="787" spans="1:15" x14ac:dyDescent="0.25">
      <c r="A787" t="s">
        <v>946</v>
      </c>
      <c r="B787" t="s">
        <v>947</v>
      </c>
      <c r="C787" s="65">
        <v>46204</v>
      </c>
      <c r="D787">
        <v>23905</v>
      </c>
      <c r="E787">
        <v>10169188</v>
      </c>
      <c r="F787" t="s">
        <v>962</v>
      </c>
      <c r="G787" t="s">
        <v>954</v>
      </c>
      <c r="H787">
        <v>10677397.5</v>
      </c>
      <c r="I787" t="s">
        <v>999</v>
      </c>
      <c r="J787" t="s">
        <v>951</v>
      </c>
      <c r="K787" t="s">
        <v>1000</v>
      </c>
      <c r="L787" t="s">
        <v>951</v>
      </c>
      <c r="M787" t="s">
        <v>957</v>
      </c>
      <c r="N787" t="s">
        <v>958</v>
      </c>
      <c r="O787" t="s">
        <v>959</v>
      </c>
    </row>
    <row r="788" spans="1:15" x14ac:dyDescent="0.25">
      <c r="A788" t="s">
        <v>946</v>
      </c>
      <c r="B788" t="s">
        <v>947</v>
      </c>
      <c r="C788" s="65">
        <v>46204</v>
      </c>
      <c r="D788">
        <v>23906</v>
      </c>
      <c r="E788">
        <v>10169189</v>
      </c>
      <c r="F788" t="s">
        <v>962</v>
      </c>
      <c r="G788" t="s">
        <v>954</v>
      </c>
      <c r="H788">
        <v>10677397.5</v>
      </c>
      <c r="I788" t="s">
        <v>999</v>
      </c>
      <c r="J788" t="s">
        <v>951</v>
      </c>
      <c r="K788" t="s">
        <v>1000</v>
      </c>
      <c r="L788" t="s">
        <v>951</v>
      </c>
      <c r="M788" t="s">
        <v>957</v>
      </c>
      <c r="N788" t="s">
        <v>958</v>
      </c>
      <c r="O788" t="s">
        <v>959</v>
      </c>
    </row>
    <row r="789" spans="1:15" x14ac:dyDescent="0.25">
      <c r="A789" t="s">
        <v>946</v>
      </c>
      <c r="B789" t="s">
        <v>947</v>
      </c>
      <c r="C789" s="65">
        <v>46204</v>
      </c>
      <c r="D789">
        <v>23928</v>
      </c>
      <c r="E789">
        <v>29411499</v>
      </c>
      <c r="F789" t="s">
        <v>962</v>
      </c>
      <c r="G789" t="s">
        <v>989</v>
      </c>
      <c r="H789">
        <v>9884160</v>
      </c>
      <c r="I789" t="s">
        <v>1007</v>
      </c>
      <c r="J789" t="s">
        <v>951</v>
      </c>
      <c r="K789" t="s">
        <v>1008</v>
      </c>
      <c r="L789" t="s">
        <v>951</v>
      </c>
      <c r="M789" t="s">
        <v>992</v>
      </c>
      <c r="N789" t="s">
        <v>958</v>
      </c>
      <c r="O789" t="s">
        <v>959</v>
      </c>
    </row>
    <row r="790" spans="1:15" x14ac:dyDescent="0.25">
      <c r="A790" t="s">
        <v>946</v>
      </c>
      <c r="B790" t="s">
        <v>947</v>
      </c>
      <c r="C790" s="65">
        <v>46204</v>
      </c>
      <c r="D790">
        <v>23934</v>
      </c>
      <c r="E790">
        <v>13653743</v>
      </c>
      <c r="F790" t="s">
        <v>962</v>
      </c>
      <c r="G790" t="s">
        <v>963</v>
      </c>
      <c r="H790">
        <v>5356650</v>
      </c>
      <c r="I790" t="s">
        <v>964</v>
      </c>
      <c r="J790" t="s">
        <v>951</v>
      </c>
      <c r="K790" t="s">
        <v>965</v>
      </c>
      <c r="L790" t="s">
        <v>951</v>
      </c>
      <c r="M790" t="s">
        <v>966</v>
      </c>
      <c r="N790" t="s">
        <v>958</v>
      </c>
      <c r="O790" t="s">
        <v>959</v>
      </c>
    </row>
    <row r="791" spans="1:15" x14ac:dyDescent="0.25">
      <c r="A791" t="s">
        <v>946</v>
      </c>
      <c r="B791" t="s">
        <v>947</v>
      </c>
      <c r="C791" s="65">
        <v>46204</v>
      </c>
      <c r="D791">
        <v>23990</v>
      </c>
      <c r="E791">
        <v>40006895</v>
      </c>
      <c r="F791" t="s">
        <v>948</v>
      </c>
      <c r="G791" t="s">
        <v>1023</v>
      </c>
      <c r="H791">
        <v>7944458</v>
      </c>
      <c r="I791" t="s">
        <v>1001</v>
      </c>
      <c r="J791" t="s">
        <v>951</v>
      </c>
      <c r="K791" t="s">
        <v>1002</v>
      </c>
      <c r="L791" t="s">
        <v>951</v>
      </c>
      <c r="M791" t="s">
        <v>1024</v>
      </c>
      <c r="N791" t="s">
        <v>958</v>
      </c>
      <c r="O791" t="s">
        <v>959</v>
      </c>
    </row>
    <row r="792" spans="1:15" x14ac:dyDescent="0.25">
      <c r="A792" t="s">
        <v>946</v>
      </c>
      <c r="B792" t="s">
        <v>947</v>
      </c>
      <c r="C792" s="65">
        <v>46204</v>
      </c>
      <c r="D792">
        <v>23997</v>
      </c>
      <c r="E792">
        <v>6871451</v>
      </c>
      <c r="F792" t="s">
        <v>962</v>
      </c>
      <c r="G792" t="s">
        <v>989</v>
      </c>
      <c r="H792">
        <v>5965270</v>
      </c>
      <c r="I792" t="s">
        <v>1001</v>
      </c>
      <c r="J792" t="s">
        <v>951</v>
      </c>
      <c r="K792" t="s">
        <v>1002</v>
      </c>
      <c r="L792" t="s">
        <v>951</v>
      </c>
      <c r="M792" t="s">
        <v>992</v>
      </c>
      <c r="N792" t="s">
        <v>951</v>
      </c>
      <c r="O792" t="s">
        <v>951</v>
      </c>
    </row>
    <row r="793" spans="1:15" x14ac:dyDescent="0.25">
      <c r="A793" t="s">
        <v>946</v>
      </c>
      <c r="B793" t="s">
        <v>947</v>
      </c>
      <c r="C793" s="65">
        <v>46204</v>
      </c>
      <c r="D793">
        <v>23998</v>
      </c>
      <c r="E793">
        <v>40006891</v>
      </c>
      <c r="F793" t="s">
        <v>948</v>
      </c>
      <c r="G793" t="s">
        <v>1023</v>
      </c>
      <c r="H793">
        <v>79399780</v>
      </c>
      <c r="I793" t="s">
        <v>1001</v>
      </c>
      <c r="J793" t="s">
        <v>951</v>
      </c>
      <c r="K793" t="s">
        <v>1002</v>
      </c>
      <c r="L793" t="s">
        <v>951</v>
      </c>
      <c r="M793" t="s">
        <v>1024</v>
      </c>
      <c r="N793" t="s">
        <v>951</v>
      </c>
      <c r="O793" t="s">
        <v>951</v>
      </c>
    </row>
    <row r="794" spans="1:15" x14ac:dyDescent="0.25">
      <c r="A794" t="s">
        <v>946</v>
      </c>
      <c r="B794" t="s">
        <v>947</v>
      </c>
      <c r="C794" s="65">
        <v>46205</v>
      </c>
      <c r="D794">
        <v>23829</v>
      </c>
      <c r="E794">
        <v>2</v>
      </c>
      <c r="F794" t="s">
        <v>962</v>
      </c>
      <c r="G794" t="s">
        <v>977</v>
      </c>
      <c r="H794">
        <v>1479937.5</v>
      </c>
      <c r="I794" t="s">
        <v>968</v>
      </c>
      <c r="J794" t="s">
        <v>951</v>
      </c>
      <c r="K794" t="s">
        <v>969</v>
      </c>
      <c r="L794" t="s">
        <v>951</v>
      </c>
      <c r="M794" t="s">
        <v>980</v>
      </c>
      <c r="N794" t="s">
        <v>958</v>
      </c>
      <c r="O794" t="s">
        <v>959</v>
      </c>
    </row>
    <row r="795" spans="1:15" x14ac:dyDescent="0.25">
      <c r="A795" t="s">
        <v>946</v>
      </c>
      <c r="B795" t="s">
        <v>947</v>
      </c>
      <c r="C795" s="65">
        <v>46205</v>
      </c>
      <c r="D795">
        <v>23858</v>
      </c>
      <c r="E795">
        <v>78056237</v>
      </c>
      <c r="F795" t="s">
        <v>962</v>
      </c>
      <c r="G795" t="s">
        <v>967</v>
      </c>
      <c r="H795">
        <v>1420000</v>
      </c>
      <c r="I795" t="s">
        <v>968</v>
      </c>
      <c r="J795" t="s">
        <v>951</v>
      </c>
      <c r="K795" t="s">
        <v>969</v>
      </c>
      <c r="L795" t="s">
        <v>951</v>
      </c>
      <c r="M795" t="s">
        <v>970</v>
      </c>
      <c r="N795" t="s">
        <v>958</v>
      </c>
      <c r="O795" t="s">
        <v>959</v>
      </c>
    </row>
    <row r="796" spans="1:15" x14ac:dyDescent="0.25">
      <c r="A796" t="s">
        <v>946</v>
      </c>
      <c r="B796" t="s">
        <v>947</v>
      </c>
      <c r="C796" s="65">
        <v>46205</v>
      </c>
      <c r="D796">
        <v>23867</v>
      </c>
      <c r="E796">
        <v>78056246</v>
      </c>
      <c r="F796" t="s">
        <v>962</v>
      </c>
      <c r="G796" t="s">
        <v>967</v>
      </c>
      <c r="H796">
        <v>932000</v>
      </c>
      <c r="I796" t="s">
        <v>968</v>
      </c>
      <c r="J796" t="s">
        <v>951</v>
      </c>
      <c r="K796" t="s">
        <v>969</v>
      </c>
      <c r="L796" t="s">
        <v>951</v>
      </c>
      <c r="M796" t="s">
        <v>970</v>
      </c>
      <c r="N796" t="s">
        <v>958</v>
      </c>
      <c r="O796" t="s">
        <v>959</v>
      </c>
    </row>
    <row r="797" spans="1:15" x14ac:dyDescent="0.25">
      <c r="A797" t="s">
        <v>946</v>
      </c>
      <c r="B797" t="s">
        <v>947</v>
      </c>
      <c r="C797" s="65">
        <v>46205</v>
      </c>
      <c r="D797">
        <v>23907</v>
      </c>
      <c r="E797">
        <v>9845390</v>
      </c>
      <c r="F797" t="s">
        <v>962</v>
      </c>
      <c r="G797" t="s">
        <v>954</v>
      </c>
      <c r="H797">
        <v>10677397.5</v>
      </c>
      <c r="I797" t="s">
        <v>999</v>
      </c>
      <c r="J797" t="s">
        <v>951</v>
      </c>
      <c r="K797" t="s">
        <v>1000</v>
      </c>
      <c r="L797" t="s">
        <v>951</v>
      </c>
      <c r="M797" t="s">
        <v>957</v>
      </c>
      <c r="N797" t="s">
        <v>958</v>
      </c>
      <c r="O797" t="s">
        <v>959</v>
      </c>
    </row>
    <row r="798" spans="1:15" x14ac:dyDescent="0.25">
      <c r="A798" t="s">
        <v>946</v>
      </c>
      <c r="B798" t="s">
        <v>947</v>
      </c>
      <c r="C798" s="65">
        <v>46205</v>
      </c>
      <c r="D798">
        <v>23908</v>
      </c>
      <c r="E798">
        <v>9845391</v>
      </c>
      <c r="F798" t="s">
        <v>962</v>
      </c>
      <c r="G798" t="s">
        <v>954</v>
      </c>
      <c r="H798">
        <v>10677397.5</v>
      </c>
      <c r="I798" t="s">
        <v>999</v>
      </c>
      <c r="J798" t="s">
        <v>951</v>
      </c>
      <c r="K798" t="s">
        <v>1000</v>
      </c>
      <c r="L798" t="s">
        <v>951</v>
      </c>
      <c r="M798" t="s">
        <v>957</v>
      </c>
      <c r="N798" t="s">
        <v>958</v>
      </c>
      <c r="O798" t="s">
        <v>959</v>
      </c>
    </row>
    <row r="799" spans="1:15" x14ac:dyDescent="0.25">
      <c r="A799" t="s">
        <v>946</v>
      </c>
      <c r="B799" t="s">
        <v>947</v>
      </c>
      <c r="C799" s="65">
        <v>46205</v>
      </c>
      <c r="D799">
        <v>23914</v>
      </c>
      <c r="E799">
        <v>78056254</v>
      </c>
      <c r="F799" t="s">
        <v>962</v>
      </c>
      <c r="G799" t="s">
        <v>967</v>
      </c>
      <c r="H799">
        <v>1380000</v>
      </c>
      <c r="I799" t="s">
        <v>968</v>
      </c>
      <c r="J799" t="s">
        <v>951</v>
      </c>
      <c r="K799" t="s">
        <v>969</v>
      </c>
      <c r="L799" t="s">
        <v>951</v>
      </c>
      <c r="M799" t="s">
        <v>970</v>
      </c>
      <c r="N799" t="s">
        <v>958</v>
      </c>
      <c r="O799" t="s">
        <v>959</v>
      </c>
    </row>
    <row r="800" spans="1:15" x14ac:dyDescent="0.25">
      <c r="A800" t="s">
        <v>946</v>
      </c>
      <c r="B800" t="s">
        <v>947</v>
      </c>
      <c r="C800" s="65">
        <v>46205</v>
      </c>
      <c r="D800">
        <v>23932</v>
      </c>
      <c r="E800">
        <v>9894199</v>
      </c>
      <c r="F800" t="s">
        <v>948</v>
      </c>
      <c r="G800" t="s">
        <v>954</v>
      </c>
      <c r="H800">
        <v>6000000</v>
      </c>
      <c r="I800" t="s">
        <v>1019</v>
      </c>
      <c r="J800" t="s">
        <v>951</v>
      </c>
      <c r="K800" t="s">
        <v>1020</v>
      </c>
      <c r="L800" t="s">
        <v>951</v>
      </c>
      <c r="M800" t="s">
        <v>957</v>
      </c>
      <c r="N800" t="s">
        <v>958</v>
      </c>
      <c r="O800" t="s">
        <v>959</v>
      </c>
    </row>
    <row r="801" spans="1:15" x14ac:dyDescent="0.25">
      <c r="A801" t="s">
        <v>946</v>
      </c>
      <c r="B801" t="s">
        <v>947</v>
      </c>
      <c r="C801" s="65">
        <v>46205</v>
      </c>
      <c r="D801">
        <v>23935</v>
      </c>
      <c r="E801">
        <v>13653744</v>
      </c>
      <c r="F801" t="s">
        <v>962</v>
      </c>
      <c r="G801" t="s">
        <v>963</v>
      </c>
      <c r="H801">
        <v>5100000</v>
      </c>
      <c r="I801" t="s">
        <v>964</v>
      </c>
      <c r="J801" t="s">
        <v>951</v>
      </c>
      <c r="K801" t="s">
        <v>965</v>
      </c>
      <c r="L801" t="s">
        <v>951</v>
      </c>
      <c r="M801" t="s">
        <v>966</v>
      </c>
      <c r="N801" t="s">
        <v>958</v>
      </c>
      <c r="O801" t="s">
        <v>959</v>
      </c>
    </row>
    <row r="802" spans="1:15" x14ac:dyDescent="0.25">
      <c r="A802" t="s">
        <v>946</v>
      </c>
      <c r="B802" t="s">
        <v>947</v>
      </c>
      <c r="C802" s="65">
        <v>46205</v>
      </c>
      <c r="D802">
        <v>24003</v>
      </c>
      <c r="E802">
        <v>4999</v>
      </c>
      <c r="F802" t="s">
        <v>962</v>
      </c>
      <c r="G802" t="s">
        <v>977</v>
      </c>
      <c r="H802">
        <v>860000</v>
      </c>
      <c r="I802" t="s">
        <v>993</v>
      </c>
      <c r="J802" t="s">
        <v>951</v>
      </c>
      <c r="K802" t="s">
        <v>994</v>
      </c>
      <c r="L802" t="s">
        <v>951</v>
      </c>
      <c r="M802" t="s">
        <v>980</v>
      </c>
      <c r="N802" t="s">
        <v>958</v>
      </c>
      <c r="O802" t="s">
        <v>959</v>
      </c>
    </row>
    <row r="803" spans="1:15" x14ac:dyDescent="0.25">
      <c r="A803" t="s">
        <v>946</v>
      </c>
      <c r="B803" t="s">
        <v>947</v>
      </c>
      <c r="C803" s="65">
        <v>46205</v>
      </c>
      <c r="D803">
        <v>24042</v>
      </c>
      <c r="E803">
        <v>6142</v>
      </c>
      <c r="F803" t="s">
        <v>948</v>
      </c>
      <c r="G803" t="s">
        <v>977</v>
      </c>
      <c r="H803">
        <v>1000000</v>
      </c>
      <c r="I803" t="s">
        <v>1019</v>
      </c>
      <c r="J803" t="s">
        <v>951</v>
      </c>
      <c r="K803" t="s">
        <v>1020</v>
      </c>
      <c r="L803" t="s">
        <v>951</v>
      </c>
      <c r="M803" t="s">
        <v>980</v>
      </c>
      <c r="N803" t="s">
        <v>958</v>
      </c>
      <c r="O803" t="s">
        <v>959</v>
      </c>
    </row>
    <row r="804" spans="1:15" x14ac:dyDescent="0.25">
      <c r="A804" t="s">
        <v>946</v>
      </c>
      <c r="B804" t="s">
        <v>947</v>
      </c>
      <c r="C804" s="65">
        <v>46205</v>
      </c>
      <c r="D804">
        <v>24057</v>
      </c>
      <c r="E804">
        <v>9619</v>
      </c>
      <c r="F804" t="s">
        <v>948</v>
      </c>
      <c r="G804" t="s">
        <v>967</v>
      </c>
      <c r="H804">
        <v>2255800</v>
      </c>
      <c r="I804" t="s">
        <v>990</v>
      </c>
      <c r="J804" t="s">
        <v>951</v>
      </c>
      <c r="K804" t="s">
        <v>991</v>
      </c>
      <c r="L804" t="s">
        <v>951</v>
      </c>
      <c r="M804" t="s">
        <v>970</v>
      </c>
      <c r="N804" t="s">
        <v>958</v>
      </c>
      <c r="O804" t="s">
        <v>959</v>
      </c>
    </row>
    <row r="805" spans="1:15" x14ac:dyDescent="0.25">
      <c r="A805" t="s">
        <v>946</v>
      </c>
      <c r="B805" t="s">
        <v>947</v>
      </c>
      <c r="C805" s="65">
        <v>46206</v>
      </c>
      <c r="D805">
        <v>23848</v>
      </c>
      <c r="E805">
        <v>7084</v>
      </c>
      <c r="F805" t="s">
        <v>962</v>
      </c>
      <c r="G805" t="s">
        <v>977</v>
      </c>
      <c r="H805">
        <v>28607040</v>
      </c>
      <c r="I805" t="s">
        <v>978</v>
      </c>
      <c r="J805" t="s">
        <v>951</v>
      </c>
      <c r="K805" t="s">
        <v>979</v>
      </c>
      <c r="L805" t="s">
        <v>951</v>
      </c>
      <c r="M805" t="s">
        <v>980</v>
      </c>
      <c r="N805" t="s">
        <v>951</v>
      </c>
      <c r="O805" t="s">
        <v>951</v>
      </c>
    </row>
    <row r="806" spans="1:15" x14ac:dyDescent="0.25">
      <c r="A806" t="s">
        <v>946</v>
      </c>
      <c r="B806" t="s">
        <v>947</v>
      </c>
      <c r="C806" s="65">
        <v>46206</v>
      </c>
      <c r="D806">
        <v>23859</v>
      </c>
      <c r="E806">
        <v>78056238</v>
      </c>
      <c r="F806" t="s">
        <v>962</v>
      </c>
      <c r="G806" t="s">
        <v>967</v>
      </c>
      <c r="H806">
        <v>1420000</v>
      </c>
      <c r="I806" t="s">
        <v>968</v>
      </c>
      <c r="J806" t="s">
        <v>951</v>
      </c>
      <c r="K806" t="s">
        <v>969</v>
      </c>
      <c r="L806" t="s">
        <v>951</v>
      </c>
      <c r="M806" t="s">
        <v>970</v>
      </c>
      <c r="N806" t="s">
        <v>958</v>
      </c>
      <c r="O806" t="s">
        <v>959</v>
      </c>
    </row>
    <row r="807" spans="1:15" x14ac:dyDescent="0.25">
      <c r="A807" t="s">
        <v>946</v>
      </c>
      <c r="B807" t="s">
        <v>947</v>
      </c>
      <c r="C807" s="65">
        <v>46206</v>
      </c>
      <c r="D807">
        <v>23868</v>
      </c>
      <c r="E807">
        <v>78056247</v>
      </c>
      <c r="F807" t="s">
        <v>962</v>
      </c>
      <c r="G807" t="s">
        <v>967</v>
      </c>
      <c r="H807">
        <v>932000</v>
      </c>
      <c r="I807" t="s">
        <v>968</v>
      </c>
      <c r="J807" t="s">
        <v>951</v>
      </c>
      <c r="K807" t="s">
        <v>969</v>
      </c>
      <c r="L807" t="s">
        <v>951</v>
      </c>
      <c r="M807" t="s">
        <v>970</v>
      </c>
      <c r="N807" t="s">
        <v>958</v>
      </c>
      <c r="O807" t="s">
        <v>959</v>
      </c>
    </row>
    <row r="808" spans="1:15" x14ac:dyDescent="0.25">
      <c r="A808" t="s">
        <v>946</v>
      </c>
      <c r="B808" t="s">
        <v>947</v>
      </c>
      <c r="C808" s="65">
        <v>46206</v>
      </c>
      <c r="D808">
        <v>23915</v>
      </c>
      <c r="E808">
        <v>78056255</v>
      </c>
      <c r="F808" t="s">
        <v>962</v>
      </c>
      <c r="G808" t="s">
        <v>967</v>
      </c>
      <c r="H808">
        <v>1380000</v>
      </c>
      <c r="I808" t="s">
        <v>968</v>
      </c>
      <c r="J808" t="s">
        <v>951</v>
      </c>
      <c r="K808" t="s">
        <v>969</v>
      </c>
      <c r="L808" t="s">
        <v>951</v>
      </c>
      <c r="M808" t="s">
        <v>970</v>
      </c>
      <c r="N808" t="s">
        <v>958</v>
      </c>
      <c r="O808" t="s">
        <v>959</v>
      </c>
    </row>
    <row r="809" spans="1:15" x14ac:dyDescent="0.25">
      <c r="A809" t="s">
        <v>946</v>
      </c>
      <c r="B809" t="s">
        <v>947</v>
      </c>
      <c r="C809" s="65">
        <v>46206</v>
      </c>
      <c r="D809">
        <v>23936</v>
      </c>
      <c r="E809">
        <v>13653745</v>
      </c>
      <c r="F809" t="s">
        <v>962</v>
      </c>
      <c r="G809" t="s">
        <v>963</v>
      </c>
      <c r="H809">
        <v>5100000</v>
      </c>
      <c r="I809" t="s">
        <v>964</v>
      </c>
      <c r="J809" t="s">
        <v>951</v>
      </c>
      <c r="K809" t="s">
        <v>965</v>
      </c>
      <c r="L809" t="s">
        <v>951</v>
      </c>
      <c r="M809" t="s">
        <v>966</v>
      </c>
      <c r="N809" t="s">
        <v>958</v>
      </c>
      <c r="O809" t="s">
        <v>959</v>
      </c>
    </row>
    <row r="810" spans="1:15" x14ac:dyDescent="0.25">
      <c r="A810" t="s">
        <v>946</v>
      </c>
      <c r="B810" t="s">
        <v>947</v>
      </c>
      <c r="C810" s="65">
        <v>46206</v>
      </c>
      <c r="D810">
        <v>23977</v>
      </c>
      <c r="E810">
        <v>172</v>
      </c>
      <c r="F810" t="s">
        <v>962</v>
      </c>
      <c r="G810" t="s">
        <v>977</v>
      </c>
      <c r="H810">
        <v>3032000</v>
      </c>
      <c r="I810" t="s">
        <v>1003</v>
      </c>
      <c r="J810" t="s">
        <v>951</v>
      </c>
      <c r="K810" t="s">
        <v>1004</v>
      </c>
      <c r="L810" t="s">
        <v>951</v>
      </c>
      <c r="M810" t="s">
        <v>980</v>
      </c>
      <c r="N810" t="s">
        <v>958</v>
      </c>
      <c r="O810" t="s">
        <v>959</v>
      </c>
    </row>
    <row r="811" spans="1:15" x14ac:dyDescent="0.25">
      <c r="A811" t="s">
        <v>946</v>
      </c>
      <c r="B811" t="s">
        <v>947</v>
      </c>
      <c r="C811" s="65">
        <v>46206</v>
      </c>
      <c r="D811">
        <v>23978</v>
      </c>
      <c r="E811">
        <v>173</v>
      </c>
      <c r="F811" t="s">
        <v>962</v>
      </c>
      <c r="G811" t="s">
        <v>977</v>
      </c>
      <c r="H811">
        <v>3000100</v>
      </c>
      <c r="I811" t="s">
        <v>1003</v>
      </c>
      <c r="J811" t="s">
        <v>951</v>
      </c>
      <c r="K811" t="s">
        <v>1004</v>
      </c>
      <c r="L811" t="s">
        <v>951</v>
      </c>
      <c r="M811" t="s">
        <v>980</v>
      </c>
      <c r="N811" t="s">
        <v>958</v>
      </c>
      <c r="O811" t="s">
        <v>959</v>
      </c>
    </row>
    <row r="812" spans="1:15" x14ac:dyDescent="0.25">
      <c r="A812" t="s">
        <v>946</v>
      </c>
      <c r="B812" t="s">
        <v>947</v>
      </c>
      <c r="C812" s="65">
        <v>46206</v>
      </c>
      <c r="D812">
        <v>23979</v>
      </c>
      <c r="E812">
        <v>174</v>
      </c>
      <c r="F812" t="s">
        <v>962</v>
      </c>
      <c r="G812" t="s">
        <v>977</v>
      </c>
      <c r="H812">
        <v>3000100</v>
      </c>
      <c r="I812" t="s">
        <v>1003</v>
      </c>
      <c r="J812" t="s">
        <v>951</v>
      </c>
      <c r="K812" t="s">
        <v>1004</v>
      </c>
      <c r="L812" t="s">
        <v>951</v>
      </c>
      <c r="M812" t="s">
        <v>980</v>
      </c>
      <c r="N812" t="s">
        <v>958</v>
      </c>
      <c r="O812" t="s">
        <v>959</v>
      </c>
    </row>
    <row r="813" spans="1:15" x14ac:dyDescent="0.25">
      <c r="A813" t="s">
        <v>946</v>
      </c>
      <c r="B813" t="s">
        <v>947</v>
      </c>
      <c r="C813" s="65">
        <v>46206</v>
      </c>
      <c r="D813">
        <v>23980</v>
      </c>
      <c r="E813">
        <v>175</v>
      </c>
      <c r="F813" t="s">
        <v>962</v>
      </c>
      <c r="G813" t="s">
        <v>977</v>
      </c>
      <c r="H813">
        <v>1000100</v>
      </c>
      <c r="I813" t="s">
        <v>1003</v>
      </c>
      <c r="J813" t="s">
        <v>951</v>
      </c>
      <c r="K813" t="s">
        <v>1004</v>
      </c>
      <c r="L813" t="s">
        <v>951</v>
      </c>
      <c r="M813" t="s">
        <v>980</v>
      </c>
      <c r="N813" t="s">
        <v>958</v>
      </c>
      <c r="O813" t="s">
        <v>959</v>
      </c>
    </row>
    <row r="814" spans="1:15" x14ac:dyDescent="0.25">
      <c r="A814" t="s">
        <v>946</v>
      </c>
      <c r="B814" t="s">
        <v>947</v>
      </c>
      <c r="C814" s="65">
        <v>46206</v>
      </c>
      <c r="D814">
        <v>23991</v>
      </c>
      <c r="E814">
        <v>6856037</v>
      </c>
      <c r="F814" t="s">
        <v>962</v>
      </c>
      <c r="G814" t="s">
        <v>989</v>
      </c>
      <c r="H814">
        <v>30000000</v>
      </c>
      <c r="I814" t="s">
        <v>1001</v>
      </c>
      <c r="J814" t="s">
        <v>951</v>
      </c>
      <c r="K814" t="s">
        <v>1002</v>
      </c>
      <c r="L814" t="s">
        <v>951</v>
      </c>
      <c r="M814" t="s">
        <v>992</v>
      </c>
      <c r="N814" t="s">
        <v>951</v>
      </c>
      <c r="O814" t="s">
        <v>951</v>
      </c>
    </row>
    <row r="815" spans="1:15" x14ac:dyDescent="0.25">
      <c r="A815" t="s">
        <v>946</v>
      </c>
      <c r="B815" t="s">
        <v>947</v>
      </c>
      <c r="C815" s="65">
        <v>46206</v>
      </c>
      <c r="D815">
        <v>23992</v>
      </c>
      <c r="E815">
        <v>6856038</v>
      </c>
      <c r="F815" t="s">
        <v>962</v>
      </c>
      <c r="G815" t="s">
        <v>989</v>
      </c>
      <c r="H815">
        <v>40000000</v>
      </c>
      <c r="I815" t="s">
        <v>1001</v>
      </c>
      <c r="J815" t="s">
        <v>951</v>
      </c>
      <c r="K815" t="s">
        <v>1002</v>
      </c>
      <c r="L815" t="s">
        <v>951</v>
      </c>
      <c r="M815" t="s">
        <v>992</v>
      </c>
      <c r="N815" t="s">
        <v>951</v>
      </c>
      <c r="O815" t="s">
        <v>951</v>
      </c>
    </row>
    <row r="816" spans="1:15" x14ac:dyDescent="0.25">
      <c r="A816" t="s">
        <v>946</v>
      </c>
      <c r="B816" t="s">
        <v>947</v>
      </c>
      <c r="C816" s="65">
        <v>46206</v>
      </c>
      <c r="D816">
        <v>23993</v>
      </c>
      <c r="E816">
        <v>6856039</v>
      </c>
      <c r="F816" t="s">
        <v>962</v>
      </c>
      <c r="G816" t="s">
        <v>989</v>
      </c>
      <c r="H816">
        <v>50000000</v>
      </c>
      <c r="I816" t="s">
        <v>1001</v>
      </c>
      <c r="J816" t="s">
        <v>951</v>
      </c>
      <c r="K816" t="s">
        <v>1002</v>
      </c>
      <c r="L816" t="s">
        <v>951</v>
      </c>
      <c r="M816" t="s">
        <v>992</v>
      </c>
      <c r="N816" t="s">
        <v>951</v>
      </c>
      <c r="O816" t="s">
        <v>951</v>
      </c>
    </row>
    <row r="817" spans="1:15" x14ac:dyDescent="0.25">
      <c r="A817" t="s">
        <v>946</v>
      </c>
      <c r="B817" t="s">
        <v>947</v>
      </c>
      <c r="C817" s="65">
        <v>46206</v>
      </c>
      <c r="D817">
        <v>24004</v>
      </c>
      <c r="E817">
        <v>5000</v>
      </c>
      <c r="F817" t="s">
        <v>962</v>
      </c>
      <c r="G817" t="s">
        <v>977</v>
      </c>
      <c r="H817">
        <v>808400</v>
      </c>
      <c r="I817" t="s">
        <v>993</v>
      </c>
      <c r="J817" t="s">
        <v>951</v>
      </c>
      <c r="K817" t="s">
        <v>994</v>
      </c>
      <c r="L817" t="s">
        <v>951</v>
      </c>
      <c r="M817" t="s">
        <v>980</v>
      </c>
      <c r="N817" t="s">
        <v>958</v>
      </c>
      <c r="O817" t="s">
        <v>959</v>
      </c>
    </row>
    <row r="818" spans="1:15" x14ac:dyDescent="0.25">
      <c r="A818" t="s">
        <v>946</v>
      </c>
      <c r="B818" t="s">
        <v>947</v>
      </c>
      <c r="C818" s="65">
        <v>46209</v>
      </c>
      <c r="D818">
        <v>23860</v>
      </c>
      <c r="E818">
        <v>78056239</v>
      </c>
      <c r="F818" t="s">
        <v>962</v>
      </c>
      <c r="G818" t="s">
        <v>967</v>
      </c>
      <c r="H818">
        <v>1420000</v>
      </c>
      <c r="I818" t="s">
        <v>968</v>
      </c>
      <c r="J818" t="s">
        <v>951</v>
      </c>
      <c r="K818" t="s">
        <v>969</v>
      </c>
      <c r="L818" t="s">
        <v>951</v>
      </c>
      <c r="M818" t="s">
        <v>970</v>
      </c>
      <c r="N818" t="s">
        <v>958</v>
      </c>
      <c r="O818" t="s">
        <v>959</v>
      </c>
    </row>
    <row r="819" spans="1:15" x14ac:dyDescent="0.25">
      <c r="A819" t="s">
        <v>946</v>
      </c>
      <c r="B819" t="s">
        <v>947</v>
      </c>
      <c r="C819" s="65">
        <v>46209</v>
      </c>
      <c r="D819">
        <v>23869</v>
      </c>
      <c r="E819">
        <v>78056248</v>
      </c>
      <c r="F819" t="s">
        <v>962</v>
      </c>
      <c r="G819" t="s">
        <v>967</v>
      </c>
      <c r="H819">
        <v>932000</v>
      </c>
      <c r="I819" t="s">
        <v>968</v>
      </c>
      <c r="J819" t="s">
        <v>951</v>
      </c>
      <c r="K819" t="s">
        <v>969</v>
      </c>
      <c r="L819" t="s">
        <v>951</v>
      </c>
      <c r="M819" t="s">
        <v>970</v>
      </c>
      <c r="N819" t="s">
        <v>958</v>
      </c>
      <c r="O819" t="s">
        <v>959</v>
      </c>
    </row>
    <row r="820" spans="1:15" x14ac:dyDescent="0.25">
      <c r="A820" t="s">
        <v>946</v>
      </c>
      <c r="B820" t="s">
        <v>947</v>
      </c>
      <c r="C820" s="65">
        <v>46209</v>
      </c>
      <c r="D820">
        <v>23873</v>
      </c>
      <c r="E820">
        <v>12924590</v>
      </c>
      <c r="F820" t="s">
        <v>962</v>
      </c>
      <c r="G820" t="s">
        <v>954</v>
      </c>
      <c r="H820">
        <v>10000000</v>
      </c>
      <c r="I820" t="s">
        <v>996</v>
      </c>
      <c r="J820" t="s">
        <v>951</v>
      </c>
      <c r="K820" t="s">
        <v>997</v>
      </c>
      <c r="L820" t="s">
        <v>951</v>
      </c>
      <c r="M820" t="s">
        <v>957</v>
      </c>
      <c r="N820" t="s">
        <v>951</v>
      </c>
      <c r="O820" t="s">
        <v>951</v>
      </c>
    </row>
    <row r="821" spans="1:15" x14ac:dyDescent="0.25">
      <c r="A821" t="s">
        <v>946</v>
      </c>
      <c r="B821" t="s">
        <v>947</v>
      </c>
      <c r="C821" s="65">
        <v>46209</v>
      </c>
      <c r="D821">
        <v>23874</v>
      </c>
      <c r="E821">
        <v>12924591</v>
      </c>
      <c r="F821" t="s">
        <v>962</v>
      </c>
      <c r="G821" t="s">
        <v>954</v>
      </c>
      <c r="H821">
        <v>10000000</v>
      </c>
      <c r="I821" t="s">
        <v>996</v>
      </c>
      <c r="J821" t="s">
        <v>951</v>
      </c>
      <c r="K821" t="s">
        <v>997</v>
      </c>
      <c r="L821" t="s">
        <v>951</v>
      </c>
      <c r="M821" t="s">
        <v>957</v>
      </c>
      <c r="N821" t="s">
        <v>951</v>
      </c>
      <c r="O821" t="s">
        <v>951</v>
      </c>
    </row>
    <row r="822" spans="1:15" x14ac:dyDescent="0.25">
      <c r="A822" t="s">
        <v>946</v>
      </c>
      <c r="B822" t="s">
        <v>947</v>
      </c>
      <c r="C822" s="65">
        <v>46209</v>
      </c>
      <c r="D822">
        <v>23875</v>
      </c>
      <c r="E822">
        <v>12924592</v>
      </c>
      <c r="F822" t="s">
        <v>962</v>
      </c>
      <c r="G822" t="s">
        <v>954</v>
      </c>
      <c r="H822">
        <v>10000000</v>
      </c>
      <c r="I822" t="s">
        <v>996</v>
      </c>
      <c r="J822" t="s">
        <v>951</v>
      </c>
      <c r="K822" t="s">
        <v>997</v>
      </c>
      <c r="L822" t="s">
        <v>951</v>
      </c>
      <c r="M822" t="s">
        <v>957</v>
      </c>
      <c r="N822" t="s">
        <v>951</v>
      </c>
      <c r="O822" t="s">
        <v>951</v>
      </c>
    </row>
    <row r="823" spans="1:15" x14ac:dyDescent="0.25">
      <c r="A823" t="s">
        <v>946</v>
      </c>
      <c r="B823" t="s">
        <v>947</v>
      </c>
      <c r="C823" s="65">
        <v>46209</v>
      </c>
      <c r="D823">
        <v>23892</v>
      </c>
      <c r="E823">
        <v>13653631</v>
      </c>
      <c r="F823" t="s">
        <v>962</v>
      </c>
      <c r="G823" t="s">
        <v>963</v>
      </c>
      <c r="H823">
        <v>3977525</v>
      </c>
      <c r="I823" t="s">
        <v>964</v>
      </c>
      <c r="J823" t="s">
        <v>951</v>
      </c>
      <c r="K823" t="s">
        <v>965</v>
      </c>
      <c r="L823" t="s">
        <v>951</v>
      </c>
      <c r="M823" t="s">
        <v>966</v>
      </c>
      <c r="N823" t="s">
        <v>958</v>
      </c>
      <c r="O823" t="s">
        <v>959</v>
      </c>
    </row>
    <row r="824" spans="1:15" x14ac:dyDescent="0.25">
      <c r="A824" t="s">
        <v>946</v>
      </c>
      <c r="B824" t="s">
        <v>947</v>
      </c>
      <c r="C824" s="65">
        <v>46209</v>
      </c>
      <c r="D824">
        <v>23893</v>
      </c>
      <c r="E824">
        <v>13653632</v>
      </c>
      <c r="F824" t="s">
        <v>962</v>
      </c>
      <c r="G824" t="s">
        <v>963</v>
      </c>
      <c r="H824">
        <v>4000000</v>
      </c>
      <c r="I824" t="s">
        <v>964</v>
      </c>
      <c r="J824" t="s">
        <v>951</v>
      </c>
      <c r="K824" t="s">
        <v>965</v>
      </c>
      <c r="L824" t="s">
        <v>951</v>
      </c>
      <c r="M824" t="s">
        <v>966</v>
      </c>
      <c r="N824" t="s">
        <v>958</v>
      </c>
      <c r="O824" t="s">
        <v>959</v>
      </c>
    </row>
    <row r="825" spans="1:15" x14ac:dyDescent="0.25">
      <c r="A825" t="s">
        <v>946</v>
      </c>
      <c r="B825" t="s">
        <v>947</v>
      </c>
      <c r="C825" s="65">
        <v>46209</v>
      </c>
      <c r="D825">
        <v>23894</v>
      </c>
      <c r="E825">
        <v>13653633</v>
      </c>
      <c r="F825" t="s">
        <v>962</v>
      </c>
      <c r="G825" t="s">
        <v>963</v>
      </c>
      <c r="H825">
        <v>4000000</v>
      </c>
      <c r="I825" t="s">
        <v>964</v>
      </c>
      <c r="J825" t="s">
        <v>951</v>
      </c>
      <c r="K825" t="s">
        <v>965</v>
      </c>
      <c r="L825" t="s">
        <v>951</v>
      </c>
      <c r="M825" t="s">
        <v>966</v>
      </c>
      <c r="N825" t="s">
        <v>958</v>
      </c>
      <c r="O825" t="s">
        <v>959</v>
      </c>
    </row>
    <row r="826" spans="1:15" x14ac:dyDescent="0.25">
      <c r="A826" t="s">
        <v>946</v>
      </c>
      <c r="B826" t="s">
        <v>947</v>
      </c>
      <c r="C826" s="65">
        <v>46209</v>
      </c>
      <c r="D826">
        <v>23916</v>
      </c>
      <c r="E826">
        <v>78056256</v>
      </c>
      <c r="F826" t="s">
        <v>962</v>
      </c>
      <c r="G826" t="s">
        <v>967</v>
      </c>
      <c r="H826">
        <v>1380000</v>
      </c>
      <c r="I826" t="s">
        <v>968</v>
      </c>
      <c r="J826" t="s">
        <v>951</v>
      </c>
      <c r="K826" t="s">
        <v>969</v>
      </c>
      <c r="L826" t="s">
        <v>951</v>
      </c>
      <c r="M826" t="s">
        <v>970</v>
      </c>
      <c r="N826" t="s">
        <v>958</v>
      </c>
      <c r="O826" t="s">
        <v>959</v>
      </c>
    </row>
    <row r="827" spans="1:15" x14ac:dyDescent="0.25">
      <c r="A827" t="s">
        <v>946</v>
      </c>
      <c r="B827" t="s">
        <v>947</v>
      </c>
      <c r="C827" s="65">
        <v>46209</v>
      </c>
      <c r="D827">
        <v>23937</v>
      </c>
      <c r="E827">
        <v>13653746</v>
      </c>
      <c r="F827" t="s">
        <v>962</v>
      </c>
      <c r="G827" t="s">
        <v>963</v>
      </c>
      <c r="H827">
        <v>5100000</v>
      </c>
      <c r="I827" t="s">
        <v>964</v>
      </c>
      <c r="J827" t="s">
        <v>951</v>
      </c>
      <c r="K827" t="s">
        <v>965</v>
      </c>
      <c r="L827" t="s">
        <v>951</v>
      </c>
      <c r="M827" t="s">
        <v>966</v>
      </c>
      <c r="N827" t="s">
        <v>958</v>
      </c>
      <c r="O827" t="s">
        <v>959</v>
      </c>
    </row>
    <row r="828" spans="1:15" x14ac:dyDescent="0.25">
      <c r="A828" t="s">
        <v>946</v>
      </c>
      <c r="B828" t="s">
        <v>947</v>
      </c>
      <c r="C828" s="65">
        <v>46209</v>
      </c>
      <c r="D828">
        <v>23938</v>
      </c>
      <c r="E828">
        <v>13653747</v>
      </c>
      <c r="F828" t="s">
        <v>962</v>
      </c>
      <c r="G828" t="s">
        <v>963</v>
      </c>
      <c r="H828">
        <v>5100000</v>
      </c>
      <c r="I828" t="s">
        <v>964</v>
      </c>
      <c r="J828" t="s">
        <v>951</v>
      </c>
      <c r="K828" t="s">
        <v>965</v>
      </c>
      <c r="L828" t="s">
        <v>951</v>
      </c>
      <c r="M828" t="s">
        <v>966</v>
      </c>
      <c r="N828" t="s">
        <v>958</v>
      </c>
      <c r="O828" t="s">
        <v>959</v>
      </c>
    </row>
    <row r="829" spans="1:15" x14ac:dyDescent="0.25">
      <c r="A829" t="s">
        <v>946</v>
      </c>
      <c r="B829" t="s">
        <v>947</v>
      </c>
      <c r="C829" s="65">
        <v>46209</v>
      </c>
      <c r="D829">
        <v>23939</v>
      </c>
      <c r="E829">
        <v>13653748</v>
      </c>
      <c r="F829" t="s">
        <v>962</v>
      </c>
      <c r="G829" t="s">
        <v>963</v>
      </c>
      <c r="H829">
        <v>5100000</v>
      </c>
      <c r="I829" t="s">
        <v>964</v>
      </c>
      <c r="J829" t="s">
        <v>951</v>
      </c>
      <c r="K829" t="s">
        <v>965</v>
      </c>
      <c r="L829" t="s">
        <v>951</v>
      </c>
      <c r="M829" t="s">
        <v>966</v>
      </c>
      <c r="N829" t="s">
        <v>958</v>
      </c>
      <c r="O829" t="s">
        <v>959</v>
      </c>
    </row>
    <row r="830" spans="1:15" x14ac:dyDescent="0.25">
      <c r="A830" t="s">
        <v>946</v>
      </c>
      <c r="B830" t="s">
        <v>947</v>
      </c>
      <c r="C830" s="65">
        <v>46209</v>
      </c>
      <c r="D830">
        <v>23962</v>
      </c>
      <c r="E830">
        <v>5075</v>
      </c>
      <c r="F830" t="s">
        <v>962</v>
      </c>
      <c r="G830" t="s">
        <v>977</v>
      </c>
      <c r="H830">
        <v>1300000</v>
      </c>
      <c r="I830" t="s">
        <v>993</v>
      </c>
      <c r="J830" t="s">
        <v>951</v>
      </c>
      <c r="K830" t="s">
        <v>994</v>
      </c>
      <c r="L830" t="s">
        <v>951</v>
      </c>
      <c r="M830" t="s">
        <v>980</v>
      </c>
      <c r="N830" t="s">
        <v>958</v>
      </c>
      <c r="O830" t="s">
        <v>959</v>
      </c>
    </row>
    <row r="831" spans="1:15" x14ac:dyDescent="0.25">
      <c r="A831" t="s">
        <v>946</v>
      </c>
      <c r="B831" t="s">
        <v>947</v>
      </c>
      <c r="C831" s="65">
        <v>46209</v>
      </c>
      <c r="D831">
        <v>23963</v>
      </c>
      <c r="E831">
        <v>765</v>
      </c>
      <c r="F831" t="s">
        <v>962</v>
      </c>
      <c r="G831" t="s">
        <v>1025</v>
      </c>
      <c r="H831">
        <v>2705140</v>
      </c>
      <c r="I831" t="s">
        <v>1011</v>
      </c>
      <c r="J831" t="s">
        <v>951</v>
      </c>
      <c r="K831" t="s">
        <v>1012</v>
      </c>
      <c r="L831" t="s">
        <v>951</v>
      </c>
      <c r="M831" t="s">
        <v>1026</v>
      </c>
      <c r="N831" t="s">
        <v>958</v>
      </c>
      <c r="O831" t="s">
        <v>959</v>
      </c>
    </row>
    <row r="832" spans="1:15" x14ac:dyDescent="0.25">
      <c r="A832" t="s">
        <v>946</v>
      </c>
      <c r="B832" t="s">
        <v>947</v>
      </c>
      <c r="C832" s="65">
        <v>46209</v>
      </c>
      <c r="D832">
        <v>23964</v>
      </c>
      <c r="E832">
        <v>766</v>
      </c>
      <c r="F832" t="s">
        <v>962</v>
      </c>
      <c r="G832" t="s">
        <v>1025</v>
      </c>
      <c r="H832">
        <v>5000000</v>
      </c>
      <c r="I832" t="s">
        <v>1011</v>
      </c>
      <c r="J832" t="s">
        <v>951</v>
      </c>
      <c r="K832" t="s">
        <v>1012</v>
      </c>
      <c r="L832" t="s">
        <v>951</v>
      </c>
      <c r="M832" t="s">
        <v>1026</v>
      </c>
      <c r="N832" t="s">
        <v>958</v>
      </c>
      <c r="O832" t="s">
        <v>959</v>
      </c>
    </row>
    <row r="833" spans="1:15" x14ac:dyDescent="0.25">
      <c r="A833" t="s">
        <v>946</v>
      </c>
      <c r="B833" t="s">
        <v>947</v>
      </c>
      <c r="C833" s="65">
        <v>46209</v>
      </c>
      <c r="D833">
        <v>23965</v>
      </c>
      <c r="E833">
        <v>767</v>
      </c>
      <c r="F833" t="s">
        <v>962</v>
      </c>
      <c r="G833" t="s">
        <v>1025</v>
      </c>
      <c r="H833">
        <v>5000000</v>
      </c>
      <c r="I833" t="s">
        <v>1011</v>
      </c>
      <c r="J833" t="s">
        <v>951</v>
      </c>
      <c r="K833" t="s">
        <v>1012</v>
      </c>
      <c r="L833" t="s">
        <v>951</v>
      </c>
      <c r="M833" t="s">
        <v>1026</v>
      </c>
      <c r="N833" t="s">
        <v>958</v>
      </c>
      <c r="O833" t="s">
        <v>959</v>
      </c>
    </row>
    <row r="834" spans="1:15" x14ac:dyDescent="0.25">
      <c r="A834" t="s">
        <v>946</v>
      </c>
      <c r="B834" t="s">
        <v>947</v>
      </c>
      <c r="C834" s="65">
        <v>46209</v>
      </c>
      <c r="D834">
        <v>23966</v>
      </c>
      <c r="E834">
        <v>768</v>
      </c>
      <c r="F834" t="s">
        <v>962</v>
      </c>
      <c r="G834" t="s">
        <v>1025</v>
      </c>
      <c r="H834">
        <v>5000000</v>
      </c>
      <c r="I834" t="s">
        <v>1011</v>
      </c>
      <c r="J834" t="s">
        <v>951</v>
      </c>
      <c r="K834" t="s">
        <v>1012</v>
      </c>
      <c r="L834" t="s">
        <v>951</v>
      </c>
      <c r="M834" t="s">
        <v>1026</v>
      </c>
      <c r="N834" t="s">
        <v>958</v>
      </c>
      <c r="O834" t="s">
        <v>959</v>
      </c>
    </row>
    <row r="835" spans="1:15" x14ac:dyDescent="0.25">
      <c r="A835" t="s">
        <v>946</v>
      </c>
      <c r="B835" t="s">
        <v>947</v>
      </c>
      <c r="C835" s="65">
        <v>46209</v>
      </c>
      <c r="D835">
        <v>23967</v>
      </c>
      <c r="E835">
        <v>769</v>
      </c>
      <c r="F835" t="s">
        <v>962</v>
      </c>
      <c r="G835" t="s">
        <v>1025</v>
      </c>
      <c r="H835">
        <v>5000000</v>
      </c>
      <c r="I835" t="s">
        <v>1011</v>
      </c>
      <c r="J835" t="s">
        <v>951</v>
      </c>
      <c r="K835" t="s">
        <v>1012</v>
      </c>
      <c r="L835" t="s">
        <v>951</v>
      </c>
      <c r="M835" t="s">
        <v>1026</v>
      </c>
      <c r="N835" t="s">
        <v>958</v>
      </c>
      <c r="O835" t="s">
        <v>959</v>
      </c>
    </row>
    <row r="836" spans="1:15" x14ac:dyDescent="0.25">
      <c r="A836" t="s">
        <v>946</v>
      </c>
      <c r="B836" t="s">
        <v>947</v>
      </c>
      <c r="C836" s="65">
        <v>46209</v>
      </c>
      <c r="D836">
        <v>23968</v>
      </c>
      <c r="E836">
        <v>770</v>
      </c>
      <c r="F836" t="s">
        <v>962</v>
      </c>
      <c r="G836" t="s">
        <v>1025</v>
      </c>
      <c r="H836">
        <v>5000000</v>
      </c>
      <c r="I836" t="s">
        <v>1011</v>
      </c>
      <c r="J836" t="s">
        <v>951</v>
      </c>
      <c r="K836" t="s">
        <v>1012</v>
      </c>
      <c r="L836" t="s">
        <v>951</v>
      </c>
      <c r="M836" t="s">
        <v>1026</v>
      </c>
      <c r="N836" t="s">
        <v>958</v>
      </c>
      <c r="O836" t="s">
        <v>959</v>
      </c>
    </row>
    <row r="837" spans="1:15" x14ac:dyDescent="0.25">
      <c r="A837" t="s">
        <v>946</v>
      </c>
      <c r="B837" t="s">
        <v>947</v>
      </c>
      <c r="C837" s="65">
        <v>46209</v>
      </c>
      <c r="D837">
        <v>23969</v>
      </c>
      <c r="E837">
        <v>771</v>
      </c>
      <c r="F837" t="s">
        <v>962</v>
      </c>
      <c r="G837" t="s">
        <v>1025</v>
      </c>
      <c r="H837">
        <v>5000000</v>
      </c>
      <c r="I837" t="s">
        <v>1011</v>
      </c>
      <c r="J837" t="s">
        <v>951</v>
      </c>
      <c r="K837" t="s">
        <v>1012</v>
      </c>
      <c r="L837" t="s">
        <v>951</v>
      </c>
      <c r="M837" t="s">
        <v>1026</v>
      </c>
      <c r="N837" t="s">
        <v>958</v>
      </c>
      <c r="O837" t="s">
        <v>959</v>
      </c>
    </row>
    <row r="838" spans="1:15" x14ac:dyDescent="0.25">
      <c r="A838" t="s">
        <v>946</v>
      </c>
      <c r="B838" t="s">
        <v>947</v>
      </c>
      <c r="C838" s="65">
        <v>46209</v>
      </c>
      <c r="D838">
        <v>23970</v>
      </c>
      <c r="E838">
        <v>772</v>
      </c>
      <c r="F838" t="s">
        <v>962</v>
      </c>
      <c r="G838" t="s">
        <v>1025</v>
      </c>
      <c r="H838">
        <v>5000000</v>
      </c>
      <c r="I838" t="s">
        <v>1011</v>
      </c>
      <c r="J838" t="s">
        <v>951</v>
      </c>
      <c r="K838" t="s">
        <v>1012</v>
      </c>
      <c r="L838" t="s">
        <v>951</v>
      </c>
      <c r="M838" t="s">
        <v>1026</v>
      </c>
      <c r="N838" t="s">
        <v>958</v>
      </c>
      <c r="O838" t="s">
        <v>959</v>
      </c>
    </row>
    <row r="839" spans="1:15" x14ac:dyDescent="0.25">
      <c r="A839" t="s">
        <v>946</v>
      </c>
      <c r="B839" t="s">
        <v>947</v>
      </c>
      <c r="C839" s="65">
        <v>46209</v>
      </c>
      <c r="D839">
        <v>23981</v>
      </c>
      <c r="E839">
        <v>176</v>
      </c>
      <c r="F839" t="s">
        <v>962</v>
      </c>
      <c r="G839" t="s">
        <v>977</v>
      </c>
      <c r="H839">
        <v>3000040</v>
      </c>
      <c r="I839" t="s">
        <v>1003</v>
      </c>
      <c r="J839" t="s">
        <v>951</v>
      </c>
      <c r="K839" t="s">
        <v>1004</v>
      </c>
      <c r="L839" t="s">
        <v>951</v>
      </c>
      <c r="M839" t="s">
        <v>980</v>
      </c>
      <c r="N839" t="s">
        <v>958</v>
      </c>
      <c r="O839" t="s">
        <v>959</v>
      </c>
    </row>
    <row r="840" spans="1:15" x14ac:dyDescent="0.25">
      <c r="A840" t="s">
        <v>946</v>
      </c>
      <c r="B840" t="s">
        <v>947</v>
      </c>
      <c r="C840" s="65">
        <v>46209</v>
      </c>
      <c r="D840">
        <v>23982</v>
      </c>
      <c r="E840">
        <v>177</v>
      </c>
      <c r="F840" t="s">
        <v>962</v>
      </c>
      <c r="G840" t="s">
        <v>977</v>
      </c>
      <c r="H840">
        <v>3000600</v>
      </c>
      <c r="I840" t="s">
        <v>1003</v>
      </c>
      <c r="J840" t="s">
        <v>951</v>
      </c>
      <c r="K840" t="s">
        <v>1004</v>
      </c>
      <c r="L840" t="s">
        <v>951</v>
      </c>
      <c r="M840" t="s">
        <v>980</v>
      </c>
      <c r="N840" t="s">
        <v>958</v>
      </c>
      <c r="O840" t="s">
        <v>959</v>
      </c>
    </row>
    <row r="841" spans="1:15" x14ac:dyDescent="0.25">
      <c r="A841" t="s">
        <v>946</v>
      </c>
      <c r="B841" t="s">
        <v>947</v>
      </c>
      <c r="C841" s="65">
        <v>46209</v>
      </c>
      <c r="D841">
        <v>23983</v>
      </c>
      <c r="E841">
        <v>178</v>
      </c>
      <c r="F841" t="s">
        <v>962</v>
      </c>
      <c r="G841" t="s">
        <v>977</v>
      </c>
      <c r="H841">
        <v>3099000</v>
      </c>
      <c r="I841" t="s">
        <v>1003</v>
      </c>
      <c r="J841" t="s">
        <v>951</v>
      </c>
      <c r="K841" t="s">
        <v>1004</v>
      </c>
      <c r="L841" t="s">
        <v>951</v>
      </c>
      <c r="M841" t="s">
        <v>980</v>
      </c>
      <c r="N841" t="s">
        <v>958</v>
      </c>
      <c r="O841" t="s">
        <v>959</v>
      </c>
    </row>
    <row r="842" spans="1:15" x14ac:dyDescent="0.25">
      <c r="A842" t="s">
        <v>946</v>
      </c>
      <c r="B842" t="s">
        <v>947</v>
      </c>
      <c r="C842" s="65">
        <v>46209</v>
      </c>
      <c r="D842">
        <v>23984</v>
      </c>
      <c r="E842">
        <v>179</v>
      </c>
      <c r="F842" t="s">
        <v>962</v>
      </c>
      <c r="G842" t="s">
        <v>977</v>
      </c>
      <c r="H842">
        <v>2600000</v>
      </c>
      <c r="I842" t="s">
        <v>1003</v>
      </c>
      <c r="J842" t="s">
        <v>951</v>
      </c>
      <c r="K842" t="s">
        <v>1004</v>
      </c>
      <c r="L842" t="s">
        <v>951</v>
      </c>
      <c r="M842" t="s">
        <v>980</v>
      </c>
      <c r="N842" t="s">
        <v>958</v>
      </c>
      <c r="O842" t="s">
        <v>959</v>
      </c>
    </row>
    <row r="843" spans="1:15" x14ac:dyDescent="0.25">
      <c r="A843" t="s">
        <v>946</v>
      </c>
      <c r="B843" t="s">
        <v>947</v>
      </c>
      <c r="C843" s="65">
        <v>46209</v>
      </c>
      <c r="D843">
        <v>23994</v>
      </c>
      <c r="E843">
        <v>6856040</v>
      </c>
      <c r="F843" t="s">
        <v>962</v>
      </c>
      <c r="G843" t="s">
        <v>989</v>
      </c>
      <c r="H843">
        <v>60000000</v>
      </c>
      <c r="I843" t="s">
        <v>1001</v>
      </c>
      <c r="J843" t="s">
        <v>951</v>
      </c>
      <c r="K843" t="s">
        <v>1002</v>
      </c>
      <c r="L843" t="s">
        <v>951</v>
      </c>
      <c r="M843" t="s">
        <v>992</v>
      </c>
      <c r="N843" t="s">
        <v>951</v>
      </c>
      <c r="O843" t="s">
        <v>951</v>
      </c>
    </row>
    <row r="844" spans="1:15" x14ac:dyDescent="0.25">
      <c r="A844" t="s">
        <v>946</v>
      </c>
      <c r="B844" t="s">
        <v>947</v>
      </c>
      <c r="C844" s="65">
        <v>46209</v>
      </c>
      <c r="D844">
        <v>23995</v>
      </c>
      <c r="E844">
        <v>6856041</v>
      </c>
      <c r="F844" t="s">
        <v>962</v>
      </c>
      <c r="G844" t="s">
        <v>989</v>
      </c>
      <c r="H844">
        <v>70000000</v>
      </c>
      <c r="I844" t="s">
        <v>1001</v>
      </c>
      <c r="J844" t="s">
        <v>951</v>
      </c>
      <c r="K844" t="s">
        <v>1002</v>
      </c>
      <c r="L844" t="s">
        <v>951</v>
      </c>
      <c r="M844" t="s">
        <v>992</v>
      </c>
      <c r="N844" t="s">
        <v>951</v>
      </c>
      <c r="O844" t="s">
        <v>951</v>
      </c>
    </row>
    <row r="845" spans="1:15" x14ac:dyDescent="0.25">
      <c r="A845" t="s">
        <v>946</v>
      </c>
      <c r="B845" t="s">
        <v>947</v>
      </c>
      <c r="C845" s="65">
        <v>46209</v>
      </c>
      <c r="D845">
        <v>23996</v>
      </c>
      <c r="E845">
        <v>6856042</v>
      </c>
      <c r="F845" t="s">
        <v>962</v>
      </c>
      <c r="G845" t="s">
        <v>989</v>
      </c>
      <c r="H845">
        <v>27482442</v>
      </c>
      <c r="I845" t="s">
        <v>1001</v>
      </c>
      <c r="J845" t="s">
        <v>951</v>
      </c>
      <c r="K845" t="s">
        <v>1002</v>
      </c>
      <c r="L845" t="s">
        <v>951</v>
      </c>
      <c r="M845" t="s">
        <v>992</v>
      </c>
      <c r="N845" t="s">
        <v>951</v>
      </c>
      <c r="O845" t="s">
        <v>951</v>
      </c>
    </row>
    <row r="846" spans="1:15" x14ac:dyDescent="0.25">
      <c r="A846" t="s">
        <v>946</v>
      </c>
      <c r="B846" t="s">
        <v>947</v>
      </c>
      <c r="C846" s="65">
        <v>46209</v>
      </c>
      <c r="D846">
        <v>24029</v>
      </c>
      <c r="E846">
        <v>29507827</v>
      </c>
      <c r="F846" t="s">
        <v>962</v>
      </c>
      <c r="G846" t="s">
        <v>989</v>
      </c>
      <c r="H846">
        <v>5468580.4400000004</v>
      </c>
      <c r="I846" t="s">
        <v>1007</v>
      </c>
      <c r="J846" t="s">
        <v>951</v>
      </c>
      <c r="K846" t="s">
        <v>1008</v>
      </c>
      <c r="L846" t="s">
        <v>951</v>
      </c>
      <c r="M846" t="s">
        <v>992</v>
      </c>
      <c r="N846" t="s">
        <v>958</v>
      </c>
      <c r="O846" t="s">
        <v>959</v>
      </c>
    </row>
    <row r="847" spans="1:15" x14ac:dyDescent="0.25">
      <c r="A847" t="s">
        <v>946</v>
      </c>
      <c r="B847" t="s">
        <v>947</v>
      </c>
      <c r="C847" s="65">
        <v>46209</v>
      </c>
      <c r="D847">
        <v>24030</v>
      </c>
      <c r="E847">
        <v>28279</v>
      </c>
      <c r="F847" t="s">
        <v>962</v>
      </c>
      <c r="G847" t="s">
        <v>977</v>
      </c>
      <c r="H847">
        <v>3396557.08</v>
      </c>
      <c r="I847" t="s">
        <v>1007</v>
      </c>
      <c r="J847" t="s">
        <v>951</v>
      </c>
      <c r="K847" t="s">
        <v>1008</v>
      </c>
      <c r="L847" t="s">
        <v>951</v>
      </c>
      <c r="M847" t="s">
        <v>980</v>
      </c>
      <c r="N847" t="s">
        <v>958</v>
      </c>
      <c r="O847" t="s">
        <v>959</v>
      </c>
    </row>
    <row r="848" spans="1:15" x14ac:dyDescent="0.25">
      <c r="A848" t="s">
        <v>946</v>
      </c>
      <c r="B848" t="s">
        <v>947</v>
      </c>
      <c r="C848" s="65">
        <v>46209</v>
      </c>
      <c r="D848">
        <v>24031</v>
      </c>
      <c r="E848">
        <v>28273</v>
      </c>
      <c r="F848" t="s">
        <v>962</v>
      </c>
      <c r="G848" t="s">
        <v>977</v>
      </c>
      <c r="H848">
        <v>3396557.08</v>
      </c>
      <c r="I848" t="s">
        <v>1007</v>
      </c>
      <c r="J848" t="s">
        <v>951</v>
      </c>
      <c r="K848" t="s">
        <v>1008</v>
      </c>
      <c r="L848" t="s">
        <v>951</v>
      </c>
      <c r="M848" t="s">
        <v>980</v>
      </c>
      <c r="N848" t="s">
        <v>958</v>
      </c>
      <c r="O848" t="s">
        <v>959</v>
      </c>
    </row>
    <row r="849" spans="1:15" x14ac:dyDescent="0.25">
      <c r="A849" t="s">
        <v>946</v>
      </c>
      <c r="B849" t="s">
        <v>947</v>
      </c>
      <c r="C849" s="65">
        <v>46209</v>
      </c>
      <c r="D849">
        <v>24032</v>
      </c>
      <c r="E849">
        <v>90000193</v>
      </c>
      <c r="F849" t="s">
        <v>962</v>
      </c>
      <c r="G849" t="s">
        <v>971</v>
      </c>
      <c r="H849">
        <v>3000000</v>
      </c>
      <c r="I849" t="s">
        <v>1007</v>
      </c>
      <c r="J849" t="s">
        <v>951</v>
      </c>
      <c r="K849" t="s">
        <v>1008</v>
      </c>
      <c r="L849" t="s">
        <v>951</v>
      </c>
      <c r="M849" t="s">
        <v>972</v>
      </c>
      <c r="N849" t="s">
        <v>958</v>
      </c>
      <c r="O849" t="s">
        <v>959</v>
      </c>
    </row>
    <row r="850" spans="1:15" x14ac:dyDescent="0.25">
      <c r="A850" t="s">
        <v>946</v>
      </c>
      <c r="B850" t="s">
        <v>947</v>
      </c>
      <c r="C850" s="65">
        <v>46209</v>
      </c>
      <c r="D850">
        <v>24033</v>
      </c>
      <c r="E850">
        <v>28275</v>
      </c>
      <c r="F850" t="s">
        <v>962</v>
      </c>
      <c r="G850" t="s">
        <v>977</v>
      </c>
      <c r="H850">
        <v>3396557.08</v>
      </c>
      <c r="I850" t="s">
        <v>1007</v>
      </c>
      <c r="J850" t="s">
        <v>951</v>
      </c>
      <c r="K850" t="s">
        <v>1008</v>
      </c>
      <c r="L850" t="s">
        <v>951</v>
      </c>
      <c r="M850" t="s">
        <v>980</v>
      </c>
      <c r="N850" t="s">
        <v>958</v>
      </c>
      <c r="O850" t="s">
        <v>959</v>
      </c>
    </row>
    <row r="851" spans="1:15" x14ac:dyDescent="0.25">
      <c r="A851" t="s">
        <v>946</v>
      </c>
      <c r="B851" t="s">
        <v>947</v>
      </c>
      <c r="C851" s="65">
        <v>46209</v>
      </c>
      <c r="D851">
        <v>24034</v>
      </c>
      <c r="E851">
        <v>28274</v>
      </c>
      <c r="F851" t="s">
        <v>948</v>
      </c>
      <c r="G851" t="s">
        <v>977</v>
      </c>
      <c r="H851">
        <v>3396557.08</v>
      </c>
      <c r="I851" t="s">
        <v>1007</v>
      </c>
      <c r="J851" t="s">
        <v>951</v>
      </c>
      <c r="K851" t="s">
        <v>1008</v>
      </c>
      <c r="L851" t="s">
        <v>951</v>
      </c>
      <c r="M851" t="s">
        <v>980</v>
      </c>
      <c r="N851" t="s">
        <v>958</v>
      </c>
      <c r="O851" t="s">
        <v>959</v>
      </c>
    </row>
    <row r="852" spans="1:15" x14ac:dyDescent="0.25">
      <c r="A852" t="s">
        <v>946</v>
      </c>
      <c r="B852" t="s">
        <v>947</v>
      </c>
      <c r="C852" s="65">
        <v>46209</v>
      </c>
      <c r="D852">
        <v>24036</v>
      </c>
      <c r="E852">
        <v>28278</v>
      </c>
      <c r="F852" t="s">
        <v>948</v>
      </c>
      <c r="G852" t="s">
        <v>977</v>
      </c>
      <c r="H852">
        <v>3396557.08</v>
      </c>
      <c r="I852" t="s">
        <v>1007</v>
      </c>
      <c r="J852" t="s">
        <v>951</v>
      </c>
      <c r="K852" t="s">
        <v>1008</v>
      </c>
      <c r="L852" t="s">
        <v>951</v>
      </c>
      <c r="M852" t="s">
        <v>980</v>
      </c>
      <c r="N852" t="s">
        <v>958</v>
      </c>
      <c r="O852" t="s">
        <v>959</v>
      </c>
    </row>
    <row r="853" spans="1:15" x14ac:dyDescent="0.25">
      <c r="A853" t="s">
        <v>946</v>
      </c>
      <c r="B853" t="s">
        <v>947</v>
      </c>
      <c r="C853" s="65">
        <v>46209</v>
      </c>
      <c r="D853">
        <v>24037</v>
      </c>
      <c r="E853">
        <v>28277</v>
      </c>
      <c r="F853" t="s">
        <v>948</v>
      </c>
      <c r="G853" t="s">
        <v>977</v>
      </c>
      <c r="H853">
        <v>3396557.08</v>
      </c>
      <c r="I853" t="s">
        <v>1007</v>
      </c>
      <c r="J853" t="s">
        <v>951</v>
      </c>
      <c r="K853" t="s">
        <v>1008</v>
      </c>
      <c r="L853" t="s">
        <v>951</v>
      </c>
      <c r="M853" t="s">
        <v>980</v>
      </c>
      <c r="N853" t="s">
        <v>958</v>
      </c>
      <c r="O853" t="s">
        <v>959</v>
      </c>
    </row>
    <row r="854" spans="1:15" x14ac:dyDescent="0.25">
      <c r="A854" t="s">
        <v>946</v>
      </c>
      <c r="B854" t="s">
        <v>947</v>
      </c>
      <c r="C854" s="65">
        <v>46209</v>
      </c>
      <c r="D854">
        <v>24038</v>
      </c>
      <c r="E854">
        <v>28276</v>
      </c>
      <c r="F854" t="s">
        <v>948</v>
      </c>
      <c r="G854" t="s">
        <v>977</v>
      </c>
      <c r="H854">
        <v>3396557.08</v>
      </c>
      <c r="I854" t="s">
        <v>1007</v>
      </c>
      <c r="J854" t="s">
        <v>951</v>
      </c>
      <c r="K854" t="s">
        <v>1008</v>
      </c>
      <c r="L854" t="s">
        <v>951</v>
      </c>
      <c r="M854" t="s">
        <v>980</v>
      </c>
      <c r="N854" t="s">
        <v>958</v>
      </c>
      <c r="O854" t="s">
        <v>959</v>
      </c>
    </row>
    <row r="855" spans="1:15" x14ac:dyDescent="0.25">
      <c r="A855" t="s">
        <v>946</v>
      </c>
      <c r="B855" t="s">
        <v>947</v>
      </c>
      <c r="C855" s="65">
        <v>46209</v>
      </c>
      <c r="D855">
        <v>24040</v>
      </c>
      <c r="E855">
        <v>764</v>
      </c>
      <c r="F855" t="s">
        <v>948</v>
      </c>
      <c r="G855" t="s">
        <v>977</v>
      </c>
      <c r="H855">
        <v>9000000</v>
      </c>
      <c r="I855" t="s">
        <v>1019</v>
      </c>
      <c r="J855" t="s">
        <v>951</v>
      </c>
      <c r="K855" t="s">
        <v>1020</v>
      </c>
      <c r="L855" t="s">
        <v>951</v>
      </c>
      <c r="M855" t="s">
        <v>980</v>
      </c>
      <c r="N855" t="s">
        <v>958</v>
      </c>
      <c r="O855" t="s">
        <v>959</v>
      </c>
    </row>
    <row r="856" spans="1:15" x14ac:dyDescent="0.25">
      <c r="A856" t="s">
        <v>946</v>
      </c>
      <c r="B856" t="s">
        <v>947</v>
      </c>
      <c r="C856" s="65">
        <v>46209</v>
      </c>
      <c r="D856">
        <v>24054</v>
      </c>
      <c r="E856">
        <v>67321404</v>
      </c>
      <c r="F856" t="s">
        <v>962</v>
      </c>
      <c r="G856" t="s">
        <v>983</v>
      </c>
      <c r="H856">
        <v>4322000</v>
      </c>
      <c r="I856" t="s">
        <v>987</v>
      </c>
      <c r="J856" t="s">
        <v>951</v>
      </c>
      <c r="K856" t="s">
        <v>988</v>
      </c>
      <c r="L856" t="s">
        <v>951</v>
      </c>
      <c r="M856" t="s">
        <v>986</v>
      </c>
      <c r="N856" t="s">
        <v>958</v>
      </c>
      <c r="O856" t="s">
        <v>959</v>
      </c>
    </row>
    <row r="857" spans="1:15" x14ac:dyDescent="0.25">
      <c r="A857" t="s">
        <v>946</v>
      </c>
      <c r="B857" t="s">
        <v>947</v>
      </c>
      <c r="C857" s="65">
        <v>46209</v>
      </c>
      <c r="D857">
        <v>24056</v>
      </c>
      <c r="E857">
        <v>67321564</v>
      </c>
      <c r="F857" t="s">
        <v>962</v>
      </c>
      <c r="G857" t="s">
        <v>983</v>
      </c>
      <c r="H857">
        <v>5000000</v>
      </c>
      <c r="I857" t="s">
        <v>987</v>
      </c>
      <c r="J857" t="s">
        <v>951</v>
      </c>
      <c r="K857" t="s">
        <v>988</v>
      </c>
      <c r="L857" t="s">
        <v>951</v>
      </c>
      <c r="M857" t="s">
        <v>986</v>
      </c>
      <c r="N857" t="s">
        <v>958</v>
      </c>
      <c r="O857" t="s">
        <v>959</v>
      </c>
    </row>
    <row r="858" spans="1:15" x14ac:dyDescent="0.25">
      <c r="A858" t="s">
        <v>946</v>
      </c>
      <c r="B858" t="s">
        <v>947</v>
      </c>
      <c r="C858" s="65">
        <v>46210</v>
      </c>
      <c r="D858">
        <v>23861</v>
      </c>
      <c r="E858">
        <v>78056240</v>
      </c>
      <c r="F858" t="s">
        <v>962</v>
      </c>
      <c r="G858" t="s">
        <v>967</v>
      </c>
      <c r="H858">
        <v>1420000</v>
      </c>
      <c r="I858" t="s">
        <v>968</v>
      </c>
      <c r="J858" t="s">
        <v>951</v>
      </c>
      <c r="K858" t="s">
        <v>969</v>
      </c>
      <c r="L858" t="s">
        <v>951</v>
      </c>
      <c r="M858" t="s">
        <v>970</v>
      </c>
      <c r="N858" t="s">
        <v>958</v>
      </c>
      <c r="O858" t="s">
        <v>959</v>
      </c>
    </row>
    <row r="859" spans="1:15" x14ac:dyDescent="0.25">
      <c r="A859" t="s">
        <v>946</v>
      </c>
      <c r="B859" t="s">
        <v>947</v>
      </c>
      <c r="C859" s="65">
        <v>46210</v>
      </c>
      <c r="D859">
        <v>23870</v>
      </c>
      <c r="E859">
        <v>78056249</v>
      </c>
      <c r="F859" t="s">
        <v>962</v>
      </c>
      <c r="G859" t="s">
        <v>967</v>
      </c>
      <c r="H859">
        <v>932000</v>
      </c>
      <c r="I859" t="s">
        <v>968</v>
      </c>
      <c r="J859" t="s">
        <v>951</v>
      </c>
      <c r="K859" t="s">
        <v>969</v>
      </c>
      <c r="L859" t="s">
        <v>951</v>
      </c>
      <c r="M859" t="s">
        <v>970</v>
      </c>
      <c r="N859" t="s">
        <v>958</v>
      </c>
      <c r="O859" t="s">
        <v>959</v>
      </c>
    </row>
    <row r="860" spans="1:15" x14ac:dyDescent="0.25">
      <c r="A860" t="s">
        <v>946</v>
      </c>
      <c r="B860" t="s">
        <v>947</v>
      </c>
      <c r="C860" s="65">
        <v>46210</v>
      </c>
      <c r="D860">
        <v>23876</v>
      </c>
      <c r="E860">
        <v>12924593</v>
      </c>
      <c r="F860" t="s">
        <v>962</v>
      </c>
      <c r="G860" t="s">
        <v>954</v>
      </c>
      <c r="H860">
        <v>10000000</v>
      </c>
      <c r="I860" t="s">
        <v>996</v>
      </c>
      <c r="J860" t="s">
        <v>951</v>
      </c>
      <c r="K860" t="s">
        <v>997</v>
      </c>
      <c r="L860" t="s">
        <v>951</v>
      </c>
      <c r="M860" t="s">
        <v>957</v>
      </c>
      <c r="N860" t="s">
        <v>951</v>
      </c>
      <c r="O860" t="s">
        <v>951</v>
      </c>
    </row>
    <row r="861" spans="1:15" x14ac:dyDescent="0.25">
      <c r="A861" t="s">
        <v>946</v>
      </c>
      <c r="B861" t="s">
        <v>947</v>
      </c>
      <c r="C861" s="65">
        <v>46210</v>
      </c>
      <c r="D861">
        <v>23895</v>
      </c>
      <c r="E861">
        <v>13653634</v>
      </c>
      <c r="F861" t="s">
        <v>962</v>
      </c>
      <c r="G861" t="s">
        <v>963</v>
      </c>
      <c r="H861">
        <v>4000000</v>
      </c>
      <c r="I861" t="s">
        <v>964</v>
      </c>
      <c r="J861" t="s">
        <v>951</v>
      </c>
      <c r="K861" t="s">
        <v>965</v>
      </c>
      <c r="L861" t="s">
        <v>951</v>
      </c>
      <c r="M861" t="s">
        <v>966</v>
      </c>
      <c r="N861" t="s">
        <v>958</v>
      </c>
      <c r="O861" t="s">
        <v>959</v>
      </c>
    </row>
    <row r="862" spans="1:15" x14ac:dyDescent="0.25">
      <c r="A862" t="s">
        <v>946</v>
      </c>
      <c r="B862" t="s">
        <v>947</v>
      </c>
      <c r="C862" s="65">
        <v>46210</v>
      </c>
      <c r="D862">
        <v>23911</v>
      </c>
      <c r="E862">
        <v>78056257</v>
      </c>
      <c r="F862" t="s">
        <v>962</v>
      </c>
      <c r="G862" t="s">
        <v>967</v>
      </c>
      <c r="H862">
        <v>1380000</v>
      </c>
      <c r="I862" t="s">
        <v>968</v>
      </c>
      <c r="J862" t="s">
        <v>951</v>
      </c>
      <c r="K862" t="s">
        <v>969</v>
      </c>
      <c r="L862" t="s">
        <v>951</v>
      </c>
      <c r="M862" t="s">
        <v>970</v>
      </c>
      <c r="N862" t="s">
        <v>958</v>
      </c>
      <c r="O862" t="s">
        <v>959</v>
      </c>
    </row>
    <row r="863" spans="1:15" x14ac:dyDescent="0.25">
      <c r="A863" t="s">
        <v>946</v>
      </c>
      <c r="B863" t="s">
        <v>947</v>
      </c>
      <c r="C863" s="65">
        <v>46210</v>
      </c>
      <c r="D863">
        <v>23940</v>
      </c>
      <c r="E863">
        <v>13653749</v>
      </c>
      <c r="F863" t="s">
        <v>962</v>
      </c>
      <c r="G863" t="s">
        <v>963</v>
      </c>
      <c r="H863">
        <v>5100000</v>
      </c>
      <c r="I863" t="s">
        <v>964</v>
      </c>
      <c r="J863" t="s">
        <v>951</v>
      </c>
      <c r="K863" t="s">
        <v>965</v>
      </c>
      <c r="L863" t="s">
        <v>951</v>
      </c>
      <c r="M863" t="s">
        <v>966</v>
      </c>
      <c r="N863" t="s">
        <v>958</v>
      </c>
      <c r="O863" t="s">
        <v>959</v>
      </c>
    </row>
    <row r="864" spans="1:15" x14ac:dyDescent="0.25">
      <c r="A864" t="s">
        <v>946</v>
      </c>
      <c r="B864" t="s">
        <v>947</v>
      </c>
      <c r="C864" s="65">
        <v>46210</v>
      </c>
      <c r="D864">
        <v>23961</v>
      </c>
      <c r="E864">
        <v>5076</v>
      </c>
      <c r="F864" t="s">
        <v>962</v>
      </c>
      <c r="G864" t="s">
        <v>977</v>
      </c>
      <c r="H864">
        <v>1300000</v>
      </c>
      <c r="I864" t="s">
        <v>993</v>
      </c>
      <c r="J864" t="s">
        <v>951</v>
      </c>
      <c r="K864" t="s">
        <v>994</v>
      </c>
      <c r="L864" t="s">
        <v>951</v>
      </c>
      <c r="M864" t="s">
        <v>980</v>
      </c>
      <c r="N864" t="s">
        <v>958</v>
      </c>
      <c r="O864" t="s">
        <v>959</v>
      </c>
    </row>
    <row r="865" spans="1:15" x14ac:dyDescent="0.25">
      <c r="A865" t="s">
        <v>946</v>
      </c>
      <c r="B865" t="s">
        <v>947</v>
      </c>
      <c r="C865" s="65">
        <v>46210</v>
      </c>
      <c r="D865">
        <v>24035</v>
      </c>
      <c r="E865">
        <v>1542</v>
      </c>
      <c r="F865" t="s">
        <v>948</v>
      </c>
      <c r="G865" t="s">
        <v>977</v>
      </c>
      <c r="H865">
        <v>18000000</v>
      </c>
      <c r="I865" t="s">
        <v>1007</v>
      </c>
      <c r="J865" t="s">
        <v>951</v>
      </c>
      <c r="K865" t="s">
        <v>1008</v>
      </c>
      <c r="L865" t="s">
        <v>951</v>
      </c>
      <c r="M865" t="s">
        <v>980</v>
      </c>
      <c r="N865" t="s">
        <v>958</v>
      </c>
      <c r="O865" t="s">
        <v>959</v>
      </c>
    </row>
    <row r="866" spans="1:15" x14ac:dyDescent="0.25">
      <c r="A866" t="s">
        <v>946</v>
      </c>
      <c r="B866" t="s">
        <v>947</v>
      </c>
      <c r="C866" s="65">
        <v>46210</v>
      </c>
      <c r="D866">
        <v>24055</v>
      </c>
      <c r="E866">
        <v>67321085</v>
      </c>
      <c r="F866" t="s">
        <v>962</v>
      </c>
      <c r="G866" t="s">
        <v>983</v>
      </c>
      <c r="H866">
        <v>5000000</v>
      </c>
      <c r="I866" t="s">
        <v>987</v>
      </c>
      <c r="J866" t="s">
        <v>951</v>
      </c>
      <c r="K866" t="s">
        <v>988</v>
      </c>
      <c r="L866" t="s">
        <v>951</v>
      </c>
      <c r="M866" t="s">
        <v>986</v>
      </c>
      <c r="N866" t="s">
        <v>958</v>
      </c>
      <c r="O866" t="s">
        <v>959</v>
      </c>
    </row>
    <row r="867" spans="1:15" x14ac:dyDescent="0.25">
      <c r="A867" t="s">
        <v>946</v>
      </c>
      <c r="B867" t="s">
        <v>947</v>
      </c>
      <c r="C867" s="65">
        <v>46211</v>
      </c>
      <c r="D867">
        <v>23862</v>
      </c>
      <c r="E867">
        <v>78056241</v>
      </c>
      <c r="F867" t="s">
        <v>962</v>
      </c>
      <c r="G867" t="s">
        <v>967</v>
      </c>
      <c r="H867">
        <v>1401007.5</v>
      </c>
      <c r="I867" t="s">
        <v>968</v>
      </c>
      <c r="J867" t="s">
        <v>951</v>
      </c>
      <c r="K867" t="s">
        <v>969</v>
      </c>
      <c r="L867" t="s">
        <v>951</v>
      </c>
      <c r="M867" t="s">
        <v>970</v>
      </c>
      <c r="N867" t="s">
        <v>958</v>
      </c>
      <c r="O867" t="s">
        <v>959</v>
      </c>
    </row>
    <row r="868" spans="1:15" x14ac:dyDescent="0.25">
      <c r="A868" t="s">
        <v>946</v>
      </c>
      <c r="B868" t="s">
        <v>947</v>
      </c>
      <c r="C868" s="65">
        <v>46211</v>
      </c>
      <c r="D868">
        <v>23871</v>
      </c>
      <c r="E868">
        <v>78056250</v>
      </c>
      <c r="F868" t="s">
        <v>962</v>
      </c>
      <c r="G868" t="s">
        <v>967</v>
      </c>
      <c r="H868">
        <v>932000</v>
      </c>
      <c r="I868" t="s">
        <v>968</v>
      </c>
      <c r="J868" t="s">
        <v>951</v>
      </c>
      <c r="K868" t="s">
        <v>969</v>
      </c>
      <c r="L868" t="s">
        <v>951</v>
      </c>
      <c r="M868" t="s">
        <v>970</v>
      </c>
      <c r="N868" t="s">
        <v>958</v>
      </c>
      <c r="O868" t="s">
        <v>959</v>
      </c>
    </row>
    <row r="869" spans="1:15" x14ac:dyDescent="0.25">
      <c r="A869" t="s">
        <v>946</v>
      </c>
      <c r="B869" t="s">
        <v>947</v>
      </c>
      <c r="C869" s="65">
        <v>46211</v>
      </c>
      <c r="D869">
        <v>23877</v>
      </c>
      <c r="E869">
        <v>12924594</v>
      </c>
      <c r="F869" t="s">
        <v>962</v>
      </c>
      <c r="G869" t="s">
        <v>954</v>
      </c>
      <c r="H869">
        <v>10162480</v>
      </c>
      <c r="I869" t="s">
        <v>996</v>
      </c>
      <c r="J869" t="s">
        <v>951</v>
      </c>
      <c r="K869" t="s">
        <v>997</v>
      </c>
      <c r="L869" t="s">
        <v>951</v>
      </c>
      <c r="M869" t="s">
        <v>957</v>
      </c>
      <c r="N869" t="s">
        <v>951</v>
      </c>
      <c r="O869" t="s">
        <v>951</v>
      </c>
    </row>
    <row r="870" spans="1:15" x14ac:dyDescent="0.25">
      <c r="A870" t="s">
        <v>946</v>
      </c>
      <c r="B870" t="s">
        <v>947</v>
      </c>
      <c r="C870" s="65">
        <v>46211</v>
      </c>
      <c r="D870">
        <v>23878</v>
      </c>
      <c r="E870">
        <v>12924595</v>
      </c>
      <c r="F870" t="s">
        <v>962</v>
      </c>
      <c r="G870" t="s">
        <v>954</v>
      </c>
      <c r="H870">
        <v>10000000</v>
      </c>
      <c r="I870" t="s">
        <v>996</v>
      </c>
      <c r="J870" t="s">
        <v>951</v>
      </c>
      <c r="K870" t="s">
        <v>997</v>
      </c>
      <c r="L870" t="s">
        <v>951</v>
      </c>
      <c r="M870" t="s">
        <v>957</v>
      </c>
      <c r="N870" t="s">
        <v>951</v>
      </c>
      <c r="O870" t="s">
        <v>951</v>
      </c>
    </row>
    <row r="871" spans="1:15" x14ac:dyDescent="0.25">
      <c r="A871" t="s">
        <v>946</v>
      </c>
      <c r="B871" t="s">
        <v>947</v>
      </c>
      <c r="C871" s="65">
        <v>46211</v>
      </c>
      <c r="D871">
        <v>23896</v>
      </c>
      <c r="E871">
        <v>13653635</v>
      </c>
      <c r="F871" t="s">
        <v>962</v>
      </c>
      <c r="G871" t="s">
        <v>963</v>
      </c>
      <c r="H871">
        <v>4000000</v>
      </c>
      <c r="I871" t="s">
        <v>964</v>
      </c>
      <c r="J871" t="s">
        <v>951</v>
      </c>
      <c r="K871" t="s">
        <v>965</v>
      </c>
      <c r="L871" t="s">
        <v>951</v>
      </c>
      <c r="M871" t="s">
        <v>966</v>
      </c>
      <c r="N871" t="s">
        <v>958</v>
      </c>
      <c r="O871" t="s">
        <v>959</v>
      </c>
    </row>
    <row r="872" spans="1:15" x14ac:dyDescent="0.25">
      <c r="A872" t="s">
        <v>946</v>
      </c>
      <c r="B872" t="s">
        <v>947</v>
      </c>
      <c r="C872" s="65">
        <v>46211</v>
      </c>
      <c r="D872">
        <v>23917</v>
      </c>
      <c r="E872">
        <v>78056258</v>
      </c>
      <c r="F872" t="s">
        <v>962</v>
      </c>
      <c r="G872" t="s">
        <v>967</v>
      </c>
      <c r="H872">
        <v>1380000</v>
      </c>
      <c r="I872" t="s">
        <v>968</v>
      </c>
      <c r="J872" t="s">
        <v>951</v>
      </c>
      <c r="K872" t="s">
        <v>969</v>
      </c>
      <c r="L872" t="s">
        <v>951</v>
      </c>
      <c r="M872" t="s">
        <v>970</v>
      </c>
      <c r="N872" t="s">
        <v>958</v>
      </c>
      <c r="O872" t="s">
        <v>959</v>
      </c>
    </row>
    <row r="873" spans="1:15" x14ac:dyDescent="0.25">
      <c r="A873" t="s">
        <v>946</v>
      </c>
      <c r="B873" t="s">
        <v>947</v>
      </c>
      <c r="C873" s="65">
        <v>46211</v>
      </c>
      <c r="D873">
        <v>23941</v>
      </c>
      <c r="E873">
        <v>13653750</v>
      </c>
      <c r="F873" t="s">
        <v>962</v>
      </c>
      <c r="G873" t="s">
        <v>963</v>
      </c>
      <c r="H873">
        <v>5100000</v>
      </c>
      <c r="I873" t="s">
        <v>964</v>
      </c>
      <c r="J873" t="s">
        <v>951</v>
      </c>
      <c r="K873" t="s">
        <v>965</v>
      </c>
      <c r="L873" t="s">
        <v>951</v>
      </c>
      <c r="M873" t="s">
        <v>966</v>
      </c>
      <c r="N873" t="s">
        <v>958</v>
      </c>
      <c r="O873" t="s">
        <v>959</v>
      </c>
    </row>
    <row r="874" spans="1:15" x14ac:dyDescent="0.25">
      <c r="A874" t="s">
        <v>946</v>
      </c>
      <c r="B874" t="s">
        <v>947</v>
      </c>
      <c r="C874" s="65">
        <v>46211</v>
      </c>
      <c r="D874">
        <v>23948</v>
      </c>
      <c r="E874">
        <v>1808</v>
      </c>
      <c r="F874" t="s">
        <v>962</v>
      </c>
      <c r="G874" t="s">
        <v>977</v>
      </c>
      <c r="H874">
        <v>26725875</v>
      </c>
      <c r="I874" t="s">
        <v>1009</v>
      </c>
      <c r="J874" t="s">
        <v>951</v>
      </c>
      <c r="K874" t="s">
        <v>1010</v>
      </c>
      <c r="L874" t="s">
        <v>951</v>
      </c>
      <c r="M874" t="s">
        <v>980</v>
      </c>
      <c r="N874" t="s">
        <v>958</v>
      </c>
      <c r="O874" t="s">
        <v>959</v>
      </c>
    </row>
    <row r="875" spans="1:15" x14ac:dyDescent="0.25">
      <c r="A875" t="s">
        <v>946</v>
      </c>
      <c r="B875" t="s">
        <v>947</v>
      </c>
      <c r="C875" s="65">
        <v>46211</v>
      </c>
      <c r="D875">
        <v>23949</v>
      </c>
      <c r="E875">
        <v>1807</v>
      </c>
      <c r="F875" t="s">
        <v>962</v>
      </c>
      <c r="G875" t="s">
        <v>977</v>
      </c>
      <c r="H875">
        <v>25000000</v>
      </c>
      <c r="I875" t="s">
        <v>1009</v>
      </c>
      <c r="J875" t="s">
        <v>951</v>
      </c>
      <c r="K875" t="s">
        <v>1010</v>
      </c>
      <c r="L875" t="s">
        <v>951</v>
      </c>
      <c r="M875" t="s">
        <v>980</v>
      </c>
      <c r="N875" t="s">
        <v>958</v>
      </c>
      <c r="O875" t="s">
        <v>959</v>
      </c>
    </row>
    <row r="876" spans="1:15" x14ac:dyDescent="0.25">
      <c r="A876" t="s">
        <v>946</v>
      </c>
      <c r="B876" t="s">
        <v>947</v>
      </c>
      <c r="C876" s="65">
        <v>46211</v>
      </c>
      <c r="D876">
        <v>23950</v>
      </c>
      <c r="E876">
        <v>1806</v>
      </c>
      <c r="F876" t="s">
        <v>962</v>
      </c>
      <c r="G876" t="s">
        <v>977</v>
      </c>
      <c r="H876">
        <v>30000000</v>
      </c>
      <c r="I876" t="s">
        <v>1009</v>
      </c>
      <c r="J876" t="s">
        <v>951</v>
      </c>
      <c r="K876" t="s">
        <v>1010</v>
      </c>
      <c r="L876" t="s">
        <v>951</v>
      </c>
      <c r="M876" t="s">
        <v>980</v>
      </c>
      <c r="N876" t="s">
        <v>958</v>
      </c>
      <c r="O876" t="s">
        <v>959</v>
      </c>
    </row>
    <row r="877" spans="1:15" x14ac:dyDescent="0.25">
      <c r="A877" t="s">
        <v>946</v>
      </c>
      <c r="B877" t="s">
        <v>947</v>
      </c>
      <c r="C877" s="65">
        <v>46211</v>
      </c>
      <c r="D877">
        <v>23958</v>
      </c>
      <c r="E877">
        <v>5077</v>
      </c>
      <c r="F877" t="s">
        <v>962</v>
      </c>
      <c r="G877" t="s">
        <v>977</v>
      </c>
      <c r="H877">
        <v>1300000</v>
      </c>
      <c r="I877" t="s">
        <v>993</v>
      </c>
      <c r="J877" t="s">
        <v>951</v>
      </c>
      <c r="K877" t="s">
        <v>994</v>
      </c>
      <c r="L877" t="s">
        <v>951</v>
      </c>
      <c r="M877" t="s">
        <v>980</v>
      </c>
      <c r="N877" t="s">
        <v>958</v>
      </c>
      <c r="O877" t="s">
        <v>959</v>
      </c>
    </row>
    <row r="878" spans="1:15" x14ac:dyDescent="0.25">
      <c r="A878" t="s">
        <v>946</v>
      </c>
      <c r="B878" t="s">
        <v>947</v>
      </c>
      <c r="C878" s="65">
        <v>46211</v>
      </c>
      <c r="D878">
        <v>24025</v>
      </c>
      <c r="E878">
        <v>9483914</v>
      </c>
      <c r="F878" t="s">
        <v>962</v>
      </c>
      <c r="G878" t="s">
        <v>977</v>
      </c>
      <c r="H878">
        <v>720420</v>
      </c>
      <c r="I878" t="s">
        <v>1019</v>
      </c>
      <c r="J878" t="s">
        <v>951</v>
      </c>
      <c r="K878" t="s">
        <v>1020</v>
      </c>
      <c r="L878" t="s">
        <v>951</v>
      </c>
      <c r="M878" t="s">
        <v>980</v>
      </c>
      <c r="N878" t="s">
        <v>958</v>
      </c>
      <c r="O878" t="s">
        <v>959</v>
      </c>
    </row>
    <row r="879" spans="1:15" x14ac:dyDescent="0.25">
      <c r="A879" t="s">
        <v>946</v>
      </c>
      <c r="B879" t="s">
        <v>947</v>
      </c>
      <c r="C879" s="65">
        <v>46212</v>
      </c>
      <c r="D879">
        <v>23897</v>
      </c>
      <c r="E879">
        <v>13653636</v>
      </c>
      <c r="F879" t="s">
        <v>962</v>
      </c>
      <c r="G879" t="s">
        <v>963</v>
      </c>
      <c r="H879">
        <v>4000000</v>
      </c>
      <c r="I879" t="s">
        <v>964</v>
      </c>
      <c r="J879" t="s">
        <v>951</v>
      </c>
      <c r="K879" t="s">
        <v>965</v>
      </c>
      <c r="L879" t="s">
        <v>951</v>
      </c>
      <c r="M879" t="s">
        <v>966</v>
      </c>
      <c r="N879" t="s">
        <v>958</v>
      </c>
      <c r="O879" t="s">
        <v>959</v>
      </c>
    </row>
    <row r="880" spans="1:15" x14ac:dyDescent="0.25">
      <c r="A880" t="s">
        <v>946</v>
      </c>
      <c r="B880" t="s">
        <v>947</v>
      </c>
      <c r="C880" s="65">
        <v>46212</v>
      </c>
      <c r="D880">
        <v>24043</v>
      </c>
      <c r="E880">
        <v>6143</v>
      </c>
      <c r="F880" t="s">
        <v>948</v>
      </c>
      <c r="G880" t="s">
        <v>977</v>
      </c>
      <c r="H880">
        <v>1000000</v>
      </c>
      <c r="I880" t="s">
        <v>1019</v>
      </c>
      <c r="J880" t="s">
        <v>951</v>
      </c>
      <c r="K880" t="s">
        <v>1020</v>
      </c>
      <c r="L880" t="s">
        <v>951</v>
      </c>
      <c r="M880" t="s">
        <v>980</v>
      </c>
      <c r="N880" t="s">
        <v>958</v>
      </c>
      <c r="O880" t="s">
        <v>959</v>
      </c>
    </row>
    <row r="881" spans="1:15" x14ac:dyDescent="0.25">
      <c r="A881" t="s">
        <v>946</v>
      </c>
      <c r="B881" t="s">
        <v>947</v>
      </c>
      <c r="C881" s="65">
        <v>46213</v>
      </c>
      <c r="D881">
        <v>23852</v>
      </c>
      <c r="E881">
        <v>7155</v>
      </c>
      <c r="F881" t="s">
        <v>962</v>
      </c>
      <c r="G881" t="s">
        <v>977</v>
      </c>
      <c r="H881">
        <v>23547150</v>
      </c>
      <c r="I881" t="s">
        <v>978</v>
      </c>
      <c r="J881" t="s">
        <v>951</v>
      </c>
      <c r="K881" t="s">
        <v>979</v>
      </c>
      <c r="L881" t="s">
        <v>951</v>
      </c>
      <c r="M881" t="s">
        <v>980</v>
      </c>
      <c r="N881" t="s">
        <v>958</v>
      </c>
      <c r="O881" t="s">
        <v>959</v>
      </c>
    </row>
    <row r="882" spans="1:15" x14ac:dyDescent="0.25">
      <c r="A882" t="s">
        <v>946</v>
      </c>
      <c r="B882" t="s">
        <v>947</v>
      </c>
      <c r="C882" s="65">
        <v>46213</v>
      </c>
      <c r="D882">
        <v>23872</v>
      </c>
      <c r="E882">
        <v>78056251</v>
      </c>
      <c r="F882" t="s">
        <v>962</v>
      </c>
      <c r="G882" t="s">
        <v>967</v>
      </c>
      <c r="H882">
        <v>932850</v>
      </c>
      <c r="I882" t="s">
        <v>968</v>
      </c>
      <c r="J882" t="s">
        <v>951</v>
      </c>
      <c r="K882" t="s">
        <v>969</v>
      </c>
      <c r="L882" t="s">
        <v>951</v>
      </c>
      <c r="M882" t="s">
        <v>970</v>
      </c>
      <c r="N882" t="s">
        <v>958</v>
      </c>
      <c r="O882" t="s">
        <v>959</v>
      </c>
    </row>
    <row r="883" spans="1:15" x14ac:dyDescent="0.25">
      <c r="A883" t="s">
        <v>946</v>
      </c>
      <c r="B883" t="s">
        <v>947</v>
      </c>
      <c r="C883" s="65">
        <v>46213</v>
      </c>
      <c r="D883">
        <v>23904</v>
      </c>
      <c r="E883">
        <v>10169204</v>
      </c>
      <c r="F883" t="s">
        <v>962</v>
      </c>
      <c r="G883" t="s">
        <v>954</v>
      </c>
      <c r="H883">
        <v>14022085</v>
      </c>
      <c r="I883" t="s">
        <v>999</v>
      </c>
      <c r="J883" t="s">
        <v>951</v>
      </c>
      <c r="K883" t="s">
        <v>1000</v>
      </c>
      <c r="L883" t="s">
        <v>951</v>
      </c>
      <c r="M883" t="s">
        <v>957</v>
      </c>
      <c r="N883" t="s">
        <v>958</v>
      </c>
      <c r="O883" t="s">
        <v>959</v>
      </c>
    </row>
    <row r="884" spans="1:15" x14ac:dyDescent="0.25">
      <c r="A884" t="s">
        <v>946</v>
      </c>
      <c r="B884" t="s">
        <v>947</v>
      </c>
      <c r="C884" s="65">
        <v>46213</v>
      </c>
      <c r="D884">
        <v>23909</v>
      </c>
      <c r="E884">
        <v>7182</v>
      </c>
      <c r="F884" t="s">
        <v>962</v>
      </c>
      <c r="G884" t="s">
        <v>977</v>
      </c>
      <c r="H884">
        <v>55000000</v>
      </c>
      <c r="I884" t="s">
        <v>978</v>
      </c>
      <c r="J884" t="s">
        <v>951</v>
      </c>
      <c r="K884" t="s">
        <v>979</v>
      </c>
      <c r="L884" t="s">
        <v>951</v>
      </c>
      <c r="M884" t="s">
        <v>980</v>
      </c>
      <c r="N884" t="s">
        <v>958</v>
      </c>
      <c r="O884" t="s">
        <v>959</v>
      </c>
    </row>
    <row r="885" spans="1:15" x14ac:dyDescent="0.25">
      <c r="A885" t="s">
        <v>946</v>
      </c>
      <c r="B885" t="s">
        <v>947</v>
      </c>
      <c r="C885" s="65">
        <v>46213</v>
      </c>
      <c r="D885">
        <v>23957</v>
      </c>
      <c r="E885">
        <v>5078</v>
      </c>
      <c r="F885" t="s">
        <v>962</v>
      </c>
      <c r="G885" t="s">
        <v>977</v>
      </c>
      <c r="H885">
        <v>1056175</v>
      </c>
      <c r="I885" t="s">
        <v>993</v>
      </c>
      <c r="J885" t="s">
        <v>951</v>
      </c>
      <c r="K885" t="s">
        <v>994</v>
      </c>
      <c r="L885" t="s">
        <v>951</v>
      </c>
      <c r="M885" t="s">
        <v>980</v>
      </c>
      <c r="N885" t="s">
        <v>958</v>
      </c>
      <c r="O885" t="s">
        <v>959</v>
      </c>
    </row>
    <row r="886" spans="1:15" x14ac:dyDescent="0.25">
      <c r="A886" t="s">
        <v>946</v>
      </c>
      <c r="B886" t="s">
        <v>947</v>
      </c>
      <c r="C886" s="65">
        <v>46213</v>
      </c>
      <c r="D886">
        <v>24039</v>
      </c>
      <c r="E886">
        <v>365</v>
      </c>
      <c r="F886" t="s">
        <v>962</v>
      </c>
      <c r="G886" t="s">
        <v>977</v>
      </c>
      <c r="H886">
        <v>6000000</v>
      </c>
      <c r="I886" t="s">
        <v>1019</v>
      </c>
      <c r="J886" t="s">
        <v>951</v>
      </c>
      <c r="K886" t="s">
        <v>1020</v>
      </c>
      <c r="L886" t="s">
        <v>951</v>
      </c>
      <c r="M886" t="s">
        <v>980</v>
      </c>
      <c r="N886" t="s">
        <v>958</v>
      </c>
      <c r="O886" t="s">
        <v>959</v>
      </c>
    </row>
    <row r="887" spans="1:15" x14ac:dyDescent="0.25">
      <c r="A887" t="s">
        <v>946</v>
      </c>
      <c r="B887" t="s">
        <v>947</v>
      </c>
      <c r="C887" s="65">
        <v>46213</v>
      </c>
      <c r="D887">
        <v>24060</v>
      </c>
      <c r="E887">
        <v>29515976</v>
      </c>
      <c r="F887" t="s">
        <v>962</v>
      </c>
      <c r="G887" t="s">
        <v>989</v>
      </c>
      <c r="H887">
        <v>3473415.89</v>
      </c>
      <c r="I887" t="s">
        <v>990</v>
      </c>
      <c r="J887" t="s">
        <v>951</v>
      </c>
      <c r="K887" t="s">
        <v>991</v>
      </c>
      <c r="L887" t="s">
        <v>951</v>
      </c>
      <c r="M887" t="s">
        <v>992</v>
      </c>
      <c r="N887" t="s">
        <v>958</v>
      </c>
      <c r="O887" t="s">
        <v>959</v>
      </c>
    </row>
    <row r="888" spans="1:15" x14ac:dyDescent="0.25">
      <c r="A888" t="s">
        <v>946</v>
      </c>
      <c r="B888" t="s">
        <v>947</v>
      </c>
      <c r="C888" s="65">
        <v>46213</v>
      </c>
      <c r="D888">
        <v>24061</v>
      </c>
      <c r="E888">
        <v>67695800</v>
      </c>
      <c r="F888" t="s">
        <v>962</v>
      </c>
      <c r="G888" t="s">
        <v>983</v>
      </c>
      <c r="H888">
        <v>483920</v>
      </c>
      <c r="I888" t="s">
        <v>990</v>
      </c>
      <c r="J888" t="s">
        <v>951</v>
      </c>
      <c r="K888" t="s">
        <v>991</v>
      </c>
      <c r="L888" t="s">
        <v>951</v>
      </c>
      <c r="M888" t="s">
        <v>986</v>
      </c>
      <c r="N888" t="s">
        <v>958</v>
      </c>
      <c r="O888" t="s">
        <v>959</v>
      </c>
    </row>
    <row r="889" spans="1:15" x14ac:dyDescent="0.25">
      <c r="A889" t="s">
        <v>946</v>
      </c>
      <c r="B889" t="s">
        <v>947</v>
      </c>
      <c r="C889" s="65">
        <v>46213</v>
      </c>
      <c r="D889">
        <v>24065</v>
      </c>
      <c r="E889">
        <v>5279</v>
      </c>
      <c r="F889" t="s">
        <v>962</v>
      </c>
      <c r="G889" t="s">
        <v>967</v>
      </c>
      <c r="H889">
        <v>2200000</v>
      </c>
      <c r="I889" t="s">
        <v>1005</v>
      </c>
      <c r="J889" t="s">
        <v>951</v>
      </c>
      <c r="K889" t="s">
        <v>1006</v>
      </c>
      <c r="L889" t="s">
        <v>951</v>
      </c>
      <c r="M889" t="s">
        <v>970</v>
      </c>
      <c r="N889" t="s">
        <v>958</v>
      </c>
      <c r="O889" t="s">
        <v>959</v>
      </c>
    </row>
    <row r="890" spans="1:15" x14ac:dyDescent="0.25">
      <c r="A890" t="s">
        <v>946</v>
      </c>
      <c r="B890" t="s">
        <v>947</v>
      </c>
      <c r="C890" s="65">
        <v>46216</v>
      </c>
      <c r="D890">
        <v>23898</v>
      </c>
      <c r="E890">
        <v>13653680</v>
      </c>
      <c r="F890" t="s">
        <v>962</v>
      </c>
      <c r="G890" t="s">
        <v>963</v>
      </c>
      <c r="H890">
        <v>2347250</v>
      </c>
      <c r="I890" t="s">
        <v>964</v>
      </c>
      <c r="J890" t="s">
        <v>951</v>
      </c>
      <c r="K890" t="s">
        <v>965</v>
      </c>
      <c r="L890" t="s">
        <v>951</v>
      </c>
      <c r="M890" t="s">
        <v>966</v>
      </c>
      <c r="N890" t="s">
        <v>958</v>
      </c>
      <c r="O890" t="s">
        <v>959</v>
      </c>
    </row>
    <row r="891" spans="1:15" x14ac:dyDescent="0.25">
      <c r="A891" t="s">
        <v>946</v>
      </c>
      <c r="B891" t="s">
        <v>947</v>
      </c>
      <c r="C891" s="65">
        <v>46216</v>
      </c>
      <c r="D891">
        <v>23903</v>
      </c>
      <c r="E891">
        <v>10169203</v>
      </c>
      <c r="F891" t="s">
        <v>962</v>
      </c>
      <c r="G891" t="s">
        <v>954</v>
      </c>
      <c r="H891">
        <v>14022085</v>
      </c>
      <c r="I891" t="s">
        <v>999</v>
      </c>
      <c r="J891" t="s">
        <v>951</v>
      </c>
      <c r="K891" t="s">
        <v>1000</v>
      </c>
      <c r="L891" t="s">
        <v>951</v>
      </c>
      <c r="M891" t="s">
        <v>957</v>
      </c>
      <c r="N891" t="s">
        <v>958</v>
      </c>
      <c r="O891" t="s">
        <v>959</v>
      </c>
    </row>
    <row r="892" spans="1:15" x14ac:dyDescent="0.25">
      <c r="A892" t="s">
        <v>946</v>
      </c>
      <c r="B892" t="s">
        <v>947</v>
      </c>
      <c r="C892" s="65">
        <v>46216</v>
      </c>
      <c r="D892">
        <v>23918</v>
      </c>
      <c r="E892">
        <v>78056259</v>
      </c>
      <c r="F892" t="s">
        <v>962</v>
      </c>
      <c r="G892" t="s">
        <v>967</v>
      </c>
      <c r="H892">
        <v>1380000</v>
      </c>
      <c r="I892" t="s">
        <v>968</v>
      </c>
      <c r="J892" t="s">
        <v>951</v>
      </c>
      <c r="K892" t="s">
        <v>969</v>
      </c>
      <c r="L892" t="s">
        <v>951</v>
      </c>
      <c r="M892" t="s">
        <v>970</v>
      </c>
      <c r="N892" t="s">
        <v>958</v>
      </c>
      <c r="O892" t="s">
        <v>959</v>
      </c>
    </row>
    <row r="893" spans="1:15" x14ac:dyDescent="0.25">
      <c r="A893" t="s">
        <v>946</v>
      </c>
      <c r="B893" t="s">
        <v>947</v>
      </c>
      <c r="C893" s="65">
        <v>46216</v>
      </c>
      <c r="D893">
        <v>23971</v>
      </c>
      <c r="E893">
        <v>773</v>
      </c>
      <c r="F893" t="s">
        <v>962</v>
      </c>
      <c r="G893" t="s">
        <v>1025</v>
      </c>
      <c r="H893">
        <v>5000000</v>
      </c>
      <c r="I893" t="s">
        <v>1011</v>
      </c>
      <c r="J893" t="s">
        <v>951</v>
      </c>
      <c r="K893" t="s">
        <v>1012</v>
      </c>
      <c r="L893" t="s">
        <v>951</v>
      </c>
      <c r="M893" t="s">
        <v>1026</v>
      </c>
      <c r="N893" t="s">
        <v>951</v>
      </c>
      <c r="O893" t="s">
        <v>951</v>
      </c>
    </row>
    <row r="894" spans="1:15" x14ac:dyDescent="0.25">
      <c r="A894" t="s">
        <v>946</v>
      </c>
      <c r="B894" t="s">
        <v>947</v>
      </c>
      <c r="C894" s="65">
        <v>46216</v>
      </c>
      <c r="D894">
        <v>23972</v>
      </c>
      <c r="E894">
        <v>774</v>
      </c>
      <c r="F894" t="s">
        <v>962</v>
      </c>
      <c r="G894" t="s">
        <v>1025</v>
      </c>
      <c r="H894">
        <v>3988200</v>
      </c>
      <c r="I894" t="s">
        <v>1011</v>
      </c>
      <c r="J894" t="s">
        <v>951</v>
      </c>
      <c r="K894" t="s">
        <v>1012</v>
      </c>
      <c r="L894" t="s">
        <v>951</v>
      </c>
      <c r="M894" t="s">
        <v>1026</v>
      </c>
      <c r="N894" t="s">
        <v>951</v>
      </c>
      <c r="O894" t="s">
        <v>951</v>
      </c>
    </row>
    <row r="895" spans="1:15" x14ac:dyDescent="0.25">
      <c r="A895" t="s">
        <v>946</v>
      </c>
      <c r="B895" t="s">
        <v>947</v>
      </c>
      <c r="C895" s="65">
        <v>46216</v>
      </c>
      <c r="D895">
        <v>23973</v>
      </c>
      <c r="E895">
        <v>775</v>
      </c>
      <c r="F895" t="s">
        <v>962</v>
      </c>
      <c r="G895" t="s">
        <v>1025</v>
      </c>
      <c r="H895">
        <v>5000000</v>
      </c>
      <c r="I895" t="s">
        <v>1011</v>
      </c>
      <c r="J895" t="s">
        <v>951</v>
      </c>
      <c r="K895" t="s">
        <v>1012</v>
      </c>
      <c r="L895" t="s">
        <v>951</v>
      </c>
      <c r="M895" t="s">
        <v>1026</v>
      </c>
      <c r="N895" t="s">
        <v>951</v>
      </c>
      <c r="O895" t="s">
        <v>951</v>
      </c>
    </row>
    <row r="896" spans="1:15" x14ac:dyDescent="0.25">
      <c r="A896" t="s">
        <v>946</v>
      </c>
      <c r="B896" t="s">
        <v>947</v>
      </c>
      <c r="C896" s="65">
        <v>46216</v>
      </c>
      <c r="D896">
        <v>23974</v>
      </c>
      <c r="E896">
        <v>776</v>
      </c>
      <c r="F896" t="s">
        <v>962</v>
      </c>
      <c r="G896" t="s">
        <v>1025</v>
      </c>
      <c r="H896">
        <v>5000000</v>
      </c>
      <c r="I896" t="s">
        <v>1011</v>
      </c>
      <c r="J896" t="s">
        <v>951</v>
      </c>
      <c r="K896" t="s">
        <v>1012</v>
      </c>
      <c r="L896" t="s">
        <v>951</v>
      </c>
      <c r="M896" t="s">
        <v>1026</v>
      </c>
      <c r="N896" t="s">
        <v>951</v>
      </c>
      <c r="O896" t="s">
        <v>951</v>
      </c>
    </row>
    <row r="897" spans="1:15" x14ac:dyDescent="0.25">
      <c r="A897" t="s">
        <v>946</v>
      </c>
      <c r="B897" t="s">
        <v>947</v>
      </c>
      <c r="C897" s="65">
        <v>46216</v>
      </c>
      <c r="D897">
        <v>23985</v>
      </c>
      <c r="E897">
        <v>181</v>
      </c>
      <c r="F897" t="s">
        <v>962</v>
      </c>
      <c r="G897" t="s">
        <v>977</v>
      </c>
      <c r="H897">
        <v>3000880</v>
      </c>
      <c r="I897" t="s">
        <v>1003</v>
      </c>
      <c r="J897" t="s">
        <v>951</v>
      </c>
      <c r="K897" t="s">
        <v>1004</v>
      </c>
      <c r="L897" t="s">
        <v>951</v>
      </c>
      <c r="M897" t="s">
        <v>980</v>
      </c>
      <c r="N897" t="s">
        <v>958</v>
      </c>
      <c r="O897" t="s">
        <v>959</v>
      </c>
    </row>
    <row r="898" spans="1:15" x14ac:dyDescent="0.25">
      <c r="A898" t="s">
        <v>946</v>
      </c>
      <c r="B898" t="s">
        <v>947</v>
      </c>
      <c r="C898" s="65">
        <v>46216</v>
      </c>
      <c r="D898">
        <v>23986</v>
      </c>
      <c r="E898">
        <v>182</v>
      </c>
      <c r="F898" t="s">
        <v>962</v>
      </c>
      <c r="G898" t="s">
        <v>977</v>
      </c>
      <c r="H898">
        <v>3038000</v>
      </c>
      <c r="I898" t="s">
        <v>1003</v>
      </c>
      <c r="J898" t="s">
        <v>951</v>
      </c>
      <c r="K898" t="s">
        <v>1004</v>
      </c>
      <c r="L898" t="s">
        <v>951</v>
      </c>
      <c r="M898" t="s">
        <v>980</v>
      </c>
      <c r="N898" t="s">
        <v>958</v>
      </c>
      <c r="O898" t="s">
        <v>959</v>
      </c>
    </row>
    <row r="899" spans="1:15" x14ac:dyDescent="0.25">
      <c r="A899" t="s">
        <v>946</v>
      </c>
      <c r="B899" t="s">
        <v>947</v>
      </c>
      <c r="C899" s="65">
        <v>46216</v>
      </c>
      <c r="D899">
        <v>23987</v>
      </c>
      <c r="E899">
        <v>183</v>
      </c>
      <c r="F899" t="s">
        <v>962</v>
      </c>
      <c r="G899" t="s">
        <v>977</v>
      </c>
      <c r="H899">
        <v>2100000</v>
      </c>
      <c r="I899" t="s">
        <v>1003</v>
      </c>
      <c r="J899" t="s">
        <v>951</v>
      </c>
      <c r="K899" t="s">
        <v>1004</v>
      </c>
      <c r="L899" t="s">
        <v>951</v>
      </c>
      <c r="M899" t="s">
        <v>980</v>
      </c>
      <c r="N899" t="s">
        <v>958</v>
      </c>
      <c r="O899" t="s">
        <v>959</v>
      </c>
    </row>
    <row r="900" spans="1:15" x14ac:dyDescent="0.25">
      <c r="A900" t="s">
        <v>946</v>
      </c>
      <c r="B900" t="s">
        <v>947</v>
      </c>
      <c r="C900" s="65">
        <v>46216</v>
      </c>
      <c r="D900">
        <v>24019</v>
      </c>
      <c r="E900">
        <v>782</v>
      </c>
      <c r="F900" t="s">
        <v>962</v>
      </c>
      <c r="G900" t="s">
        <v>977</v>
      </c>
      <c r="H900">
        <v>10000000</v>
      </c>
      <c r="I900" t="s">
        <v>984</v>
      </c>
      <c r="J900" t="s">
        <v>951</v>
      </c>
      <c r="K900" t="s">
        <v>985</v>
      </c>
      <c r="L900" t="s">
        <v>951</v>
      </c>
      <c r="M900" t="s">
        <v>980</v>
      </c>
      <c r="N900" t="s">
        <v>958</v>
      </c>
      <c r="O900" t="s">
        <v>959</v>
      </c>
    </row>
    <row r="901" spans="1:15" x14ac:dyDescent="0.25">
      <c r="A901" t="s">
        <v>946</v>
      </c>
      <c r="B901" t="s">
        <v>947</v>
      </c>
      <c r="C901" s="65">
        <v>46216</v>
      </c>
      <c r="D901">
        <v>24020</v>
      </c>
      <c r="E901">
        <v>783</v>
      </c>
      <c r="F901" t="s">
        <v>962</v>
      </c>
      <c r="G901" t="s">
        <v>977</v>
      </c>
      <c r="H901">
        <v>10000000</v>
      </c>
      <c r="I901" t="s">
        <v>984</v>
      </c>
      <c r="J901" t="s">
        <v>951</v>
      </c>
      <c r="K901" t="s">
        <v>985</v>
      </c>
      <c r="L901" t="s">
        <v>951</v>
      </c>
      <c r="M901" t="s">
        <v>980</v>
      </c>
      <c r="N901" t="s">
        <v>958</v>
      </c>
      <c r="O901" t="s">
        <v>959</v>
      </c>
    </row>
    <row r="902" spans="1:15" x14ac:dyDescent="0.25">
      <c r="A902" t="s">
        <v>946</v>
      </c>
      <c r="B902" t="s">
        <v>947</v>
      </c>
      <c r="C902" s="65">
        <v>46216</v>
      </c>
      <c r="D902">
        <v>24021</v>
      </c>
      <c r="E902">
        <v>784</v>
      </c>
      <c r="F902" t="s">
        <v>962</v>
      </c>
      <c r="G902" t="s">
        <v>977</v>
      </c>
      <c r="H902">
        <v>7512659.71</v>
      </c>
      <c r="I902" t="s">
        <v>984</v>
      </c>
      <c r="J902" t="s">
        <v>951</v>
      </c>
      <c r="K902" t="s">
        <v>985</v>
      </c>
      <c r="L902" t="s">
        <v>951</v>
      </c>
      <c r="M902" t="s">
        <v>980</v>
      </c>
      <c r="N902" t="s">
        <v>958</v>
      </c>
      <c r="O902" t="s">
        <v>959</v>
      </c>
    </row>
    <row r="903" spans="1:15" x14ac:dyDescent="0.25">
      <c r="A903" t="s">
        <v>946</v>
      </c>
      <c r="B903" t="s">
        <v>947</v>
      </c>
      <c r="C903" s="65">
        <v>46216</v>
      </c>
      <c r="D903">
        <v>24022</v>
      </c>
      <c r="E903">
        <v>776</v>
      </c>
      <c r="F903" t="s">
        <v>962</v>
      </c>
      <c r="G903" t="s">
        <v>977</v>
      </c>
      <c r="H903">
        <v>10000000</v>
      </c>
      <c r="I903" t="s">
        <v>1019</v>
      </c>
      <c r="J903" t="s">
        <v>951</v>
      </c>
      <c r="K903" t="s">
        <v>1020</v>
      </c>
      <c r="L903" t="s">
        <v>951</v>
      </c>
      <c r="M903" t="s">
        <v>980</v>
      </c>
      <c r="N903" t="s">
        <v>958</v>
      </c>
      <c r="O903" t="s">
        <v>959</v>
      </c>
    </row>
    <row r="904" spans="1:15" x14ac:dyDescent="0.25">
      <c r="A904" t="s">
        <v>946</v>
      </c>
      <c r="B904" t="s">
        <v>947</v>
      </c>
      <c r="C904" s="65">
        <v>46216</v>
      </c>
      <c r="D904">
        <v>24023</v>
      </c>
      <c r="E904">
        <v>777</v>
      </c>
      <c r="F904" t="s">
        <v>962</v>
      </c>
      <c r="G904" t="s">
        <v>977</v>
      </c>
      <c r="H904">
        <v>6469195.79</v>
      </c>
      <c r="I904" t="s">
        <v>1019</v>
      </c>
      <c r="J904" t="s">
        <v>951</v>
      </c>
      <c r="K904" t="s">
        <v>1020</v>
      </c>
      <c r="L904" t="s">
        <v>951</v>
      </c>
      <c r="M904" t="s">
        <v>980</v>
      </c>
      <c r="N904" t="s">
        <v>958</v>
      </c>
      <c r="O904" t="s">
        <v>959</v>
      </c>
    </row>
    <row r="905" spans="1:15" x14ac:dyDescent="0.25">
      <c r="A905" t="s">
        <v>946</v>
      </c>
      <c r="B905" t="s">
        <v>947</v>
      </c>
      <c r="C905" s="65">
        <v>46217</v>
      </c>
      <c r="D905">
        <v>23899</v>
      </c>
      <c r="E905">
        <v>13653681</v>
      </c>
      <c r="F905" t="s">
        <v>962</v>
      </c>
      <c r="G905" t="s">
        <v>963</v>
      </c>
      <c r="H905">
        <v>2300000</v>
      </c>
      <c r="I905" t="s">
        <v>964</v>
      </c>
      <c r="J905" t="s">
        <v>951</v>
      </c>
      <c r="K905" t="s">
        <v>965</v>
      </c>
      <c r="L905" t="s">
        <v>951</v>
      </c>
      <c r="M905" t="s">
        <v>966</v>
      </c>
      <c r="N905" t="s">
        <v>958</v>
      </c>
      <c r="O905" t="s">
        <v>959</v>
      </c>
    </row>
    <row r="906" spans="1:15" x14ac:dyDescent="0.25">
      <c r="A906" t="s">
        <v>946</v>
      </c>
      <c r="B906" t="s">
        <v>947</v>
      </c>
      <c r="C906" s="65">
        <v>46217</v>
      </c>
      <c r="D906">
        <v>23919</v>
      </c>
      <c r="E906">
        <v>78056260</v>
      </c>
      <c r="F906" t="s">
        <v>962</v>
      </c>
      <c r="G906" t="s">
        <v>967</v>
      </c>
      <c r="H906">
        <v>1380000</v>
      </c>
      <c r="I906" t="s">
        <v>968</v>
      </c>
      <c r="J906" t="s">
        <v>951</v>
      </c>
      <c r="K906" t="s">
        <v>969</v>
      </c>
      <c r="L906" t="s">
        <v>951</v>
      </c>
      <c r="M906" t="s">
        <v>970</v>
      </c>
      <c r="N906" t="s">
        <v>958</v>
      </c>
      <c r="O906" t="s">
        <v>959</v>
      </c>
    </row>
    <row r="907" spans="1:15" x14ac:dyDescent="0.25">
      <c r="A907" t="s">
        <v>946</v>
      </c>
      <c r="B907" t="s">
        <v>947</v>
      </c>
      <c r="C907" s="65">
        <v>46218</v>
      </c>
      <c r="D907">
        <v>23900</v>
      </c>
      <c r="E907">
        <v>13653682</v>
      </c>
      <c r="F907" t="s">
        <v>962</v>
      </c>
      <c r="G907" t="s">
        <v>963</v>
      </c>
      <c r="H907">
        <v>2300000</v>
      </c>
      <c r="I907" t="s">
        <v>964</v>
      </c>
      <c r="J907" t="s">
        <v>951</v>
      </c>
      <c r="K907" t="s">
        <v>965</v>
      </c>
      <c r="L907" t="s">
        <v>951</v>
      </c>
      <c r="M907" t="s">
        <v>966</v>
      </c>
      <c r="N907" t="s">
        <v>958</v>
      </c>
      <c r="O907" t="s">
        <v>959</v>
      </c>
    </row>
    <row r="908" spans="1:15" x14ac:dyDescent="0.25">
      <c r="A908" t="s">
        <v>946</v>
      </c>
      <c r="B908" t="s">
        <v>947</v>
      </c>
      <c r="C908" s="65">
        <v>46218</v>
      </c>
      <c r="D908">
        <v>24044</v>
      </c>
      <c r="E908">
        <v>67582854</v>
      </c>
      <c r="F908" t="s">
        <v>948</v>
      </c>
      <c r="G908" t="s">
        <v>977</v>
      </c>
      <c r="H908">
        <v>1500000</v>
      </c>
      <c r="I908" t="s">
        <v>1019</v>
      </c>
      <c r="J908" t="s">
        <v>951</v>
      </c>
      <c r="K908" t="s">
        <v>1020</v>
      </c>
      <c r="L908" t="s">
        <v>951</v>
      </c>
      <c r="M908" t="s">
        <v>980</v>
      </c>
      <c r="N908" t="s">
        <v>958</v>
      </c>
      <c r="O908" t="s">
        <v>959</v>
      </c>
    </row>
    <row r="909" spans="1:15" x14ac:dyDescent="0.25">
      <c r="A909" t="s">
        <v>946</v>
      </c>
      <c r="B909" t="s">
        <v>947</v>
      </c>
      <c r="C909" s="65">
        <v>46218</v>
      </c>
      <c r="D909">
        <v>24064</v>
      </c>
      <c r="E909">
        <v>5280</v>
      </c>
      <c r="F909" t="s">
        <v>962</v>
      </c>
      <c r="G909" t="s">
        <v>967</v>
      </c>
      <c r="H909">
        <v>2161673.75</v>
      </c>
      <c r="I909" t="s">
        <v>1005</v>
      </c>
      <c r="J909" t="s">
        <v>951</v>
      </c>
      <c r="K909" t="s">
        <v>1006</v>
      </c>
      <c r="L909" t="s">
        <v>951</v>
      </c>
      <c r="M909" t="s">
        <v>970</v>
      </c>
      <c r="N909" t="s">
        <v>958</v>
      </c>
      <c r="O909" t="s">
        <v>959</v>
      </c>
    </row>
    <row r="910" spans="1:15" x14ac:dyDescent="0.25">
      <c r="A910" t="s">
        <v>946</v>
      </c>
      <c r="B910" t="s">
        <v>947</v>
      </c>
      <c r="C910" s="65">
        <v>46219</v>
      </c>
      <c r="D910">
        <v>23901</v>
      </c>
      <c r="E910">
        <v>13653683</v>
      </c>
      <c r="F910" t="s">
        <v>962</v>
      </c>
      <c r="G910" t="s">
        <v>963</v>
      </c>
      <c r="H910">
        <v>2300000</v>
      </c>
      <c r="I910" t="s">
        <v>964</v>
      </c>
      <c r="J910" t="s">
        <v>951</v>
      </c>
      <c r="K910" t="s">
        <v>965</v>
      </c>
      <c r="L910" t="s">
        <v>951</v>
      </c>
      <c r="M910" t="s">
        <v>966</v>
      </c>
      <c r="N910" t="s">
        <v>958</v>
      </c>
      <c r="O910" t="s">
        <v>959</v>
      </c>
    </row>
    <row r="911" spans="1:15" x14ac:dyDescent="0.25">
      <c r="A911" t="s">
        <v>946</v>
      </c>
      <c r="B911" t="s">
        <v>947</v>
      </c>
      <c r="C911" s="65">
        <v>46219</v>
      </c>
      <c r="D911">
        <v>23920</v>
      </c>
      <c r="E911">
        <v>78056261</v>
      </c>
      <c r="F911" t="s">
        <v>962</v>
      </c>
      <c r="G911" t="s">
        <v>967</v>
      </c>
      <c r="H911">
        <v>1361542.5</v>
      </c>
      <c r="I911" t="s">
        <v>968</v>
      </c>
      <c r="J911" t="s">
        <v>951</v>
      </c>
      <c r="K911" t="s">
        <v>969</v>
      </c>
      <c r="L911" t="s">
        <v>951</v>
      </c>
      <c r="M911" t="s">
        <v>970</v>
      </c>
      <c r="N911" t="s">
        <v>958</v>
      </c>
      <c r="O911" t="s">
        <v>959</v>
      </c>
    </row>
    <row r="912" spans="1:15" x14ac:dyDescent="0.25">
      <c r="A912" t="s">
        <v>946</v>
      </c>
      <c r="B912" t="s">
        <v>947</v>
      </c>
      <c r="C912" s="65">
        <v>46220</v>
      </c>
      <c r="D912">
        <v>23902</v>
      </c>
      <c r="E912">
        <v>13653684</v>
      </c>
      <c r="F912" t="s">
        <v>962</v>
      </c>
      <c r="G912" t="s">
        <v>963</v>
      </c>
      <c r="H912">
        <v>2300000</v>
      </c>
      <c r="I912" t="s">
        <v>964</v>
      </c>
      <c r="J912" t="s">
        <v>951</v>
      </c>
      <c r="K912" t="s">
        <v>965</v>
      </c>
      <c r="L912" t="s">
        <v>951</v>
      </c>
      <c r="M912" t="s">
        <v>966</v>
      </c>
      <c r="N912" t="s">
        <v>958</v>
      </c>
      <c r="O912" t="s">
        <v>959</v>
      </c>
    </row>
    <row r="913" spans="1:15" x14ac:dyDescent="0.25">
      <c r="A913" t="s">
        <v>946</v>
      </c>
      <c r="B913" t="s">
        <v>947</v>
      </c>
      <c r="C913" s="65">
        <v>46220</v>
      </c>
      <c r="D913">
        <v>23910</v>
      </c>
      <c r="E913">
        <v>7183</v>
      </c>
      <c r="F913" t="s">
        <v>962</v>
      </c>
      <c r="G913" t="s">
        <v>977</v>
      </c>
      <c r="H913">
        <v>57771371.600000001</v>
      </c>
      <c r="I913" t="s">
        <v>978</v>
      </c>
      <c r="J913" t="s">
        <v>951</v>
      </c>
      <c r="K913" t="s">
        <v>979</v>
      </c>
      <c r="L913" t="s">
        <v>951</v>
      </c>
      <c r="M913" t="s">
        <v>980</v>
      </c>
      <c r="N913" t="s">
        <v>958</v>
      </c>
      <c r="O913" t="s">
        <v>959</v>
      </c>
    </row>
    <row r="914" spans="1:15" x14ac:dyDescent="0.25">
      <c r="A914" t="s">
        <v>946</v>
      </c>
      <c r="B914" t="s">
        <v>947</v>
      </c>
      <c r="C914" s="65">
        <v>46220</v>
      </c>
      <c r="D914">
        <v>23942</v>
      </c>
      <c r="E914">
        <v>13653751</v>
      </c>
      <c r="F914" t="s">
        <v>962</v>
      </c>
      <c r="G914" t="s">
        <v>963</v>
      </c>
      <c r="H914">
        <v>5100000</v>
      </c>
      <c r="I914" t="s">
        <v>964</v>
      </c>
      <c r="J914" t="s">
        <v>951</v>
      </c>
      <c r="K914" t="s">
        <v>965</v>
      </c>
      <c r="L914" t="s">
        <v>951</v>
      </c>
      <c r="M914" t="s">
        <v>966</v>
      </c>
      <c r="N914" t="s">
        <v>958</v>
      </c>
      <c r="O914" t="s">
        <v>959</v>
      </c>
    </row>
    <row r="915" spans="1:15" x14ac:dyDescent="0.25">
      <c r="A915" t="s">
        <v>946</v>
      </c>
      <c r="B915" t="s">
        <v>947</v>
      </c>
      <c r="C915" s="65">
        <v>46223</v>
      </c>
      <c r="D915">
        <v>23267</v>
      </c>
      <c r="E915">
        <v>3436588</v>
      </c>
      <c r="F915" t="s">
        <v>962</v>
      </c>
      <c r="G915" t="s">
        <v>960</v>
      </c>
      <c r="H915">
        <v>1934482.85</v>
      </c>
      <c r="I915" t="s">
        <v>1027</v>
      </c>
      <c r="J915" t="s">
        <v>951</v>
      </c>
      <c r="K915" t="s">
        <v>1028</v>
      </c>
      <c r="L915" t="s">
        <v>951</v>
      </c>
      <c r="M915" t="s">
        <v>961</v>
      </c>
      <c r="N915" t="s">
        <v>958</v>
      </c>
      <c r="O915" t="s">
        <v>959</v>
      </c>
    </row>
    <row r="916" spans="1:15" x14ac:dyDescent="0.25">
      <c r="A916" t="s">
        <v>946</v>
      </c>
      <c r="B916" t="s">
        <v>947</v>
      </c>
      <c r="C916" s="65">
        <v>46223</v>
      </c>
      <c r="D916">
        <v>23943</v>
      </c>
      <c r="E916">
        <v>13653752</v>
      </c>
      <c r="F916" t="s">
        <v>962</v>
      </c>
      <c r="G916" t="s">
        <v>963</v>
      </c>
      <c r="H916">
        <v>5100000</v>
      </c>
      <c r="I916" t="s">
        <v>964</v>
      </c>
      <c r="J916" t="s">
        <v>951</v>
      </c>
      <c r="K916" t="s">
        <v>965</v>
      </c>
      <c r="L916" t="s">
        <v>951</v>
      </c>
      <c r="M916" t="s">
        <v>966</v>
      </c>
      <c r="N916" t="s">
        <v>958</v>
      </c>
      <c r="O916" t="s">
        <v>959</v>
      </c>
    </row>
    <row r="917" spans="1:15" x14ac:dyDescent="0.25">
      <c r="A917" t="s">
        <v>946</v>
      </c>
      <c r="B917" t="s">
        <v>947</v>
      </c>
      <c r="C917" s="65">
        <v>46223</v>
      </c>
      <c r="D917">
        <v>23944</v>
      </c>
      <c r="E917">
        <v>13653753</v>
      </c>
      <c r="F917" t="s">
        <v>962</v>
      </c>
      <c r="G917" t="s">
        <v>963</v>
      </c>
      <c r="H917">
        <v>5100000</v>
      </c>
      <c r="I917" t="s">
        <v>964</v>
      </c>
      <c r="J917" t="s">
        <v>951</v>
      </c>
      <c r="K917" t="s">
        <v>965</v>
      </c>
      <c r="L917" t="s">
        <v>951</v>
      </c>
      <c r="M917" t="s">
        <v>966</v>
      </c>
      <c r="N917" t="s">
        <v>958</v>
      </c>
      <c r="O917" t="s">
        <v>959</v>
      </c>
    </row>
    <row r="918" spans="1:15" x14ac:dyDescent="0.25">
      <c r="A918" t="s">
        <v>946</v>
      </c>
      <c r="B918" t="s">
        <v>947</v>
      </c>
      <c r="C918" s="65">
        <v>46227</v>
      </c>
      <c r="D918">
        <v>24026</v>
      </c>
      <c r="E918">
        <v>7213</v>
      </c>
      <c r="F918" t="s">
        <v>962</v>
      </c>
      <c r="G918" t="s">
        <v>977</v>
      </c>
      <c r="H918">
        <v>31000000</v>
      </c>
      <c r="I918" t="s">
        <v>978</v>
      </c>
      <c r="J918" t="s">
        <v>951</v>
      </c>
      <c r="K918" t="s">
        <v>979</v>
      </c>
      <c r="L918" t="s">
        <v>951</v>
      </c>
      <c r="M918" t="s">
        <v>980</v>
      </c>
      <c r="N918" t="s">
        <v>958</v>
      </c>
      <c r="O918" t="s">
        <v>959</v>
      </c>
    </row>
    <row r="919" spans="1:15" x14ac:dyDescent="0.25">
      <c r="A919" t="s">
        <v>946</v>
      </c>
      <c r="B919" t="s">
        <v>947</v>
      </c>
      <c r="C919" s="65">
        <v>46234</v>
      </c>
      <c r="D919">
        <v>24027</v>
      </c>
      <c r="E919">
        <v>7214</v>
      </c>
      <c r="F919" t="s">
        <v>962</v>
      </c>
      <c r="G919" t="s">
        <v>977</v>
      </c>
      <c r="H919">
        <v>31251308</v>
      </c>
      <c r="I919" t="s">
        <v>978</v>
      </c>
      <c r="J919" t="s">
        <v>951</v>
      </c>
      <c r="K919" t="s">
        <v>979</v>
      </c>
      <c r="L919" t="s">
        <v>951</v>
      </c>
      <c r="M919" t="s">
        <v>980</v>
      </c>
      <c r="N919" t="s">
        <v>958</v>
      </c>
      <c r="O919" t="s">
        <v>959</v>
      </c>
    </row>
    <row r="920" spans="1:15" x14ac:dyDescent="0.25">
      <c r="A920" t="s">
        <v>836</v>
      </c>
    </row>
    <row r="921" spans="1:15" x14ac:dyDescent="0.25">
      <c r="A921" t="s">
        <v>929</v>
      </c>
    </row>
    <row r="922" spans="1:15" x14ac:dyDescent="0.25">
      <c r="A922" t="s">
        <v>1029</v>
      </c>
    </row>
    <row r="923" spans="1:15" x14ac:dyDescent="0.25">
      <c r="A923" t="s">
        <v>1030</v>
      </c>
    </row>
  </sheetData>
  <mergeCells count="3">
    <mergeCell ref="A1:G1"/>
    <mergeCell ref="A2:G2"/>
    <mergeCell ref="A460:G46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85"/>
  <sheetViews>
    <sheetView showGridLines="0" zoomScaleNormal="100" workbookViewId="0">
      <pane ySplit="4" topLeftCell="A262" activePane="bottomLeft" state="frozen"/>
      <selection pane="bottomLeft" activeCell="E281" sqref="E281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1" t="s">
        <v>157</v>
      </c>
      <c r="B1" s="71"/>
      <c r="C1" s="71"/>
      <c r="D1" s="71"/>
      <c r="E1" s="71"/>
      <c r="F1" s="71"/>
    </row>
    <row r="2" spans="1:6" ht="15.75" customHeight="1" x14ac:dyDescent="0.25">
      <c r="A2" s="81" t="s">
        <v>158</v>
      </c>
      <c r="B2" s="81"/>
      <c r="C2" s="81"/>
      <c r="D2" s="81"/>
      <c r="E2" s="81"/>
      <c r="F2" s="81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CLEANING IN PACE S.R.L.</v>
      </c>
      <c r="B5" t="str">
        <f>+Hoja1!A2</f>
        <v>09021</v>
      </c>
      <c r="C5" s="66">
        <f>+Hoja1!K2</f>
        <v>6428854.5099999998</v>
      </c>
      <c r="D5" s="24">
        <f>+C5/$D$3</f>
        <v>4433.6927655172412</v>
      </c>
      <c r="E5" s="50">
        <f t="shared" ref="E5:E68" si="0">+D5/$D$283</f>
        <v>1.2054912648699889E-3</v>
      </c>
      <c r="F5" s="51"/>
    </row>
    <row r="6" spans="1:6" ht="15.75" customHeight="1" x14ac:dyDescent="0.25">
      <c r="A6" t="str">
        <f>+Hoja1!B3</f>
        <v> LA INDUSTRIAL ELECTRICA S A</v>
      </c>
      <c r="B6" t="str">
        <f>+Hoja1!A3</f>
        <v>09007</v>
      </c>
      <c r="C6" s="66">
        <f>+Hoja1!K3</f>
        <v>1.08</v>
      </c>
      <c r="D6" s="24">
        <f t="shared" ref="D6:D69" si="1">+C6/$D$3</f>
        <v>7.448275862068966E-4</v>
      </c>
      <c r="E6" s="50">
        <f t="shared" si="0"/>
        <v>2.0251361483363049E-10</v>
      </c>
      <c r="F6" s="51"/>
    </row>
    <row r="7" spans="1:6" ht="15.75" customHeight="1" x14ac:dyDescent="0.25">
      <c r="A7" t="str">
        <f>+Hoja1!B4</f>
        <v> NALDO LOMBARDI S A</v>
      </c>
      <c r="B7" t="str">
        <f>+Hoja1!A4</f>
        <v>08250</v>
      </c>
      <c r="C7" s="66">
        <f>+Hoja1!K4</f>
        <v>218997</v>
      </c>
      <c r="D7" s="24">
        <f t="shared" si="1"/>
        <v>151.03241379310344</v>
      </c>
      <c r="E7" s="50">
        <f t="shared" si="0"/>
        <v>4.1064698247889418E-5</v>
      </c>
      <c r="F7" s="51"/>
    </row>
    <row r="8" spans="1:6" ht="15.75" customHeight="1" x14ac:dyDescent="0.25">
      <c r="A8" t="str">
        <f>+Hoja1!B5</f>
        <v> SALEM ALDO ALBERTO Y AICARDI DERNANDO SEBASTIAN S H</v>
      </c>
      <c r="B8" t="str">
        <f>+Hoja1!A5</f>
        <v>05594</v>
      </c>
      <c r="C8" s="66">
        <f>+Hoja1!K5</f>
        <v>8383134.0999999996</v>
      </c>
      <c r="D8" s="24">
        <f t="shared" si="1"/>
        <v>5781.4717931034484</v>
      </c>
      <c r="E8" s="50">
        <f t="shared" si="0"/>
        <v>1.5719433242834013E-3</v>
      </c>
      <c r="F8" s="51"/>
    </row>
    <row r="9" spans="1:6" ht="15.75" customHeight="1" x14ac:dyDescent="0.25">
      <c r="A9" t="str">
        <f>+Hoja1!B6</f>
        <v>A LONEIRA S.A.</v>
      </c>
      <c r="B9" t="str">
        <f>+Hoja1!A6</f>
        <v>07467</v>
      </c>
      <c r="C9" s="66">
        <f>+Hoja1!K6</f>
        <v>685000</v>
      </c>
      <c r="D9" s="24">
        <f t="shared" si="1"/>
        <v>472.41379310344826</v>
      </c>
      <c r="E9" s="50">
        <f t="shared" si="0"/>
        <v>1.2844613533429338E-4</v>
      </c>
      <c r="F9" s="51"/>
    </row>
    <row r="10" spans="1:6" ht="15.75" customHeight="1" x14ac:dyDescent="0.25">
      <c r="A10" t="str">
        <f>+Hoja1!B7</f>
        <v>ABETE Y CIA. S.A.</v>
      </c>
      <c r="B10" t="str">
        <f>+Hoja1!A7</f>
        <v>00128</v>
      </c>
      <c r="C10" s="66">
        <f>+Hoja1!K7</f>
        <v>3507488.95</v>
      </c>
      <c r="D10" s="24">
        <f t="shared" si="1"/>
        <v>2418.9578965517244</v>
      </c>
      <c r="E10" s="50">
        <f t="shared" si="0"/>
        <v>6.5769839467918058E-4</v>
      </c>
      <c r="F10" s="51"/>
    </row>
    <row r="11" spans="1:6" ht="15.75" customHeight="1" x14ac:dyDescent="0.25">
      <c r="A11" t="str">
        <f>+Hoja1!B8</f>
        <v>ABREU JOSE LUIS</v>
      </c>
      <c r="B11" t="str">
        <f>+Hoja1!A8</f>
        <v>07598</v>
      </c>
      <c r="C11" s="66">
        <f>+Hoja1!K8</f>
        <v>508267.1</v>
      </c>
      <c r="D11" s="24">
        <f t="shared" si="1"/>
        <v>350.52903448275862</v>
      </c>
      <c r="E11" s="50">
        <f t="shared" si="0"/>
        <v>9.5306488631487348E-5</v>
      </c>
      <c r="F11" s="51"/>
    </row>
    <row r="12" spans="1:6" ht="15.75" customHeight="1" x14ac:dyDescent="0.25">
      <c r="A12" t="str">
        <f>+Hoja1!B9</f>
        <v>ACUPRI S. R. L</v>
      </c>
      <c r="B12" t="str">
        <f>+Hoja1!A9</f>
        <v>06732</v>
      </c>
      <c r="C12" s="66">
        <f>+Hoja1!K9</f>
        <v>1355200</v>
      </c>
      <c r="D12" s="24">
        <f t="shared" si="1"/>
        <v>934.62068965517244</v>
      </c>
      <c r="E12" s="50">
        <f t="shared" si="0"/>
        <v>2.5411708409494075E-4</v>
      </c>
      <c r="F12" s="51"/>
    </row>
    <row r="13" spans="1:6" ht="15.75" customHeight="1" x14ac:dyDescent="0.25">
      <c r="A13" t="str">
        <f>+Hoja1!B10</f>
        <v>ADECCO ARGENTINA SA</v>
      </c>
      <c r="B13" t="str">
        <f>+Hoja1!A10</f>
        <v>08892</v>
      </c>
      <c r="C13" s="66">
        <f>+Hoja1!K10</f>
        <v>179.54</v>
      </c>
      <c r="D13" s="24">
        <f t="shared" si="1"/>
        <v>0.12382068965517241</v>
      </c>
      <c r="E13" s="50">
        <f t="shared" si="0"/>
        <v>3.366601334002779E-8</v>
      </c>
      <c r="F13" s="51"/>
    </row>
    <row r="14" spans="1:6" ht="15.75" customHeight="1" x14ac:dyDescent="0.25">
      <c r="A14" t="str">
        <f>+Hoja1!B11</f>
        <v>ADMINISTRACION PORTUARIA DE PUERTO MADRYN</v>
      </c>
      <c r="B14" t="str">
        <f>+Hoja1!A11</f>
        <v>03315</v>
      </c>
      <c r="C14" s="66">
        <f>+Hoja1!K11</f>
        <v>3310060</v>
      </c>
      <c r="D14" s="24">
        <f t="shared" si="1"/>
        <v>2282.8000000000002</v>
      </c>
      <c r="E14" s="50">
        <f t="shared" si="0"/>
        <v>6.2067797770019157E-4</v>
      </c>
      <c r="F14" s="51"/>
    </row>
    <row r="15" spans="1:6" ht="15.75" customHeight="1" x14ac:dyDescent="0.25">
      <c r="A15" t="str">
        <f>+Hoja1!B12</f>
        <v>ADOLFO FORTIER S A C I F I A</v>
      </c>
      <c r="B15" t="str">
        <f>+Hoja1!A12</f>
        <v>00504</v>
      </c>
      <c r="C15" s="66">
        <f>+Hoja1!K12</f>
        <v>946441.43</v>
      </c>
      <c r="D15" s="24">
        <f t="shared" si="1"/>
        <v>652.71822758620692</v>
      </c>
      <c r="E15" s="50">
        <f t="shared" si="0"/>
        <v>1.7746969927556522E-4</v>
      </c>
      <c r="F15" s="51"/>
    </row>
    <row r="16" spans="1:6" ht="15.75" customHeight="1" x14ac:dyDescent="0.25">
      <c r="A16" t="str">
        <f>+Hoja1!B13</f>
        <v>ADOLFO KUHN SRL</v>
      </c>
      <c r="B16" t="str">
        <f>+Hoja1!A13</f>
        <v>05568</v>
      </c>
      <c r="C16" s="66">
        <f>+Hoja1!K13</f>
        <v>49247</v>
      </c>
      <c r="D16" s="24">
        <f t="shared" si="1"/>
        <v>33.963448275862071</v>
      </c>
      <c r="E16" s="50">
        <f t="shared" si="0"/>
        <v>9.2344333238072223E-6</v>
      </c>
      <c r="F16" s="51"/>
    </row>
    <row r="17" spans="1:6" ht="15.75" customHeight="1" x14ac:dyDescent="0.25">
      <c r="A17" t="str">
        <f>+Hoja1!B14</f>
        <v>ALEM LISANDRO</v>
      </c>
      <c r="B17" t="str">
        <f>+Hoja1!A14</f>
        <v>09524</v>
      </c>
      <c r="C17" s="66">
        <f>+Hoja1!K14</f>
        <v>951000</v>
      </c>
      <c r="D17" s="24">
        <f t="shared" si="1"/>
        <v>655.86206896551721</v>
      </c>
      <c r="E17" s="50">
        <f t="shared" si="0"/>
        <v>1.7832448861739125E-4</v>
      </c>
      <c r="F17" s="51"/>
    </row>
    <row r="18" spans="1:6" ht="15.75" customHeight="1" x14ac:dyDescent="0.25">
      <c r="A18" t="str">
        <f>+Hoja1!B15</f>
        <v>ALTA DISTRIBUCION SA</v>
      </c>
      <c r="B18" t="str">
        <f>+Hoja1!A15</f>
        <v>06176</v>
      </c>
      <c r="C18" s="66">
        <f>+Hoja1!K15</f>
        <v>650726.04</v>
      </c>
      <c r="D18" s="24">
        <f t="shared" si="1"/>
        <v>448.77657931034486</v>
      </c>
      <c r="E18" s="50">
        <f t="shared" si="0"/>
        <v>1.2201933576553113E-4</v>
      </c>
      <c r="F18" s="51"/>
    </row>
    <row r="19" spans="1:6" ht="15.75" customHeight="1" x14ac:dyDescent="0.25">
      <c r="A19" t="str">
        <f>+Hoja1!B16</f>
        <v>ALTAVILLA S.R.L.</v>
      </c>
      <c r="B19" t="str">
        <f>+Hoja1!A16</f>
        <v>07867</v>
      </c>
      <c r="C19" s="66">
        <f>+Hoja1!K16</f>
        <v>266057.08</v>
      </c>
      <c r="D19" s="24">
        <f t="shared" si="1"/>
        <v>183.48764137931036</v>
      </c>
      <c r="E19" s="50">
        <f t="shared" si="0"/>
        <v>4.988905650266705E-5</v>
      </c>
      <c r="F19" s="51"/>
    </row>
    <row r="20" spans="1:6" ht="15.75" customHeight="1" x14ac:dyDescent="0.25">
      <c r="A20" t="str">
        <f>+Hoja1!B17</f>
        <v>ALTIUS ARGENTINA S.A</v>
      </c>
      <c r="B20" t="str">
        <f>+Hoja1!A17</f>
        <v>06699</v>
      </c>
      <c r="C20" s="66">
        <f>+Hoja1!K17</f>
        <v>5631718.5</v>
      </c>
      <c r="D20" s="24">
        <f t="shared" si="1"/>
        <v>3883.9437931034481</v>
      </c>
      <c r="E20" s="50">
        <f t="shared" si="0"/>
        <v>1.0560182140374361E-3</v>
      </c>
      <c r="F20" s="51"/>
    </row>
    <row r="21" spans="1:6" ht="15.75" customHeight="1" x14ac:dyDescent="0.25">
      <c r="A21" t="str">
        <f>+Hoja1!B18</f>
        <v>AMX ARGENTINA S.A. (CAE)</v>
      </c>
      <c r="B21" t="str">
        <f>+Hoja1!A18</f>
        <v>00240</v>
      </c>
      <c r="C21" s="66">
        <f>+Hoja1!K18</f>
        <v>2616401.4700000002</v>
      </c>
      <c r="D21" s="24">
        <f t="shared" si="1"/>
        <v>1804.4148068965519</v>
      </c>
      <c r="E21" s="50">
        <f t="shared" si="0"/>
        <v>4.9060825883863392E-4</v>
      </c>
      <c r="F21" s="51"/>
    </row>
    <row r="22" spans="1:6" ht="15.75" customHeight="1" x14ac:dyDescent="0.25">
      <c r="A22" t="str">
        <f>+Hoja1!B19</f>
        <v>ARCAMONE ANA</v>
      </c>
      <c r="B22" t="str">
        <f>+Hoja1!A19</f>
        <v>07039</v>
      </c>
      <c r="C22" s="66">
        <f>+Hoja1!K19</f>
        <v>4772000</v>
      </c>
      <c r="D22" s="24">
        <f t="shared" si="1"/>
        <v>3291.0344827586205</v>
      </c>
      <c r="E22" s="50">
        <f t="shared" si="0"/>
        <v>8.9481015739452266E-4</v>
      </c>
      <c r="F22" s="51"/>
    </row>
    <row r="23" spans="1:6" ht="15.75" customHeight="1" x14ac:dyDescent="0.25">
      <c r="A23" t="str">
        <f>+Hoja1!B20</f>
        <v>ARRIVIAMO S.A.S.</v>
      </c>
      <c r="B23" t="str">
        <f>+Hoja1!A20</f>
        <v>09617</v>
      </c>
      <c r="C23" s="66">
        <f>+Hoja1!K20</f>
        <v>319440</v>
      </c>
      <c r="D23" s="24">
        <f t="shared" si="1"/>
        <v>220.30344827586208</v>
      </c>
      <c r="E23" s="50">
        <f t="shared" si="0"/>
        <v>5.9899026965236037E-5</v>
      </c>
      <c r="F23" s="51"/>
    </row>
    <row r="24" spans="1:6" ht="15.75" customHeight="1" x14ac:dyDescent="0.25">
      <c r="A24" t="str">
        <f>+Hoja1!B21</f>
        <v>ASSISTANCE FOOD ARGENTINA SA</v>
      </c>
      <c r="B24" t="str">
        <f>+Hoja1!A21</f>
        <v>04288</v>
      </c>
      <c r="C24" s="66">
        <f>+Hoja1!K21</f>
        <v>700590</v>
      </c>
      <c r="D24" s="24">
        <f t="shared" si="1"/>
        <v>483.16551724137929</v>
      </c>
      <c r="E24" s="50">
        <f t="shared" si="0"/>
        <v>1.313694568669381E-4</v>
      </c>
      <c r="F24" s="51"/>
    </row>
    <row r="25" spans="1:6" ht="15.75" customHeight="1" x14ac:dyDescent="0.25">
      <c r="A25" t="str">
        <f>+Hoja1!B22</f>
        <v>ASTILLERO DE ANGELIS S.A.</v>
      </c>
      <c r="B25" t="str">
        <f>+Hoja1!A22</f>
        <v>05763</v>
      </c>
      <c r="C25" s="66">
        <f>+Hoja1!K22</f>
        <v>1450000</v>
      </c>
      <c r="D25" s="24">
        <f t="shared" si="1"/>
        <v>1000</v>
      </c>
      <c r="E25" s="50">
        <f t="shared" si="0"/>
        <v>2.7189327917478165E-4</v>
      </c>
      <c r="F25" s="51"/>
    </row>
    <row r="26" spans="1:6" ht="15.75" customHeight="1" x14ac:dyDescent="0.25">
      <c r="A26" t="str">
        <f>+Hoja1!B23</f>
        <v>ASTRADA LUCA</v>
      </c>
      <c r="B26" t="str">
        <f>+Hoja1!A23</f>
        <v>09607</v>
      </c>
      <c r="C26" s="66">
        <f>+Hoja1!K23</f>
        <v>60000</v>
      </c>
      <c r="D26" s="24">
        <f t="shared" si="1"/>
        <v>41.379310344827587</v>
      </c>
      <c r="E26" s="50">
        <f t="shared" si="0"/>
        <v>1.1250756379646137E-5</v>
      </c>
      <c r="F26" s="51"/>
    </row>
    <row r="27" spans="1:6" ht="15.75" customHeight="1" x14ac:dyDescent="0.25">
      <c r="A27" t="str">
        <f>+Hoja1!B24</f>
        <v>ATLANTIS ELECTRONICS CORP</v>
      </c>
      <c r="B27" t="str">
        <f>+Hoja1!A24</f>
        <v>08001</v>
      </c>
      <c r="C27" s="66">
        <f>+Hoja1!K24</f>
        <v>22275036.960000001</v>
      </c>
      <c r="D27" s="24">
        <f t="shared" si="1"/>
        <v>15362.094455172415</v>
      </c>
      <c r="E27" s="50">
        <f t="shared" si="0"/>
        <v>4.1768502364095588E-3</v>
      </c>
      <c r="F27" s="51"/>
    </row>
    <row r="28" spans="1:6" ht="15.75" customHeight="1" x14ac:dyDescent="0.25">
      <c r="A28" t="str">
        <f>+Hoja1!B25</f>
        <v>AUTOVIA 3 S.A.</v>
      </c>
      <c r="B28" t="str">
        <f>+Hoja1!A25</f>
        <v>07846</v>
      </c>
      <c r="C28" s="66">
        <f>+Hoja1!K25</f>
        <v>2408015.9700000002</v>
      </c>
      <c r="D28" s="24">
        <f t="shared" si="1"/>
        <v>1660.7006689655175</v>
      </c>
      <c r="E28" s="50">
        <f t="shared" si="0"/>
        <v>4.515333506127881E-4</v>
      </c>
      <c r="F28" s="51"/>
    </row>
    <row r="29" spans="1:6" ht="15.75" customHeight="1" x14ac:dyDescent="0.25">
      <c r="A29" t="str">
        <f>+Hoja1!B26</f>
        <v>BARTOLOMEO ALBERTO ANGEL</v>
      </c>
      <c r="B29" t="str">
        <f>+Hoja1!A26</f>
        <v>00943</v>
      </c>
      <c r="C29" s="66">
        <f>+Hoja1!K26</f>
        <v>536625.12</v>
      </c>
      <c r="D29" s="24">
        <f t="shared" si="1"/>
        <v>370.08628965517244</v>
      </c>
      <c r="E29" s="50">
        <f t="shared" si="0"/>
        <v>1.006239748719729E-4</v>
      </c>
      <c r="F29" s="51"/>
    </row>
    <row r="30" spans="1:6" ht="15.75" customHeight="1" x14ac:dyDescent="0.25">
      <c r="A30" t="str">
        <f>+Hoja1!B27</f>
        <v>BASUALDO MATIAS RAFAEL</v>
      </c>
      <c r="B30" t="str">
        <f>+Hoja1!A27</f>
        <v>09093</v>
      </c>
      <c r="C30" s="66">
        <f>+Hoja1!K27</f>
        <v>75000</v>
      </c>
      <c r="D30" s="24">
        <f t="shared" si="1"/>
        <v>51.724137931034484</v>
      </c>
      <c r="E30" s="50">
        <f t="shared" si="0"/>
        <v>1.4063445474557671E-5</v>
      </c>
      <c r="F30" s="51"/>
    </row>
    <row r="31" spans="1:6" ht="15.75" customHeight="1" x14ac:dyDescent="0.25">
      <c r="A31" t="str">
        <f>+Hoja1!B28</f>
        <v>BELARMINI LISANDRO ANGEL</v>
      </c>
      <c r="B31" t="str">
        <f>+Hoja1!A28</f>
        <v>05727</v>
      </c>
      <c r="C31" s="66">
        <f>+Hoja1!K28</f>
        <v>4477000</v>
      </c>
      <c r="D31" s="24">
        <f t="shared" si="1"/>
        <v>3087.5862068965516</v>
      </c>
      <c r="E31" s="50">
        <f t="shared" si="0"/>
        <v>8.3949393852792917E-4</v>
      </c>
      <c r="F31" s="51"/>
    </row>
    <row r="32" spans="1:6" ht="15.75" customHeight="1" x14ac:dyDescent="0.25">
      <c r="A32" t="str">
        <f>+Hoja1!B29</f>
        <v>BELCHAMP SA</v>
      </c>
      <c r="B32" t="str">
        <f>+Hoja1!A29</f>
        <v>06080</v>
      </c>
      <c r="C32" s="66">
        <f>+Hoja1!K29</f>
        <v>3640956.77</v>
      </c>
      <c r="D32" s="24">
        <f t="shared" si="1"/>
        <v>2511.0046689655173</v>
      </c>
      <c r="E32" s="50">
        <f t="shared" si="0"/>
        <v>6.8272529346822153E-4</v>
      </c>
      <c r="F32" s="51"/>
    </row>
    <row r="33" spans="1:6" ht="15.75" customHeight="1" x14ac:dyDescent="0.25">
      <c r="A33" t="str">
        <f>+Hoja1!B30</f>
        <v>BELLA VISTA DEL MAR MDQ S.R.L.</v>
      </c>
      <c r="B33" t="str">
        <f>+Hoja1!A30</f>
        <v>08997</v>
      </c>
      <c r="C33" s="66">
        <f>+Hoja1!K30</f>
        <v>1383787.99</v>
      </c>
      <c r="D33" s="24">
        <f t="shared" si="1"/>
        <v>954.33654482758618</v>
      </c>
      <c r="E33" s="50">
        <f t="shared" si="0"/>
        <v>2.5947769260950342E-4</v>
      </c>
      <c r="F33" s="51"/>
    </row>
    <row r="34" spans="1:6" ht="15.75" customHeight="1" x14ac:dyDescent="0.25">
      <c r="A34" t="str">
        <f>+Hoja1!B31</f>
        <v>BENGOCHEA JORGE GABRIEL</v>
      </c>
      <c r="B34" t="str">
        <f>+Hoja1!A31</f>
        <v>03774</v>
      </c>
      <c r="C34" s="66">
        <f>+Hoja1!K31</f>
        <v>1827342</v>
      </c>
      <c r="D34" s="24">
        <f t="shared" si="1"/>
        <v>1260.2358620689656</v>
      </c>
      <c r="E34" s="50">
        <f t="shared" si="0"/>
        <v>3.426496610715889E-4</v>
      </c>
      <c r="F34" s="51"/>
    </row>
    <row r="35" spans="1:6" ht="15.75" customHeight="1" x14ac:dyDescent="0.25">
      <c r="A35" t="str">
        <f>+Hoja1!B32</f>
        <v>BERNABEU SONIA</v>
      </c>
      <c r="B35" t="str">
        <f>+Hoja1!A32</f>
        <v>05738</v>
      </c>
      <c r="C35" s="66">
        <f>+Hoja1!K32</f>
        <v>2458236</v>
      </c>
      <c r="D35" s="24">
        <f t="shared" si="1"/>
        <v>1695.3351724137931</v>
      </c>
      <c r="E35" s="50">
        <f t="shared" si="0"/>
        <v>4.6095023932792999E-4</v>
      </c>
      <c r="F35" s="51"/>
    </row>
    <row r="36" spans="1:6" ht="15.75" customHeight="1" x14ac:dyDescent="0.25">
      <c r="A36" t="str">
        <f>+Hoja1!B33</f>
        <v>BIANCHI LUCIA DEL CARMEN</v>
      </c>
      <c r="B36" t="str">
        <f>+Hoja1!A33</f>
        <v>07931</v>
      </c>
      <c r="C36" s="66">
        <f>+Hoja1!K33</f>
        <v>629999.93000000005</v>
      </c>
      <c r="D36" s="24">
        <f t="shared" si="1"/>
        <v>434.48271034482764</v>
      </c>
      <c r="E36" s="50">
        <f t="shared" si="0"/>
        <v>1.1813292886040201E-4</v>
      </c>
      <c r="F36" s="51"/>
    </row>
    <row r="37" spans="1:6" ht="15.75" customHeight="1" x14ac:dyDescent="0.25">
      <c r="A37" t="str">
        <f>+Hoja1!B34</f>
        <v>BRASAS JUAN IGNACIO</v>
      </c>
      <c r="B37" t="str">
        <f>+Hoja1!A34</f>
        <v>08399</v>
      </c>
      <c r="C37" s="66">
        <f>+Hoja1!K34</f>
        <v>397800</v>
      </c>
      <c r="D37" s="24">
        <f t="shared" si="1"/>
        <v>274.34482758620692</v>
      </c>
      <c r="E37" s="50">
        <f t="shared" si="0"/>
        <v>7.4592514797053896E-5</v>
      </c>
      <c r="F37" s="51"/>
    </row>
    <row r="38" spans="1:6" ht="15.75" customHeight="1" x14ac:dyDescent="0.25">
      <c r="A38" t="str">
        <f>+Hoja1!B35</f>
        <v>BRAVO MINNUCCI MDQ SOCIEDAD DE RESPONSABILIDAD LIMITADA</v>
      </c>
      <c r="B38" t="str">
        <f>+Hoja1!A35</f>
        <v>09060</v>
      </c>
      <c r="C38" s="66">
        <f>+Hoja1!K35</f>
        <v>3000000</v>
      </c>
      <c r="D38" s="24">
        <f t="shared" si="1"/>
        <v>2068.9655172413795</v>
      </c>
      <c r="E38" s="50">
        <f t="shared" si="0"/>
        <v>5.6253781898230688E-4</v>
      </c>
      <c r="F38" s="51"/>
    </row>
    <row r="39" spans="1:6" ht="15.75" customHeight="1" x14ac:dyDescent="0.25">
      <c r="A39" t="str">
        <f>+Hoja1!B36</f>
        <v>BUENOS AIRES EXPRESS S.R.L.</v>
      </c>
      <c r="B39" t="str">
        <f>+Hoja1!A36</f>
        <v>08035</v>
      </c>
      <c r="C39" s="66">
        <f>+Hoja1!K36</f>
        <v>200362.95</v>
      </c>
      <c r="D39" s="24">
        <f t="shared" si="1"/>
        <v>138.1813448275862</v>
      </c>
      <c r="E39" s="50">
        <f t="shared" si="0"/>
        <v>3.7570578965953665E-5</v>
      </c>
      <c r="F39" s="51"/>
    </row>
    <row r="40" spans="1:6" ht="15.75" customHeight="1" x14ac:dyDescent="0.25">
      <c r="A40" t="str">
        <f>+Hoja1!B37</f>
        <v>BULLBLACK SA</v>
      </c>
      <c r="B40" t="str">
        <f>+Hoja1!A37</f>
        <v>07597</v>
      </c>
      <c r="C40" s="66">
        <f>+Hoja1!K37</f>
        <v>14327604.359999999</v>
      </c>
      <c r="D40" s="24">
        <f t="shared" si="1"/>
        <v>9881.1064551724139</v>
      </c>
      <c r="E40" s="50">
        <f t="shared" si="0"/>
        <v>2.6866064359719302E-3</v>
      </c>
      <c r="F40" s="51"/>
    </row>
    <row r="41" spans="1:6" ht="15.75" customHeight="1" x14ac:dyDescent="0.25">
      <c r="A41" t="str">
        <f>+Hoja1!B38</f>
        <v>CABRALES S.A.</v>
      </c>
      <c r="B41" t="str">
        <f>+Hoja1!A38</f>
        <v>00532</v>
      </c>
      <c r="C41" s="66">
        <f>+Hoja1!K38</f>
        <v>-424211.37</v>
      </c>
      <c r="D41" s="24">
        <f t="shared" si="1"/>
        <v>-292.55956551724137</v>
      </c>
      <c r="E41" s="50">
        <f t="shared" si="0"/>
        <v>-7.9544979622432133E-5</v>
      </c>
      <c r="F41" s="51"/>
    </row>
    <row r="42" spans="1:6" ht="15.75" customHeight="1" x14ac:dyDescent="0.25">
      <c r="A42" t="str">
        <f>+Hoja1!B39</f>
        <v>CAJIDE JAVIER</v>
      </c>
      <c r="B42" t="str">
        <f>+Hoja1!A39</f>
        <v>08594</v>
      </c>
      <c r="C42" s="66">
        <f>+Hoja1!K39</f>
        <v>1805859.66</v>
      </c>
      <c r="D42" s="24">
        <f t="shared" si="1"/>
        <v>1245.4204551724138</v>
      </c>
      <c r="E42" s="50">
        <f t="shared" si="0"/>
        <v>3.3862145150817671E-4</v>
      </c>
      <c r="F42" s="51"/>
    </row>
    <row r="43" spans="1:6" ht="15.75" customHeight="1" x14ac:dyDescent="0.25">
      <c r="A43" t="str">
        <f>+Hoja1!B40</f>
        <v>CANALES ARIEL CESAR LUIS</v>
      </c>
      <c r="B43" t="str">
        <f>+Hoja1!A40</f>
        <v>06728</v>
      </c>
      <c r="C43" s="66">
        <f>+Hoja1!K40</f>
        <v>6679149.8300000001</v>
      </c>
      <c r="D43" s="24">
        <f t="shared" si="1"/>
        <v>4606.3102275862066</v>
      </c>
      <c r="E43" s="50">
        <f t="shared" si="0"/>
        <v>1.2524247926747484E-3</v>
      </c>
      <c r="F43" s="51"/>
    </row>
    <row r="44" spans="1:6" ht="15.75" customHeight="1" x14ac:dyDescent="0.25">
      <c r="A44" t="str">
        <f>+Hoja1!B41</f>
        <v>CARGO NET LOGISTIC S A</v>
      </c>
      <c r="B44" t="str">
        <f>+Hoja1!A41</f>
        <v>09170</v>
      </c>
      <c r="C44" s="66">
        <f>+Hoja1!K41</f>
        <v>3139097.62</v>
      </c>
      <c r="D44" s="24">
        <f t="shared" si="1"/>
        <v>2164.8949103448276</v>
      </c>
      <c r="E44" s="50">
        <f t="shared" si="0"/>
        <v>5.8862037624245005E-4</v>
      </c>
      <c r="F44" s="51"/>
    </row>
    <row r="45" spans="1:6" ht="15.75" customHeight="1" x14ac:dyDescent="0.25">
      <c r="A45" t="str">
        <f>+Hoja1!B42</f>
        <v>CARTONERIA ACEVEDO SACI</v>
      </c>
      <c r="B45" t="str">
        <f>+Hoja1!A42</f>
        <v>01006</v>
      </c>
      <c r="C45" s="66">
        <f>+Hoja1!K42</f>
        <v>121714404.05</v>
      </c>
      <c r="D45" s="24">
        <f t="shared" si="1"/>
        <v>83940.968310344819</v>
      </c>
      <c r="E45" s="50">
        <f t="shared" si="0"/>
        <v>2.2822985131006081E-2</v>
      </c>
      <c r="F45" s="51"/>
    </row>
    <row r="46" spans="1:6" ht="15.75" customHeight="1" x14ac:dyDescent="0.25">
      <c r="A46" t="str">
        <f>+Hoja1!B43</f>
        <v>CASA BLANCO S.A.</v>
      </c>
      <c r="B46" t="str">
        <f>+Hoja1!A43</f>
        <v>00073</v>
      </c>
      <c r="C46" s="66">
        <f>+Hoja1!K43</f>
        <v>11776614.24</v>
      </c>
      <c r="D46" s="24">
        <f t="shared" si="1"/>
        <v>8121.8029241379309</v>
      </c>
      <c r="E46" s="50">
        <f t="shared" si="0"/>
        <v>2.2082636298551921E-3</v>
      </c>
      <c r="F46" s="51"/>
    </row>
    <row r="47" spans="1:6" ht="15.75" customHeight="1" x14ac:dyDescent="0.25">
      <c r="A47" t="str">
        <f>+Hoja1!B44</f>
        <v>CASA MINGO S.R.L.</v>
      </c>
      <c r="B47" t="str">
        <f>+Hoja1!A44</f>
        <v>01849</v>
      </c>
      <c r="C47" s="66">
        <f>+Hoja1!K44</f>
        <v>1268511.24</v>
      </c>
      <c r="D47" s="24">
        <f t="shared" si="1"/>
        <v>874.83533793103447</v>
      </c>
      <c r="E47" s="50">
        <f t="shared" si="0"/>
        <v>2.3786184876804718E-4</v>
      </c>
      <c r="F47" s="51"/>
    </row>
    <row r="48" spans="1:6" ht="15.75" customHeight="1" x14ac:dyDescent="0.25">
      <c r="A48" t="str">
        <f>+Hoja1!B45</f>
        <v>CITYSSAN S.A.</v>
      </c>
      <c r="B48" t="str">
        <f>+Hoja1!A45</f>
        <v>07593</v>
      </c>
      <c r="C48" s="66">
        <f>+Hoja1!K45</f>
        <v>659654.56000000006</v>
      </c>
      <c r="D48" s="24">
        <f t="shared" si="1"/>
        <v>454.93417931034486</v>
      </c>
      <c r="E48" s="50">
        <f t="shared" si="0"/>
        <v>1.2369354582137776E-4</v>
      </c>
      <c r="F48" s="51"/>
    </row>
    <row r="49" spans="1:6" ht="15.75" customHeight="1" x14ac:dyDescent="0.25">
      <c r="A49" t="str">
        <f>+Hoja1!B46</f>
        <v>CLAVIJO LUGO JUAN DARIO</v>
      </c>
      <c r="B49" t="str">
        <f>+Hoja1!A46</f>
        <v>08143</v>
      </c>
      <c r="C49" s="66">
        <f>+Hoja1!K46</f>
        <v>398000</v>
      </c>
      <c r="D49" s="24">
        <f t="shared" si="1"/>
        <v>274.48275862068965</v>
      </c>
      <c r="E49" s="50">
        <f t="shared" si="0"/>
        <v>7.4630017318319368E-5</v>
      </c>
      <c r="F49" s="51"/>
    </row>
    <row r="50" spans="1:6" ht="15.75" customHeight="1" x14ac:dyDescent="0.25">
      <c r="A50" t="str">
        <f>+Hoja1!B47</f>
        <v>CMA CGM ARGENTINA S.A.</v>
      </c>
      <c r="B50" t="str">
        <f>+Hoja1!A47</f>
        <v>05707</v>
      </c>
      <c r="C50" s="66">
        <f>+Hoja1!K47</f>
        <v>217</v>
      </c>
      <c r="D50" s="24">
        <f t="shared" si="1"/>
        <v>0.14965517241379311</v>
      </c>
      <c r="E50" s="50">
        <f t="shared" si="0"/>
        <v>4.0690235573053531E-8</v>
      </c>
      <c r="F50" s="51"/>
    </row>
    <row r="51" spans="1:6" ht="15.75" customHeight="1" x14ac:dyDescent="0.25">
      <c r="A51" t="str">
        <f>+Hoja1!B48</f>
        <v>CO SE RE NA S A</v>
      </c>
      <c r="B51" t="str">
        <f>+Hoja1!A48</f>
        <v>04214</v>
      </c>
      <c r="C51" s="66">
        <f>+Hoja1!K48</f>
        <v>2853851.55</v>
      </c>
      <c r="D51" s="24">
        <f t="shared" si="1"/>
        <v>1968.1734827586206</v>
      </c>
      <c r="E51" s="50">
        <f t="shared" si="0"/>
        <v>5.3513314221209196E-4</v>
      </c>
      <c r="F51" s="51"/>
    </row>
    <row r="52" spans="1:6" ht="15.75" customHeight="1" x14ac:dyDescent="0.25">
      <c r="A52" t="str">
        <f>+Hoja1!B49</f>
        <v>COCCO HERNAN PABLO</v>
      </c>
      <c r="B52" t="str">
        <f>+Hoja1!A49</f>
        <v>08210</v>
      </c>
      <c r="C52" s="66">
        <f>+Hoja1!K49</f>
        <v>268800</v>
      </c>
      <c r="D52" s="24">
        <f t="shared" si="1"/>
        <v>185.37931034482759</v>
      </c>
      <c r="E52" s="50">
        <f t="shared" si="0"/>
        <v>5.0403388580814693E-5</v>
      </c>
      <c r="F52" s="51"/>
    </row>
    <row r="53" spans="1:6" ht="15.75" customHeight="1" x14ac:dyDescent="0.25">
      <c r="A53" t="str">
        <f>+Hoja1!B50</f>
        <v>CONCA HUGO CESAR</v>
      </c>
      <c r="B53" t="str">
        <f>+Hoja1!A50</f>
        <v>00448</v>
      </c>
      <c r="C53" s="66">
        <f>+Hoja1!K50</f>
        <v>971329.92</v>
      </c>
      <c r="D53" s="24">
        <f t="shared" si="1"/>
        <v>669.88270344827595</v>
      </c>
      <c r="E53" s="50">
        <f t="shared" si="0"/>
        <v>1.8213660490301955E-4</v>
      </c>
      <c r="F53" s="51"/>
    </row>
    <row r="54" spans="1:6" ht="15.75" customHeight="1" x14ac:dyDescent="0.25">
      <c r="A54" t="str">
        <f>+Hoja1!B51</f>
        <v>CONSORCIO PORTUARIO REGIONAL DE MAR DEL PLATA</v>
      </c>
      <c r="B54" t="str">
        <f>+Hoja1!A51</f>
        <v>03848</v>
      </c>
      <c r="C54" s="66">
        <f>+Hoja1!K51</f>
        <v>14943526.52</v>
      </c>
      <c r="D54" s="24">
        <f t="shared" si="1"/>
        <v>10305.880358620689</v>
      </c>
      <c r="E54" s="50">
        <f t="shared" si="0"/>
        <v>2.8020996054883536E-3</v>
      </c>
      <c r="F54" s="51"/>
    </row>
    <row r="55" spans="1:6" ht="15.75" customHeight="1" x14ac:dyDescent="0.25">
      <c r="A55" t="str">
        <f>+Hoja1!B52</f>
        <v>CONSULTORA GESTAM MDP SA</v>
      </c>
      <c r="B55" t="str">
        <f>+Hoja1!A52</f>
        <v>08526</v>
      </c>
      <c r="C55" s="66">
        <f>+Hoja1!K52</f>
        <v>1817783</v>
      </c>
      <c r="D55" s="24">
        <f t="shared" si="1"/>
        <v>1253.6434482758621</v>
      </c>
      <c r="E55" s="50">
        <f t="shared" si="0"/>
        <v>3.4085722806770488E-4</v>
      </c>
      <c r="F55" s="51"/>
    </row>
    <row r="56" spans="1:6" ht="15.75" customHeight="1" x14ac:dyDescent="0.25">
      <c r="A56" t="str">
        <f>+Hoja1!B53</f>
        <v>COOP. DE TRABAJO PUCARA LIMITADA</v>
      </c>
      <c r="B56" t="str">
        <f>+Hoja1!A53</f>
        <v>05924</v>
      </c>
      <c r="C56" s="66">
        <f>+Hoja1!K53</f>
        <v>225702800</v>
      </c>
      <c r="D56" s="24">
        <f t="shared" si="1"/>
        <v>155657.10344827586</v>
      </c>
      <c r="E56" s="50">
        <f t="shared" si="0"/>
        <v>4.2322120283399933E-2</v>
      </c>
      <c r="F56" s="51"/>
    </row>
    <row r="57" spans="1:6" ht="15.75" customHeight="1" x14ac:dyDescent="0.25">
      <c r="A57" t="str">
        <f>+Hoja1!B54</f>
        <v>COOPERATIVA DE TRABAJO DE ESTIBAJE HIPOCOOP LTDA</v>
      </c>
      <c r="B57" t="str">
        <f>+Hoja1!A54</f>
        <v>03950</v>
      </c>
      <c r="C57" s="66">
        <f>+Hoja1!K54</f>
        <v>446550792.20999998</v>
      </c>
      <c r="D57" s="24">
        <f t="shared" si="1"/>
        <v>307966.06359310343</v>
      </c>
      <c r="E57" s="50">
        <f t="shared" si="0"/>
        <v>8.3733902904878227E-2</v>
      </c>
      <c r="F57" s="51"/>
    </row>
    <row r="58" spans="1:6" ht="15.75" customHeight="1" x14ac:dyDescent="0.25">
      <c r="A58" t="str">
        <f>+Hoja1!B55</f>
        <v>COOPERATIVA DE TRABAJO DE ESTIBAJE HIPOCOOP LTDA</v>
      </c>
      <c r="B58" t="str">
        <f>+Hoja1!A55</f>
        <v>00350</v>
      </c>
      <c r="C58" s="66">
        <f>+Hoja1!K55</f>
        <v>217425068.44</v>
      </c>
      <c r="D58" s="24">
        <f t="shared" si="1"/>
        <v>149948.32306206896</v>
      </c>
      <c r="E58" s="50">
        <f t="shared" si="0"/>
        <v>4.0769941264105464E-2</v>
      </c>
      <c r="F58" s="51"/>
    </row>
    <row r="59" spans="1:6" ht="15.75" customHeight="1" x14ac:dyDescent="0.25">
      <c r="A59" t="str">
        <f>+Hoja1!B56</f>
        <v>COOPERATIVA DE TRABAJO DE ESTIBAJE HIPOCOOP LTDA</v>
      </c>
      <c r="B59" t="str">
        <f>+Hoja1!A56</f>
        <v>03951</v>
      </c>
      <c r="C59" s="66">
        <f>+Hoja1!K56</f>
        <v>211646361.72</v>
      </c>
      <c r="D59" s="24">
        <f t="shared" si="1"/>
        <v>145963.00808275861</v>
      </c>
      <c r="E59" s="50">
        <f t="shared" si="0"/>
        <v>3.9686360905836396E-2</v>
      </c>
      <c r="F59" s="51"/>
    </row>
    <row r="60" spans="1:6" ht="15.75" customHeight="1" x14ac:dyDescent="0.25">
      <c r="A60" t="str">
        <f>+Hoja1!B57</f>
        <v>COOPERATIVA DE TRABAJO LOS TRES AMIGOS LIMITADA</v>
      </c>
      <c r="B60" t="str">
        <f>+Hoja1!A57</f>
        <v>04331</v>
      </c>
      <c r="C60" s="66">
        <f>+Hoja1!K57</f>
        <v>4157535.95</v>
      </c>
      <c r="D60" s="24">
        <f t="shared" si="1"/>
        <v>2867.2661724137934</v>
      </c>
      <c r="E60" s="50">
        <f t="shared" si="0"/>
        <v>7.7959040188451106E-4</v>
      </c>
      <c r="F60" s="51"/>
    </row>
    <row r="61" spans="1:6" ht="15.75" customHeight="1" x14ac:dyDescent="0.25">
      <c r="A61" t="str">
        <f>+Hoja1!B58</f>
        <v>COOPERATIVA DE TRABAJO PARA ACTIVIDADES DEL ESTIBAJE LIMITADA</v>
      </c>
      <c r="B61" t="str">
        <f>+Hoja1!A58</f>
        <v>06380</v>
      </c>
      <c r="C61" s="66">
        <f>+Hoja1!K58</f>
        <v>157300</v>
      </c>
      <c r="D61" s="24">
        <f t="shared" si="1"/>
        <v>108.48275862068965</v>
      </c>
      <c r="E61" s="50">
        <f t="shared" si="0"/>
        <v>2.9495732975305622E-5</v>
      </c>
      <c r="F61" s="51"/>
    </row>
    <row r="62" spans="1:6" ht="15.75" customHeight="1" x14ac:dyDescent="0.25">
      <c r="A62" t="str">
        <f>+Hoja1!B59</f>
        <v>CRAITO ARGENTINA SA</v>
      </c>
      <c r="B62" t="str">
        <f>+Hoja1!A59</f>
        <v>05786</v>
      </c>
      <c r="C62" s="66">
        <f>+Hoja1!K59</f>
        <v>34724217</v>
      </c>
      <c r="D62" s="24">
        <f t="shared" si="1"/>
        <v>23947.735862068967</v>
      </c>
      <c r="E62" s="50">
        <f t="shared" si="0"/>
        <v>6.5112284323494479E-3</v>
      </c>
      <c r="F62" s="51"/>
    </row>
    <row r="63" spans="1:6" ht="15.75" customHeight="1" x14ac:dyDescent="0.25">
      <c r="A63" t="str">
        <f>+Hoja1!B60</f>
        <v>CROCE HNOS. AGENTES MARITIMOS S.R.L.</v>
      </c>
      <c r="B63" t="str">
        <f>+Hoja1!A60</f>
        <v>01118</v>
      </c>
      <c r="C63" s="66">
        <f>+Hoja1!K60</f>
        <v>2304507.6800000002</v>
      </c>
      <c r="D63" s="24">
        <f t="shared" si="1"/>
        <v>1589.3156413793104</v>
      </c>
      <c r="E63" s="50">
        <f t="shared" si="0"/>
        <v>4.3212424137839198E-4</v>
      </c>
      <c r="F63" s="51"/>
    </row>
    <row r="64" spans="1:6" ht="15.75" customHeight="1" x14ac:dyDescent="0.25">
      <c r="A64" t="str">
        <f>+Hoja1!B61</f>
        <v>CURITIBA SRL</v>
      </c>
      <c r="B64" t="str">
        <f>+Hoja1!A61</f>
        <v>08135</v>
      </c>
      <c r="C64" s="66">
        <f>+Hoja1!K61</f>
        <v>-204.43</v>
      </c>
      <c r="D64" s="24">
        <f t="shared" si="1"/>
        <v>-0.14098620689655172</v>
      </c>
      <c r="E64" s="50">
        <f t="shared" si="0"/>
        <v>-3.8333202111517666E-8</v>
      </c>
      <c r="F64" s="51"/>
    </row>
    <row r="65" spans="1:6" ht="15.75" customHeight="1" x14ac:dyDescent="0.25">
      <c r="A65" t="str">
        <f>+Hoja1!B62</f>
        <v>DANODIS S.A.</v>
      </c>
      <c r="B65" t="str">
        <f>+Hoja1!A62</f>
        <v>07289</v>
      </c>
      <c r="C65" s="66">
        <f>+Hoja1!K62</f>
        <v>24583270.359999999</v>
      </c>
      <c r="D65" s="24">
        <f t="shared" si="1"/>
        <v>16953.979558620689</v>
      </c>
      <c r="E65" s="50">
        <f t="shared" si="0"/>
        <v>4.6096730972555958E-3</v>
      </c>
      <c r="F65" s="51"/>
    </row>
    <row r="66" spans="1:6" ht="15.75" customHeight="1" x14ac:dyDescent="0.25">
      <c r="A66" t="str">
        <f>+Hoja1!B63</f>
        <v>DAUVERNE LUIS MARIA JULIAN</v>
      </c>
      <c r="B66" t="str">
        <f>+Hoja1!A63</f>
        <v>09027</v>
      </c>
      <c r="C66" s="66">
        <f>+Hoja1!K63</f>
        <v>3767831.12</v>
      </c>
      <c r="D66" s="24">
        <f t="shared" si="1"/>
        <v>2598.5042206896551</v>
      </c>
      <c r="E66" s="50">
        <f t="shared" si="0"/>
        <v>7.0651583351282084E-4</v>
      </c>
      <c r="F66" s="51"/>
    </row>
    <row r="67" spans="1:6" ht="15.75" customHeight="1" x14ac:dyDescent="0.25">
      <c r="A67" t="str">
        <f>+Hoja1!B64</f>
        <v>DEVOMP SRL</v>
      </c>
      <c r="B67" t="str">
        <f>+Hoja1!A64</f>
        <v>04109</v>
      </c>
      <c r="C67" s="66">
        <f>+Hoja1!K64</f>
        <v>2701796.84</v>
      </c>
      <c r="D67" s="24">
        <f t="shared" si="1"/>
        <v>1863.3081655172414</v>
      </c>
      <c r="E67" s="50">
        <f t="shared" si="0"/>
        <v>5.0662096723562953E-4</v>
      </c>
      <c r="F67" s="51"/>
    </row>
    <row r="68" spans="1:6" ht="15.75" customHeight="1" x14ac:dyDescent="0.25">
      <c r="A68" t="str">
        <f>+Hoja1!B65</f>
        <v>DHL EXPRESS (ARGENTINA) S.A.</v>
      </c>
      <c r="B68" t="str">
        <f>+Hoja1!A65</f>
        <v>00271</v>
      </c>
      <c r="C68" s="66">
        <f>+Hoja1!K65</f>
        <v>4019778.01</v>
      </c>
      <c r="D68" s="24">
        <f t="shared" si="1"/>
        <v>2772.2606965517239</v>
      </c>
      <c r="E68" s="50">
        <f t="shared" si="0"/>
        <v>7.5375905151281247E-4</v>
      </c>
      <c r="F68" s="51"/>
    </row>
    <row r="69" spans="1:6" ht="15.75" customHeight="1" x14ac:dyDescent="0.25">
      <c r="A69" t="str">
        <f>+Hoja1!B66</f>
        <v>DI MEGLIO JUAN JOSE</v>
      </c>
      <c r="B69" t="str">
        <f>+Hoja1!A66</f>
        <v>05657</v>
      </c>
      <c r="C69" s="66">
        <f>+Hoja1!K66</f>
        <v>8483654.8499999996</v>
      </c>
      <c r="D69" s="24">
        <f t="shared" si="1"/>
        <v>5850.7964482758616</v>
      </c>
      <c r="E69" s="50">
        <f t="shared" ref="E69:E132" si="2">+D69/$D$283</f>
        <v>1.5907922321058898E-3</v>
      </c>
      <c r="F69" s="51"/>
    </row>
    <row r="70" spans="1:6" ht="15.75" customHeight="1" x14ac:dyDescent="0.25">
      <c r="A70" t="str">
        <f>+Hoja1!B67</f>
        <v>DISTRIBUCION Y PROFESIONALISMO S.A.</v>
      </c>
      <c r="B70" t="str">
        <f>+Hoja1!A67</f>
        <v>07644</v>
      </c>
      <c r="C70" s="66">
        <f>+Hoja1!K67</f>
        <v>2816136.34</v>
      </c>
      <c r="D70" s="24">
        <f t="shared" ref="D70:D133" si="3">+C70/$D$3</f>
        <v>1942.1629931034481</v>
      </c>
      <c r="E70" s="50">
        <f t="shared" si="2"/>
        <v>5.2806106488680537E-4</v>
      </c>
      <c r="F70" s="51"/>
    </row>
    <row r="71" spans="1:6" ht="15.75" customHeight="1" x14ac:dyDescent="0.25">
      <c r="A71" t="str">
        <f>+Hoja1!B68</f>
        <v>DISTRIBUIDORA ARIES SRL</v>
      </c>
      <c r="B71" t="str">
        <f>+Hoja1!A68</f>
        <v>04590</v>
      </c>
      <c r="C71" s="66">
        <f>+Hoja1!K68</f>
        <v>149979.5</v>
      </c>
      <c r="D71" s="24">
        <f t="shared" si="3"/>
        <v>103.43413793103448</v>
      </c>
      <c r="E71" s="50">
        <f t="shared" si="2"/>
        <v>2.812304694068563E-5</v>
      </c>
      <c r="F71" s="51"/>
    </row>
    <row r="72" spans="1:6" ht="15.75" customHeight="1" x14ac:dyDescent="0.25">
      <c r="A72" t="str">
        <f>+Hoja1!B69</f>
        <v>DISTRIBUIDORA COSIMI SRL</v>
      </c>
      <c r="B72" t="str">
        <f>+Hoja1!A69</f>
        <v>05593</v>
      </c>
      <c r="C72" s="66">
        <f>+Hoja1!K69</f>
        <v>1050349.8999999999</v>
      </c>
      <c r="D72" s="24">
        <f t="shared" si="3"/>
        <v>724.37924137931032</v>
      </c>
      <c r="E72" s="50">
        <f t="shared" si="2"/>
        <v>1.9695384730476136E-4</v>
      </c>
      <c r="F72" s="51"/>
    </row>
    <row r="73" spans="1:6" ht="15.75" customHeight="1" x14ac:dyDescent="0.25">
      <c r="A73" t="str">
        <f>+Hoja1!B70</f>
        <v>DISTRIBUIDORA DIKAR SRL</v>
      </c>
      <c r="B73" t="str">
        <f>+Hoja1!A70</f>
        <v>03739</v>
      </c>
      <c r="C73" s="66">
        <f>+Hoja1!K70</f>
        <v>3486831.57</v>
      </c>
      <c r="D73" s="24">
        <f t="shared" si="3"/>
        <v>2404.7114275862068</v>
      </c>
      <c r="E73" s="50">
        <f t="shared" si="2"/>
        <v>6.5382487551548423E-4</v>
      </c>
      <c r="F73" s="51"/>
    </row>
    <row r="74" spans="1:6" ht="15.75" customHeight="1" x14ac:dyDescent="0.25">
      <c r="A74" t="str">
        <f>+Hoja1!B71</f>
        <v>DISTRIBUIDORA EL FARO SA</v>
      </c>
      <c r="B74" t="str">
        <f>+Hoja1!A71</f>
        <v>01355</v>
      </c>
      <c r="C74" s="66">
        <f>+Hoja1!K71</f>
        <v>384232742.85000002</v>
      </c>
      <c r="D74" s="24">
        <f t="shared" si="3"/>
        <v>264988.09851724142</v>
      </c>
      <c r="E74" s="50">
        <f t="shared" si="2"/>
        <v>7.2048483048142861E-2</v>
      </c>
      <c r="F74" s="51"/>
    </row>
    <row r="75" spans="1:6" ht="15.75" customHeight="1" x14ac:dyDescent="0.25">
      <c r="A75" t="str">
        <f>+Hoja1!B72</f>
        <v>DISTRIBUIDORA WALLY S. R. L.</v>
      </c>
      <c r="B75" t="str">
        <f>+Hoja1!A72</f>
        <v>07319</v>
      </c>
      <c r="C75" s="66">
        <f>+Hoja1!K72</f>
        <v>12496400</v>
      </c>
      <c r="D75" s="24">
        <f t="shared" si="3"/>
        <v>8618.2068965517246</v>
      </c>
      <c r="E75" s="50">
        <f t="shared" si="2"/>
        <v>2.3432325337101666E-3</v>
      </c>
      <c r="F75" s="51"/>
    </row>
    <row r="76" spans="1:6" ht="15.75" customHeight="1" x14ac:dyDescent="0.25">
      <c r="A76" t="str">
        <f>+Hoja1!B73</f>
        <v>DOBLEA REPRESENTACIONES S.R.L.</v>
      </c>
      <c r="B76" t="str">
        <f>+Hoja1!A73</f>
        <v>09355</v>
      </c>
      <c r="C76" s="66">
        <f>+Hoja1!K73</f>
        <v>8800000</v>
      </c>
      <c r="D76" s="24">
        <f t="shared" si="3"/>
        <v>6068.9655172413795</v>
      </c>
      <c r="E76" s="50">
        <f t="shared" si="2"/>
        <v>1.6501109356814334E-3</v>
      </c>
      <c r="F76" s="51"/>
    </row>
    <row r="77" spans="1:6" ht="15.75" customHeight="1" x14ac:dyDescent="0.25">
      <c r="A77" t="str">
        <f>+Hoja1!B74</f>
        <v>DOMINGUEZ ROSENDE JOSE DOMINGUEZ ARZONDO ALEJANDRO MARCELO SH</v>
      </c>
      <c r="B77" t="str">
        <f>+Hoja1!A74</f>
        <v>03119</v>
      </c>
      <c r="C77" s="66">
        <f>+Hoja1!K74</f>
        <v>30574924.989999998</v>
      </c>
      <c r="D77" s="24">
        <f t="shared" si="3"/>
        <v>21086.155165517241</v>
      </c>
      <c r="E77" s="50">
        <f t="shared" si="2"/>
        <v>5.7331838731407431E-3</v>
      </c>
      <c r="F77" s="51"/>
    </row>
    <row r="78" spans="1:6" ht="15.75" customHeight="1" x14ac:dyDescent="0.25">
      <c r="A78" t="str">
        <f>+Hoja1!B75</f>
        <v>DROGUERIA PERDOMINICI S. A.</v>
      </c>
      <c r="B78" t="str">
        <f>+Hoja1!A75</f>
        <v>09331</v>
      </c>
      <c r="C78" s="66">
        <f>+Hoja1!K75</f>
        <v>422290</v>
      </c>
      <c r="D78" s="24">
        <f t="shared" si="3"/>
        <v>291.23448275862069</v>
      </c>
      <c r="E78" s="50">
        <f t="shared" si="2"/>
        <v>7.9184698526012782E-5</v>
      </c>
      <c r="F78" s="51"/>
    </row>
    <row r="79" spans="1:6" ht="15.75" customHeight="1" x14ac:dyDescent="0.25">
      <c r="A79" t="str">
        <f>+Hoja1!B76</f>
        <v>DUARTE MARCELO LUIS RUFINO</v>
      </c>
      <c r="B79" t="str">
        <f>+Hoja1!A76</f>
        <v>06713</v>
      </c>
      <c r="C79" s="66">
        <f>+Hoja1!K76</f>
        <v>3420000</v>
      </c>
      <c r="D79" s="24">
        <f t="shared" si="3"/>
        <v>2358.6206896551726</v>
      </c>
      <c r="E79" s="50">
        <f t="shared" si="2"/>
        <v>6.4129311363982989E-4</v>
      </c>
      <c r="F79" s="51"/>
    </row>
    <row r="80" spans="1:6" ht="15.75" customHeight="1" x14ac:dyDescent="0.25">
      <c r="A80" t="str">
        <f>+Hoja1!B77</f>
        <v>DUCOURNAU GUSTAVO FABIAN</v>
      </c>
      <c r="B80" t="str">
        <f>+Hoja1!A77</f>
        <v>04475</v>
      </c>
      <c r="C80" s="66">
        <f>+Hoja1!K77</f>
        <v>2780127.46</v>
      </c>
      <c r="D80" s="24">
        <f t="shared" si="3"/>
        <v>1917.3292827586206</v>
      </c>
      <c r="E80" s="50">
        <f t="shared" si="2"/>
        <v>5.2130894594707344E-4</v>
      </c>
      <c r="F80" s="51"/>
    </row>
    <row r="81" spans="1:6" ht="15.75" customHeight="1" x14ac:dyDescent="0.25">
      <c r="A81" t="str">
        <f>+Hoja1!B78</f>
        <v>DUGAS S.R.L.</v>
      </c>
      <c r="B81" t="str">
        <f>+Hoja1!A78</f>
        <v>03905</v>
      </c>
      <c r="C81" s="66">
        <f>+Hoja1!K78</f>
        <v>190017.19</v>
      </c>
      <c r="D81" s="24">
        <f t="shared" si="3"/>
        <v>131.04633793103449</v>
      </c>
      <c r="E81" s="50">
        <f t="shared" si="2"/>
        <v>3.5630618543915539E-5</v>
      </c>
      <c r="F81" s="51"/>
    </row>
    <row r="82" spans="1:6" ht="15.75" customHeight="1" x14ac:dyDescent="0.25">
      <c r="A82" t="str">
        <f>+Hoja1!B79</f>
        <v>DURAGOM S.R.L.</v>
      </c>
      <c r="B82" t="str">
        <f>+Hoja1!A79</f>
        <v>09448</v>
      </c>
      <c r="C82" s="66">
        <f>+Hoja1!K79</f>
        <v>29352180</v>
      </c>
      <c r="D82" s="24">
        <f t="shared" si="3"/>
        <v>20242.88275862069</v>
      </c>
      <c r="E82" s="50">
        <f t="shared" si="2"/>
        <v>5.5039037731920287E-3</v>
      </c>
      <c r="F82" s="51"/>
    </row>
    <row r="83" spans="1:6" ht="15.75" customHeight="1" x14ac:dyDescent="0.25">
      <c r="A83" t="str">
        <f>+Hoja1!B80</f>
        <v>EGUREN JORGE ALBERTO</v>
      </c>
      <c r="B83" t="str">
        <f>+Hoja1!A80</f>
        <v>04911</v>
      </c>
      <c r="C83" s="66">
        <f>+Hoja1!K80</f>
        <v>2090000</v>
      </c>
      <c r="D83" s="24">
        <f t="shared" si="3"/>
        <v>1441.3793103448277</v>
      </c>
      <c r="E83" s="50">
        <f t="shared" si="2"/>
        <v>3.9190134722434048E-4</v>
      </c>
      <c r="F83" s="51"/>
    </row>
    <row r="84" spans="1:6" ht="15.75" customHeight="1" x14ac:dyDescent="0.25">
      <c r="A84" t="str">
        <f>+Hoja1!B81</f>
        <v>EL MEJOR CAFE DEL PUERTO S.R.L.</v>
      </c>
      <c r="B84" t="str">
        <f>+Hoja1!A81</f>
        <v>07602</v>
      </c>
      <c r="C84" s="66">
        <f>+Hoja1!K81</f>
        <v>22083204.219999999</v>
      </c>
      <c r="D84" s="24">
        <f t="shared" si="3"/>
        <v>15229.796013793102</v>
      </c>
      <c r="E84" s="50">
        <f t="shared" si="2"/>
        <v>4.1408791793532242E-3</v>
      </c>
      <c r="F84" s="51"/>
    </row>
    <row r="85" spans="1:6" ht="15.75" customHeight="1" x14ac:dyDescent="0.25">
      <c r="A85" t="str">
        <f>+Hoja1!B82</f>
        <v>ELECTRONICA NAVAL S.A.</v>
      </c>
      <c r="B85" t="str">
        <f>+Hoja1!A82</f>
        <v>00103</v>
      </c>
      <c r="C85" s="66">
        <f>+Hoja1!K82</f>
        <v>15900463.59</v>
      </c>
      <c r="D85" s="24">
        <f t="shared" si="3"/>
        <v>10965.83695862069</v>
      </c>
      <c r="E85" s="50">
        <f t="shared" si="2"/>
        <v>2.9815373695753935E-3</v>
      </c>
      <c r="F85" s="51"/>
    </row>
    <row r="86" spans="1:6" ht="15.75" customHeight="1" x14ac:dyDescent="0.25">
      <c r="A86" t="str">
        <f>+Hoja1!B83</f>
        <v>ELECTROTERMA MAR DEL PLATA S.R.L.</v>
      </c>
      <c r="B86" t="str">
        <f>+Hoja1!A83</f>
        <v>06807</v>
      </c>
      <c r="C86" s="66">
        <f>+Hoja1!K83</f>
        <v>85739352.450000003</v>
      </c>
      <c r="D86" s="24">
        <f t="shared" si="3"/>
        <v>59130.587896551726</v>
      </c>
      <c r="E86" s="50">
        <f t="shared" si="2"/>
        <v>1.6077209442726104E-2</v>
      </c>
      <c r="F86" s="51"/>
    </row>
    <row r="87" spans="1:6" ht="15.75" customHeight="1" x14ac:dyDescent="0.25">
      <c r="A87" t="str">
        <f>+Hoja1!B84</f>
        <v>ERRIQUENZ HNOS S.R.L</v>
      </c>
      <c r="B87" t="str">
        <f>+Hoja1!A84</f>
        <v>01337</v>
      </c>
      <c r="C87" s="66">
        <f>+Hoja1!K84</f>
        <v>14835256.99</v>
      </c>
      <c r="D87" s="24">
        <f t="shared" si="3"/>
        <v>10231.21171724138</v>
      </c>
      <c r="E87" s="50">
        <f t="shared" si="2"/>
        <v>2.7817977037322074E-3</v>
      </c>
      <c r="F87" s="51"/>
    </row>
    <row r="88" spans="1:6" ht="15.75" customHeight="1" x14ac:dyDescent="0.25">
      <c r="A88" t="str">
        <f>+Hoja1!B85</f>
        <v>ESLABONES S.A.</v>
      </c>
      <c r="B88" t="str">
        <f>+Hoja1!A85</f>
        <v>00007</v>
      </c>
      <c r="C88" s="66">
        <f>+Hoja1!K85</f>
        <v>2155409.04</v>
      </c>
      <c r="D88" s="24">
        <f t="shared" si="3"/>
        <v>1486.4889931034484</v>
      </c>
      <c r="E88" s="50">
        <f t="shared" si="2"/>
        <v>4.0416636679211596E-4</v>
      </c>
      <c r="F88" s="51"/>
    </row>
    <row r="89" spans="1:6" ht="15.75" customHeight="1" x14ac:dyDescent="0.25">
      <c r="A89" t="str">
        <f>+Hoja1!B86</f>
        <v>EUROCAFE S.R.L.</v>
      </c>
      <c r="B89" t="str">
        <f>+Hoja1!A86</f>
        <v>05997</v>
      </c>
      <c r="C89" s="66">
        <f>+Hoja1!K86</f>
        <v>391999.98</v>
      </c>
      <c r="D89" s="24">
        <f t="shared" si="3"/>
        <v>270.34481379310341</v>
      </c>
      <c r="E89" s="50">
        <f t="shared" si="2"/>
        <v>7.3504937930102623E-5</v>
      </c>
      <c r="F89" s="51"/>
    </row>
    <row r="90" spans="1:6" ht="15.75" customHeight="1" x14ac:dyDescent="0.25">
      <c r="A90" t="str">
        <f>+Hoja1!B87</f>
        <v>EUROPATAGONICA S A</v>
      </c>
      <c r="B90" t="str">
        <f>+Hoja1!A87</f>
        <v>06004</v>
      </c>
      <c r="C90" s="66">
        <f>+Hoja1!K87</f>
        <v>1113964.82</v>
      </c>
      <c r="D90" s="24">
        <f t="shared" si="3"/>
        <v>768.25160000000005</v>
      </c>
      <c r="E90" s="50">
        <f t="shared" si="2"/>
        <v>2.0888244675527269E-4</v>
      </c>
      <c r="F90" s="51"/>
    </row>
    <row r="91" spans="1:6" ht="15.75" customHeight="1" x14ac:dyDescent="0.25">
      <c r="A91" t="str">
        <f>+Hoja1!B88</f>
        <v>EXACTIAN CONSULTING S.A.</v>
      </c>
      <c r="B91" t="str">
        <f>+Hoja1!A88</f>
        <v>08813</v>
      </c>
      <c r="C91" s="66">
        <f>+Hoja1!K88</f>
        <v>715981.2</v>
      </c>
      <c r="D91" s="24">
        <f t="shared" si="3"/>
        <v>493.78013793103446</v>
      </c>
      <c r="E91" s="50">
        <f t="shared" si="2"/>
        <v>1.3425550089344495E-4</v>
      </c>
      <c r="F91" s="51"/>
    </row>
    <row r="92" spans="1:6" ht="15.75" customHeight="1" x14ac:dyDescent="0.25">
      <c r="A92" t="str">
        <f>+Hoja1!B89</f>
        <v>EXOLGAN S.A.</v>
      </c>
      <c r="B92" t="str">
        <f>+Hoja1!A89</f>
        <v>01551</v>
      </c>
      <c r="C92" s="66">
        <f>+Hoja1!K89</f>
        <v>290181.01</v>
      </c>
      <c r="D92" s="24">
        <f t="shared" si="3"/>
        <v>200.12483448275862</v>
      </c>
      <c r="E92" s="50">
        <f t="shared" si="2"/>
        <v>5.4412597491827655E-5</v>
      </c>
      <c r="F92" s="51"/>
    </row>
    <row r="93" spans="1:6" ht="15.75" customHeight="1" x14ac:dyDescent="0.25">
      <c r="A93" t="str">
        <f>+Hoja1!B90</f>
        <v>EZEMAY REPRESENTACIONES S. R. L.</v>
      </c>
      <c r="B93" t="str">
        <f>+Hoja1!A90</f>
        <v>07452</v>
      </c>
      <c r="C93" s="66">
        <f>+Hoja1!K90</f>
        <v>6409121.7400000002</v>
      </c>
      <c r="D93" s="24">
        <f t="shared" si="3"/>
        <v>4420.0839586206894</v>
      </c>
      <c r="E93" s="50">
        <f t="shared" si="2"/>
        <v>1.201791121737229E-3</v>
      </c>
      <c r="F93" s="51"/>
    </row>
    <row r="94" spans="1:6" ht="15.75" customHeight="1" x14ac:dyDescent="0.25">
      <c r="A94" t="str">
        <f>+Hoja1!B91</f>
        <v>FABRICA DE CHACINADOS MAR DEL PLATA SRL</v>
      </c>
      <c r="B94" t="str">
        <f>+Hoja1!A91</f>
        <v>07599</v>
      </c>
      <c r="C94" s="66">
        <f>+Hoja1!K91</f>
        <v>2164434.0699999998</v>
      </c>
      <c r="D94" s="24">
        <f t="shared" si="3"/>
        <v>1492.7131517241378</v>
      </c>
      <c r="E94" s="50">
        <f t="shared" si="2"/>
        <v>4.0585867368959916E-4</v>
      </c>
      <c r="F94" s="51"/>
    </row>
    <row r="95" spans="1:6" ht="15.75" customHeight="1" x14ac:dyDescent="0.25">
      <c r="A95" t="str">
        <f>+Hoja1!B92</f>
        <v>FADECCO S. A.</v>
      </c>
      <c r="B95" t="str">
        <f>+Hoja1!A92</f>
        <v>05124</v>
      </c>
      <c r="C95" s="66">
        <f>+Hoja1!K92</f>
        <v>121919267.22</v>
      </c>
      <c r="D95" s="24">
        <f t="shared" si="3"/>
        <v>84082.253255172414</v>
      </c>
      <c r="E95" s="50">
        <f t="shared" si="2"/>
        <v>2.2861399557953285E-2</v>
      </c>
      <c r="F95" s="51"/>
    </row>
    <row r="96" spans="1:6" ht="15.75" customHeight="1" x14ac:dyDescent="0.25">
      <c r="A96" t="str">
        <f>+Hoja1!B93</f>
        <v>FAMIQ SRL</v>
      </c>
      <c r="B96" t="str">
        <f>+Hoja1!A93</f>
        <v>01965</v>
      </c>
      <c r="C96" s="66">
        <f>+Hoja1!K93</f>
        <v>507795</v>
      </c>
      <c r="D96" s="24">
        <f t="shared" si="3"/>
        <v>350.20344827586206</v>
      </c>
      <c r="E96" s="50">
        <f t="shared" si="2"/>
        <v>9.5217963930040164E-5</v>
      </c>
      <c r="F96" s="51"/>
    </row>
    <row r="97" spans="1:6" ht="15.75" customHeight="1" x14ac:dyDescent="0.25">
      <c r="A97" t="str">
        <f>+Hoja1!B94</f>
        <v>FARMACIA PORTOLURO SOCIEDAD EN COMANDITA SIMPLE</v>
      </c>
      <c r="B97" t="str">
        <f>+Hoja1!A94</f>
        <v>08599</v>
      </c>
      <c r="C97" s="66">
        <f>+Hoja1!K94</f>
        <v>3667080.01</v>
      </c>
      <c r="D97" s="24">
        <f t="shared" si="3"/>
        <v>2529.0206965517241</v>
      </c>
      <c r="E97" s="50">
        <f t="shared" si="2"/>
        <v>6.8762373028633862E-4</v>
      </c>
      <c r="F97" s="51"/>
    </row>
    <row r="98" spans="1:6" ht="15.75" customHeight="1" x14ac:dyDescent="0.25">
      <c r="A98" t="str">
        <f>+Hoja1!B95</f>
        <v>FAUSZLEGER SA</v>
      </c>
      <c r="B98" t="str">
        <f>+Hoja1!A95</f>
        <v>05520</v>
      </c>
      <c r="C98" s="66">
        <f>+Hoja1!K95</f>
        <v>2330185.2999999998</v>
      </c>
      <c r="D98" s="24">
        <f t="shared" si="3"/>
        <v>1607.024344827586</v>
      </c>
      <c r="E98" s="50">
        <f t="shared" si="2"/>
        <v>4.3693911882887741E-4</v>
      </c>
      <c r="F98" s="51"/>
    </row>
    <row r="99" spans="1:6" ht="15.75" customHeight="1" x14ac:dyDescent="0.25">
      <c r="A99" t="str">
        <f>+Hoja1!B96</f>
        <v>FEIJO NICOLAS EDUARDO</v>
      </c>
      <c r="B99" t="str">
        <f>+Hoja1!A96</f>
        <v>08724</v>
      </c>
      <c r="C99" s="66">
        <f>+Hoja1!K96</f>
        <v>1560000</v>
      </c>
      <c r="D99" s="24">
        <f t="shared" si="3"/>
        <v>1075.8620689655172</v>
      </c>
      <c r="E99" s="50">
        <f t="shared" si="2"/>
        <v>2.9251966587079956E-4</v>
      </c>
      <c r="F99" s="51"/>
    </row>
    <row r="100" spans="1:6" ht="15.75" customHeight="1" x14ac:dyDescent="0.25">
      <c r="A100" t="str">
        <f>+Hoja1!B97</f>
        <v>FERNANDES GUSTAVO GABRIEL</v>
      </c>
      <c r="B100" t="str">
        <f>+Hoja1!A97</f>
        <v>06675</v>
      </c>
      <c r="C100" s="66">
        <f>+Hoja1!K97</f>
        <v>180000</v>
      </c>
      <c r="D100" s="24">
        <f t="shared" si="3"/>
        <v>124.13793103448276</v>
      </c>
      <c r="E100" s="50">
        <f t="shared" si="2"/>
        <v>3.3752269138938408E-5</v>
      </c>
      <c r="F100" s="51"/>
    </row>
    <row r="101" spans="1:6" ht="15.75" customHeight="1" x14ac:dyDescent="0.25">
      <c r="A101" t="str">
        <f>+Hoja1!B98</f>
        <v>FERRARI MARIO JOSE CARMELO</v>
      </c>
      <c r="B101" t="str">
        <f>+Hoja1!A98</f>
        <v>08709</v>
      </c>
      <c r="C101" s="66">
        <f>+Hoja1!K98</f>
        <v>0.02</v>
      </c>
      <c r="D101" s="24">
        <f t="shared" si="3"/>
        <v>1.3793103448275862E-5</v>
      </c>
      <c r="E101" s="50">
        <f t="shared" si="2"/>
        <v>3.7502521265487124E-12</v>
      </c>
      <c r="F101" s="51"/>
    </row>
    <row r="102" spans="1:6" ht="15.75" customHeight="1" x14ac:dyDescent="0.25">
      <c r="A102" t="str">
        <f>+Hoja1!B99</f>
        <v>FERRARO MARIANO ANDRES</v>
      </c>
      <c r="B102" t="str">
        <f>+Hoja1!A99</f>
        <v>03927</v>
      </c>
      <c r="C102" s="66">
        <f>+Hoja1!K99</f>
        <v>3652627</v>
      </c>
      <c r="D102" s="24">
        <f t="shared" si="3"/>
        <v>2519.053103448276</v>
      </c>
      <c r="E102" s="50">
        <f t="shared" si="2"/>
        <v>6.8491360871196223E-4</v>
      </c>
      <c r="F102" s="51"/>
    </row>
    <row r="103" spans="1:6" ht="15.75" customHeight="1" x14ac:dyDescent="0.25">
      <c r="A103" t="str">
        <f>+Hoja1!B100</f>
        <v>FERRECENTRO S.R.L.</v>
      </c>
      <c r="B103" t="str">
        <f>+Hoja1!A100</f>
        <v>09332</v>
      </c>
      <c r="C103" s="66">
        <f>+Hoja1!K100</f>
        <v>4147260.48</v>
      </c>
      <c r="D103" s="24">
        <f t="shared" si="3"/>
        <v>2860.1796413793104</v>
      </c>
      <c r="E103" s="50">
        <f t="shared" si="2"/>
        <v>7.7766362172357166E-4</v>
      </c>
      <c r="F103" s="51"/>
    </row>
    <row r="104" spans="1:6" ht="15.75" customHeight="1" x14ac:dyDescent="0.25">
      <c r="A104" t="str">
        <f>+Hoja1!B101</f>
        <v>FERREYRA ALVARO GERMAN</v>
      </c>
      <c r="B104" t="str">
        <f>+Hoja1!A101</f>
        <v>09495</v>
      </c>
      <c r="C104" s="66">
        <f>+Hoja1!K101</f>
        <v>4817457.7</v>
      </c>
      <c r="D104" s="24">
        <f t="shared" si="3"/>
        <v>3322.3846206896551</v>
      </c>
      <c r="E104" s="50">
        <f t="shared" si="2"/>
        <v>9.0333404919917338E-4</v>
      </c>
      <c r="F104" s="51"/>
    </row>
    <row r="105" spans="1:6" ht="15.75" customHeight="1" x14ac:dyDescent="0.25">
      <c r="A105" t="str">
        <f>+Hoja1!B102</f>
        <v>FESCAP S.A.</v>
      </c>
      <c r="B105" t="str">
        <f>+Hoja1!A102</f>
        <v>04542</v>
      </c>
      <c r="C105" s="66">
        <f>+Hoja1!K102</f>
        <v>108787.99</v>
      </c>
      <c r="D105" s="24">
        <f t="shared" si="3"/>
        <v>75.026200000000003</v>
      </c>
      <c r="E105" s="50">
        <f t="shared" si="2"/>
        <v>2.0399119542023005E-5</v>
      </c>
      <c r="F105" s="51"/>
    </row>
    <row r="106" spans="1:6" ht="15.75" customHeight="1" x14ac:dyDescent="0.25">
      <c r="A106" t="str">
        <f>+Hoja1!B103</f>
        <v>FIER LUCIANO DANIEL</v>
      </c>
      <c r="B106" t="str">
        <f>+Hoja1!A103</f>
        <v>08913</v>
      </c>
      <c r="C106" s="66">
        <f>+Hoja1!K103</f>
        <v>790000</v>
      </c>
      <c r="D106" s="24">
        <f t="shared" si="3"/>
        <v>544.82758620689651</v>
      </c>
      <c r="E106" s="50">
        <f t="shared" si="2"/>
        <v>1.4813495899867413E-4</v>
      </c>
      <c r="F106" s="51"/>
    </row>
    <row r="107" spans="1:6" ht="15.75" customHeight="1" x14ac:dyDescent="0.25">
      <c r="A107" t="str">
        <f>+Hoja1!B104</f>
        <v>FILIPPI FEDERICO ALEJANDRO</v>
      </c>
      <c r="B107" t="str">
        <f>+Hoja1!A104</f>
        <v>06040</v>
      </c>
      <c r="C107" s="66">
        <f>+Hoja1!K104</f>
        <v>2710526.29</v>
      </c>
      <c r="D107" s="24">
        <f t="shared" si="3"/>
        <v>1869.3284758620689</v>
      </c>
      <c r="E107" s="50">
        <f t="shared" si="2"/>
        <v>5.0825784915693457E-4</v>
      </c>
      <c r="F107" s="51"/>
    </row>
    <row r="108" spans="1:6" ht="15.75" customHeight="1" x14ac:dyDescent="0.25">
      <c r="A108" t="str">
        <f>+Hoja1!B105</f>
        <v>FILTROS FILMAR SRL</v>
      </c>
      <c r="B108" t="str">
        <f>+Hoja1!A105</f>
        <v>04036</v>
      </c>
      <c r="C108" s="66">
        <f>+Hoja1!K105</f>
        <v>6097311</v>
      </c>
      <c r="D108" s="24">
        <f t="shared" si="3"/>
        <v>4205.0420689655175</v>
      </c>
      <c r="E108" s="50">
        <f t="shared" si="2"/>
        <v>1.1433226771989428E-3</v>
      </c>
      <c r="F108" s="51"/>
    </row>
    <row r="109" spans="1:6" ht="15.75" customHeight="1" x14ac:dyDescent="0.25">
      <c r="A109" t="str">
        <f>+Hoja1!B106</f>
        <v>FINNING ARGENTINA SA</v>
      </c>
      <c r="B109" t="str">
        <f>+Hoja1!A106</f>
        <v>05885</v>
      </c>
      <c r="C109" s="66">
        <f>+Hoja1!K106</f>
        <v>-3904.38</v>
      </c>
      <c r="D109" s="24">
        <f t="shared" si="3"/>
        <v>-2.6926758620689655</v>
      </c>
      <c r="E109" s="50">
        <f t="shared" si="2"/>
        <v>-7.3212046989271309E-7</v>
      </c>
      <c r="F109" s="51"/>
    </row>
    <row r="110" spans="1:6" ht="15.75" customHeight="1" x14ac:dyDescent="0.25">
      <c r="A110" t="str">
        <f>+Hoja1!B107</f>
        <v>FOOTWEAR SRL</v>
      </c>
      <c r="B110" t="str">
        <f>+Hoja1!A107</f>
        <v>07281</v>
      </c>
      <c r="C110" s="66">
        <f>+Hoja1!K107</f>
        <v>765121.72</v>
      </c>
      <c r="D110" s="24">
        <f t="shared" si="3"/>
        <v>527.6701517241379</v>
      </c>
      <c r="E110" s="50">
        <f t="shared" si="2"/>
        <v>1.4346996787493042E-4</v>
      </c>
      <c r="F110" s="51"/>
    </row>
    <row r="111" spans="1:6" ht="15.75" customHeight="1" x14ac:dyDescent="0.25">
      <c r="A111" t="str">
        <f>+Hoja1!B108</f>
        <v>FRANCISCO SALZANO SOCIEDAD ANONIMA INMOBILIARIA COMERCIAL INDUSTRIAL Y AGROP</v>
      </c>
      <c r="B111" t="str">
        <f>+Hoja1!A108</f>
        <v>03756</v>
      </c>
      <c r="C111" s="66">
        <f>+Hoja1!K108</f>
        <v>1728535.96</v>
      </c>
      <c r="D111" s="24">
        <f t="shared" si="3"/>
        <v>1192.0937655172413</v>
      </c>
      <c r="E111" s="50">
        <f t="shared" si="2"/>
        <v>3.2412228299029595E-4</v>
      </c>
      <c r="F111" s="51"/>
    </row>
    <row r="112" spans="1:6" ht="15.75" customHeight="1" x14ac:dyDescent="0.25">
      <c r="A112" t="str">
        <f>+Hoja1!B109</f>
        <v>FRESCO PABLO JAVIER</v>
      </c>
      <c r="B112" t="str">
        <f>+Hoja1!A109</f>
        <v>08596</v>
      </c>
      <c r="C112" s="66">
        <f>+Hoja1!K109</f>
        <v>108137.34</v>
      </c>
      <c r="D112" s="24">
        <f t="shared" si="3"/>
        <v>74.577475862068965</v>
      </c>
      <c r="E112" s="50">
        <f t="shared" si="2"/>
        <v>2.0277114464716056E-5</v>
      </c>
      <c r="F112" s="51"/>
    </row>
    <row r="113" spans="1:6" ht="15.75" customHeight="1" x14ac:dyDescent="0.25">
      <c r="A113" t="str">
        <f>+Hoja1!B110</f>
        <v>FRESCOMAR ARGENTINA SA</v>
      </c>
      <c r="B113" t="str">
        <f>+Hoja1!A110</f>
        <v>04685</v>
      </c>
      <c r="C113" s="66">
        <f>+Hoja1!K110</f>
        <v>40367.35</v>
      </c>
      <c r="D113" s="24">
        <f t="shared" si="3"/>
        <v>27.83955172413793</v>
      </c>
      <c r="E113" s="50">
        <f t="shared" si="2"/>
        <v>7.5693870090318075E-6</v>
      </c>
      <c r="F113" s="51"/>
    </row>
    <row r="114" spans="1:6" ht="15.75" customHeight="1" x14ac:dyDescent="0.25">
      <c r="A114" t="str">
        <f>+Hoja1!B111</f>
        <v>GANACA7 S.R.L.</v>
      </c>
      <c r="B114" t="str">
        <f>+Hoja1!A111</f>
        <v>08161</v>
      </c>
      <c r="C114" s="66">
        <f>+Hoja1!K111</f>
        <v>418660</v>
      </c>
      <c r="D114" s="24">
        <f t="shared" si="3"/>
        <v>288.73103448275862</v>
      </c>
      <c r="E114" s="50">
        <f t="shared" si="2"/>
        <v>7.850402776504419E-5</v>
      </c>
      <c r="F114" s="51"/>
    </row>
    <row r="115" spans="1:6" ht="15.75" customHeight="1" x14ac:dyDescent="0.25">
      <c r="A115" t="str">
        <f>+Hoja1!B112</f>
        <v>GANADERA EL MUDO S.A.</v>
      </c>
      <c r="B115" t="str">
        <f>+Hoja1!A112</f>
        <v>09091</v>
      </c>
      <c r="C115" s="66">
        <f>+Hoja1!K112</f>
        <v>20787941.780000001</v>
      </c>
      <c r="D115" s="24">
        <f t="shared" si="3"/>
        <v>14336.511572413794</v>
      </c>
      <c r="E115" s="50">
        <f t="shared" si="2"/>
        <v>3.8980011433507912E-3</v>
      </c>
      <c r="F115" s="51"/>
    </row>
    <row r="116" spans="1:6" ht="15.75" customHeight="1" x14ac:dyDescent="0.25">
      <c r="A116" t="str">
        <f>+Hoja1!B113</f>
        <v>GARCIA WALTER CARLOS - CAE</v>
      </c>
      <c r="B116" t="str">
        <f>+Hoja1!A113</f>
        <v>03189</v>
      </c>
      <c r="C116" s="66">
        <f>+Hoja1!K113</f>
        <v>848788.46</v>
      </c>
      <c r="D116" s="24">
        <f t="shared" si="3"/>
        <v>585.37135172413787</v>
      </c>
      <c r="E116" s="50">
        <f t="shared" si="2"/>
        <v>1.5915853635525032E-4</v>
      </c>
      <c r="F116" s="51"/>
    </row>
    <row r="117" spans="1:6" ht="15.75" customHeight="1" x14ac:dyDescent="0.25">
      <c r="A117" t="str">
        <f>+Hoja1!B114</f>
        <v>GARMIN</v>
      </c>
      <c r="B117" t="str">
        <f>+Hoja1!A114</f>
        <v>09383</v>
      </c>
      <c r="C117" s="66">
        <f>+Hoja1!K114</f>
        <v>-387219.15</v>
      </c>
      <c r="D117" s="24">
        <f t="shared" si="3"/>
        <v>-267.04768965517241</v>
      </c>
      <c r="E117" s="50">
        <f t="shared" si="2"/>
        <v>-7.2608472036394232E-5</v>
      </c>
      <c r="F117" s="51"/>
    </row>
    <row r="118" spans="1:6" ht="15.75" customHeight="1" x14ac:dyDescent="0.25">
      <c r="A118" t="str">
        <f>+Hoja1!B115</f>
        <v>GASPRODUCT SRL</v>
      </c>
      <c r="B118" t="str">
        <f>+Hoja1!A115</f>
        <v>08170</v>
      </c>
      <c r="C118" s="66">
        <f>+Hoja1!K115</f>
        <v>1788399.36</v>
      </c>
      <c r="D118" s="24">
        <f t="shared" si="3"/>
        <v>1233.3788689655173</v>
      </c>
      <c r="E118" s="50">
        <f t="shared" si="2"/>
        <v>3.3534742514791785E-4</v>
      </c>
      <c r="F118" s="51"/>
    </row>
    <row r="119" spans="1:6" ht="15.75" customHeight="1" x14ac:dyDescent="0.25">
      <c r="A119" t="str">
        <f>+Hoja1!B116</f>
        <v>GEMIN LUIS ALBERTO</v>
      </c>
      <c r="B119" t="str">
        <f>+Hoja1!A116</f>
        <v>06584</v>
      </c>
      <c r="C119" s="66">
        <f>+Hoja1!K116</f>
        <v>871200</v>
      </c>
      <c r="D119" s="24">
        <f t="shared" si="3"/>
        <v>600.82758620689651</v>
      </c>
      <c r="E119" s="50">
        <f t="shared" si="2"/>
        <v>1.633609826324619E-4</v>
      </c>
      <c r="F119" s="51"/>
    </row>
    <row r="120" spans="1:6" ht="15.75" customHeight="1" x14ac:dyDescent="0.25">
      <c r="A120" t="str">
        <f>+Hoja1!B117</f>
        <v>GINIAMO SA</v>
      </c>
      <c r="B120" t="str">
        <f>+Hoja1!A117</f>
        <v>07680</v>
      </c>
      <c r="C120" s="66">
        <f>+Hoja1!K117</f>
        <v>3565143.01</v>
      </c>
      <c r="D120" s="24">
        <f t="shared" si="3"/>
        <v>2458.719317241379</v>
      </c>
      <c r="E120" s="50">
        <f t="shared" si="2"/>
        <v>6.6850925773513875E-4</v>
      </c>
      <c r="F120" s="51"/>
    </row>
    <row r="121" spans="1:6" ht="15.75" customHeight="1" x14ac:dyDescent="0.25">
      <c r="A121" t="str">
        <f>+Hoja1!B118</f>
        <v>GOMATEX S.R.L.</v>
      </c>
      <c r="B121" t="str">
        <f>+Hoja1!A118</f>
        <v>07430</v>
      </c>
      <c r="C121" s="66">
        <f>+Hoja1!K118</f>
        <v>373534.14</v>
      </c>
      <c r="D121" s="24">
        <f t="shared" si="3"/>
        <v>257.60975172413794</v>
      </c>
      <c r="E121" s="50">
        <f t="shared" si="2"/>
        <v>7.0042360143677228E-5</v>
      </c>
      <c r="F121" s="51"/>
    </row>
    <row r="122" spans="1:6" ht="15.75" customHeight="1" x14ac:dyDescent="0.25">
      <c r="A122" t="str">
        <f>+Hoja1!B119</f>
        <v>GOROSITO ALEJO ALONCIO</v>
      </c>
      <c r="B122" t="str">
        <f>+Hoja1!A119</f>
        <v>08661</v>
      </c>
      <c r="C122" s="66">
        <f>+Hoja1!K119</f>
        <v>78000</v>
      </c>
      <c r="D122" s="24">
        <f t="shared" si="3"/>
        <v>53.793103448275865</v>
      </c>
      <c r="E122" s="50">
        <f t="shared" si="2"/>
        <v>1.4625983293539978E-5</v>
      </c>
      <c r="F122" s="51"/>
    </row>
    <row r="123" spans="1:6" ht="15.75" customHeight="1" x14ac:dyDescent="0.25">
      <c r="A123" t="str">
        <f>+Hoja1!B120</f>
        <v>GRECO GUILLERMINA EDITH</v>
      </c>
      <c r="B123" t="str">
        <f>+Hoja1!A120</f>
        <v>05137</v>
      </c>
      <c r="C123" s="66">
        <f>+Hoja1!K120</f>
        <v>33384000</v>
      </c>
      <c r="D123" s="24">
        <f t="shared" si="3"/>
        <v>23023.448275862069</v>
      </c>
      <c r="E123" s="50">
        <f t="shared" si="2"/>
        <v>6.2599208496351101E-3</v>
      </c>
      <c r="F123" s="51"/>
    </row>
    <row r="124" spans="1:6" ht="15.75" customHeight="1" x14ac:dyDescent="0.25">
      <c r="A124" t="str">
        <f>+Hoja1!B121</f>
        <v>GRUPO HIGIENE CBA S.A.</v>
      </c>
      <c r="B124" t="str">
        <f>+Hoja1!A121</f>
        <v>09184</v>
      </c>
      <c r="C124" s="66">
        <f>+Hoja1!K121</f>
        <v>713954.73</v>
      </c>
      <c r="D124" s="24">
        <f t="shared" si="3"/>
        <v>492.38257241379307</v>
      </c>
      <c r="E124" s="50">
        <f t="shared" si="2"/>
        <v>1.3387551222210058E-4</v>
      </c>
      <c r="F124" s="51"/>
    </row>
    <row r="125" spans="1:6" ht="15.75" customHeight="1" x14ac:dyDescent="0.25">
      <c r="A125" t="str">
        <f>+Hoja1!B122</f>
        <v>GUANTES FLANDRIA S.A.</v>
      </c>
      <c r="B125" t="str">
        <f>+Hoja1!A122</f>
        <v>01451</v>
      </c>
      <c r="C125" s="66">
        <f>+Hoja1!K122</f>
        <v>16316617.42</v>
      </c>
      <c r="D125" s="24">
        <f t="shared" si="3"/>
        <v>11252.839599999999</v>
      </c>
      <c r="E125" s="50">
        <f t="shared" si="2"/>
        <v>3.0595714588718382E-3</v>
      </c>
      <c r="F125" s="51"/>
    </row>
    <row r="126" spans="1:6" ht="15.75" customHeight="1" x14ac:dyDescent="0.25">
      <c r="A126" t="str">
        <f>+Hoja1!B123</f>
        <v>GUEDIKIAN IMPRESORES SA</v>
      </c>
      <c r="B126" t="str">
        <f>+Hoja1!A123</f>
        <v>06070</v>
      </c>
      <c r="C126" s="66">
        <f>+Hoja1!K123</f>
        <v>320552502.60000002</v>
      </c>
      <c r="D126" s="24">
        <f t="shared" si="3"/>
        <v>221070.69144827587</v>
      </c>
      <c r="E126" s="50">
        <f t="shared" si="2"/>
        <v>6.0107635227308082E-2</v>
      </c>
      <c r="F126" s="51"/>
    </row>
    <row r="127" spans="1:6" ht="15.75" customHeight="1" x14ac:dyDescent="0.25">
      <c r="A127" t="str">
        <f>+Hoja1!B124</f>
        <v>GUSENCAR S.R.L.</v>
      </c>
      <c r="B127" t="str">
        <f>+Hoja1!A124</f>
        <v>08576</v>
      </c>
      <c r="C127" s="66">
        <f>+Hoja1!K124</f>
        <v>647063.43000000005</v>
      </c>
      <c r="D127" s="24">
        <f t="shared" si="3"/>
        <v>446.25064137931037</v>
      </c>
      <c r="E127" s="50">
        <f t="shared" si="2"/>
        <v>1.213325502184702E-4</v>
      </c>
      <c r="F127" s="51"/>
    </row>
    <row r="128" spans="1:6" ht="15.75" customHeight="1" x14ac:dyDescent="0.25">
      <c r="A128" t="str">
        <f>+Hoja1!B125</f>
        <v>HANDLER 04 MDP</v>
      </c>
      <c r="B128" t="str">
        <f>+Hoja1!A125</f>
        <v>08190</v>
      </c>
      <c r="C128" s="66">
        <f>+Hoja1!K125</f>
        <v>6706404.4500000002</v>
      </c>
      <c r="D128" s="24">
        <f t="shared" si="3"/>
        <v>4625.1065172413792</v>
      </c>
      <c r="E128" s="50">
        <f t="shared" si="2"/>
        <v>1.2575353775054123E-3</v>
      </c>
      <c r="F128" s="51"/>
    </row>
    <row r="129" spans="1:6" ht="15.75" customHeight="1" x14ac:dyDescent="0.25">
      <c r="A129" t="str">
        <f>+Hoja1!B126</f>
        <v>HAUNOLD VIVIANA</v>
      </c>
      <c r="B129" t="str">
        <f>+Hoja1!A126</f>
        <v>04686</v>
      </c>
      <c r="C129" s="66">
        <f>+Hoja1!K126</f>
        <v>1025248</v>
      </c>
      <c r="D129" s="24">
        <f t="shared" si="3"/>
        <v>707.06758620689652</v>
      </c>
      <c r="E129" s="50">
        <f t="shared" si="2"/>
        <v>1.9224692461199071E-4</v>
      </c>
      <c r="F129" s="51"/>
    </row>
    <row r="130" spans="1:6" ht="15.75" customHeight="1" x14ac:dyDescent="0.25">
      <c r="A130" t="str">
        <f>+Hoja1!B127</f>
        <v>HENNING JUAN FEDERICO</v>
      </c>
      <c r="B130" t="str">
        <f>+Hoja1!A127</f>
        <v>02968</v>
      </c>
      <c r="C130" s="66">
        <f>+Hoja1!K127</f>
        <v>7145866.7199999997</v>
      </c>
      <c r="D130" s="24">
        <f t="shared" si="3"/>
        <v>4928.1839448275859</v>
      </c>
      <c r="E130" s="50">
        <f t="shared" si="2"/>
        <v>1.3399400931356836E-3</v>
      </c>
      <c r="F130" s="51"/>
    </row>
    <row r="131" spans="1:6" ht="15.75" customHeight="1" x14ac:dyDescent="0.25">
      <c r="A131" t="str">
        <f>+Hoja1!B128</f>
        <v>HIDRAMIC S.R.L.</v>
      </c>
      <c r="B131" t="str">
        <f>+Hoja1!A128</f>
        <v>01967</v>
      </c>
      <c r="C131" s="66">
        <f>+Hoja1!K128</f>
        <v>16999672.550000001</v>
      </c>
      <c r="D131" s="24">
        <f t="shared" si="3"/>
        <v>11723.912103448276</v>
      </c>
      <c r="E131" s="50">
        <f t="shared" si="2"/>
        <v>3.1876529065634636E-3</v>
      </c>
      <c r="F131" s="51"/>
    </row>
    <row r="132" spans="1:6" ht="15.75" customHeight="1" x14ac:dyDescent="0.25">
      <c r="A132" t="str">
        <f>+Hoja1!B129</f>
        <v>HIDRAULICA MAR DEL PLATA S.A.</v>
      </c>
      <c r="B132" t="str">
        <f>+Hoja1!A129</f>
        <v>06767</v>
      </c>
      <c r="C132" s="66">
        <f>+Hoja1!K129</f>
        <v>-258135.9</v>
      </c>
      <c r="D132" s="24">
        <f t="shared" si="3"/>
        <v>-178.02475862068965</v>
      </c>
      <c r="E132" s="50">
        <f t="shared" si="2"/>
        <v>-4.8403735395678283E-5</v>
      </c>
      <c r="F132" s="51"/>
    </row>
    <row r="133" spans="1:6" ht="15.75" customHeight="1" x14ac:dyDescent="0.25">
      <c r="A133" t="str">
        <f>+Hoja1!B130</f>
        <v>HIDRAULICA Y NEUMATICA SRL</v>
      </c>
      <c r="B133" t="str">
        <f>+Hoja1!A130</f>
        <v>01255</v>
      </c>
      <c r="C133" s="66">
        <f>+Hoja1!K130</f>
        <v>8480633.4199999999</v>
      </c>
      <c r="D133" s="24">
        <f t="shared" si="3"/>
        <v>5848.7127034482755</v>
      </c>
      <c r="E133" s="50">
        <f t="shared" ref="E133:E196" si="4">+D133/$D$283</f>
        <v>1.5902256758917538E-3</v>
      </c>
      <c r="F133" s="51"/>
    </row>
    <row r="134" spans="1:6" ht="15.75" customHeight="1" x14ac:dyDescent="0.25">
      <c r="A134" t="str">
        <f>+Hoja1!B131</f>
        <v>HIELO DEYACOBBI S.A.</v>
      </c>
      <c r="B134" t="str">
        <f>+Hoja1!A131</f>
        <v>06159</v>
      </c>
      <c r="C134" s="66">
        <f>+Hoja1!K131</f>
        <v>309760</v>
      </c>
      <c r="D134" s="24">
        <f t="shared" ref="D134:D197" si="5">+C134/$D$3</f>
        <v>213.62758620689655</v>
      </c>
      <c r="E134" s="50">
        <f t="shared" si="4"/>
        <v>5.8083904935986456E-5</v>
      </c>
      <c r="F134" s="51"/>
    </row>
    <row r="135" spans="1:6" ht="15.75" customHeight="1" x14ac:dyDescent="0.25">
      <c r="A135" t="str">
        <f>+Hoja1!B132</f>
        <v>HORNI MIGUEL EDGARDO</v>
      </c>
      <c r="B135" t="str">
        <f>+Hoja1!A132</f>
        <v>07146</v>
      </c>
      <c r="C135" s="66">
        <f>+Hoja1!K132</f>
        <v>1402035.05</v>
      </c>
      <c r="D135" s="24">
        <f t="shared" si="5"/>
        <v>966.92072413793107</v>
      </c>
      <c r="E135" s="50">
        <f t="shared" si="4"/>
        <v>2.628992463879165E-4</v>
      </c>
      <c r="F135" s="51"/>
    </row>
    <row r="136" spans="1:6" ht="15.75" customHeight="1" x14ac:dyDescent="0.25">
      <c r="A136" t="str">
        <f>+Hoja1!B133</f>
        <v>INDUGARVE S.L.</v>
      </c>
      <c r="B136" t="str">
        <f>+Hoja1!A133</f>
        <v>08688</v>
      </c>
      <c r="C136" s="66">
        <f>+Hoja1!K133</f>
        <v>88538261.290000007</v>
      </c>
      <c r="D136" s="24">
        <f t="shared" si="5"/>
        <v>61060.869855172416</v>
      </c>
      <c r="E136" s="50">
        <f t="shared" si="4"/>
        <v>1.6602040134187403E-2</v>
      </c>
      <c r="F136" s="51"/>
    </row>
    <row r="137" spans="1:6" ht="15.75" customHeight="1" x14ac:dyDescent="0.25">
      <c r="A137" t="str">
        <f>+Hoja1!B134</f>
        <v>INDUSTRIAL PUERTO S.A</v>
      </c>
      <c r="B137" t="str">
        <f>+Hoja1!A134</f>
        <v>07587</v>
      </c>
      <c r="C137" s="66">
        <f>+Hoja1!K134</f>
        <v>3961705.77</v>
      </c>
      <c r="D137" s="24">
        <f t="shared" si="5"/>
        <v>2732.2108758620689</v>
      </c>
      <c r="E137" s="50">
        <f t="shared" si="4"/>
        <v>7.428697744351401E-4</v>
      </c>
      <c r="F137" s="51"/>
    </row>
    <row r="138" spans="1:6" ht="15.75" customHeight="1" x14ac:dyDescent="0.25">
      <c r="A138" t="str">
        <f>+Hoja1!B135</f>
        <v>INDUSTRIAS DARC S.A.</v>
      </c>
      <c r="B138" t="str">
        <f>+Hoja1!A135</f>
        <v>03311</v>
      </c>
      <c r="C138" s="66">
        <f>+Hoja1!K135</f>
        <v>880275</v>
      </c>
      <c r="D138" s="24">
        <f t="shared" si="5"/>
        <v>607.08620689655174</v>
      </c>
      <c r="E138" s="50">
        <f t="shared" si="4"/>
        <v>1.6506265953488339E-4</v>
      </c>
      <c r="F138" s="51"/>
    </row>
    <row r="139" spans="1:6" ht="15.75" customHeight="1" x14ac:dyDescent="0.25">
      <c r="A139" t="str">
        <f>+Hoja1!B136</f>
        <v>INDUSTRIAS DE PASCALE S.A.</v>
      </c>
      <c r="B139" t="str">
        <f>+Hoja1!A136</f>
        <v>09359</v>
      </c>
      <c r="C139" s="66">
        <f>+Hoja1!K136</f>
        <v>1173884.3700000001</v>
      </c>
      <c r="D139" s="24">
        <f t="shared" si="5"/>
        <v>809.57542758620696</v>
      </c>
      <c r="E139" s="50">
        <f t="shared" si="4"/>
        <v>2.2011811774573978E-4</v>
      </c>
      <c r="F139" s="51"/>
    </row>
    <row r="140" spans="1:6" ht="15.75" customHeight="1" x14ac:dyDescent="0.25">
      <c r="A140" t="str">
        <f>+Hoja1!B137</f>
        <v>INDUSTRIAS FERRI</v>
      </c>
      <c r="B140" t="str">
        <f>+Hoja1!A137</f>
        <v>08689</v>
      </c>
      <c r="C140" s="66">
        <f>+Hoja1!K137</f>
        <v>5896891</v>
      </c>
      <c r="D140" s="24">
        <f t="shared" si="5"/>
        <v>4066.821379310345</v>
      </c>
      <c r="E140" s="50">
        <f t="shared" si="4"/>
        <v>1.1057414006387981E-3</v>
      </c>
      <c r="F140" s="51"/>
    </row>
    <row r="141" spans="1:6" ht="15.75" customHeight="1" x14ac:dyDescent="0.25">
      <c r="A141" t="str">
        <f>+Hoja1!B138</f>
        <v>INGACOT COMERCIAL S.A.</v>
      </c>
      <c r="B141" t="str">
        <f>+Hoja1!A138</f>
        <v>07734</v>
      </c>
      <c r="C141" s="66">
        <f>+Hoja1!K138</f>
        <v>128094.81</v>
      </c>
      <c r="D141" s="24">
        <f t="shared" si="5"/>
        <v>88.341248275862071</v>
      </c>
      <c r="E141" s="50">
        <f t="shared" si="4"/>
        <v>2.4019391680117662E-5</v>
      </c>
      <c r="F141" s="51"/>
    </row>
    <row r="142" spans="1:6" ht="15.75" customHeight="1" x14ac:dyDescent="0.25">
      <c r="A142" t="str">
        <f>+Hoja1!B139</f>
        <v>INGENIEROS ELECTRONICOS ASOCIADOS SRL</v>
      </c>
      <c r="B142" t="str">
        <f>+Hoja1!A139</f>
        <v>03154</v>
      </c>
      <c r="C142" s="66">
        <f>+Hoja1!K139</f>
        <v>4033491.61</v>
      </c>
      <c r="D142" s="24">
        <f t="shared" si="5"/>
        <v>2781.7183517241378</v>
      </c>
      <c r="E142" s="50">
        <f t="shared" si="4"/>
        <v>7.5633052439094445E-4</v>
      </c>
      <c r="F142" s="51"/>
    </row>
    <row r="143" spans="1:6" ht="15.75" customHeight="1" x14ac:dyDescent="0.25">
      <c r="A143" t="str">
        <f>+Hoja1!B140</f>
        <v>INPROPE SA</v>
      </c>
      <c r="B143" t="str">
        <f>+Hoja1!A140</f>
        <v>05350</v>
      </c>
      <c r="C143" s="66">
        <f>+Hoja1!K140</f>
        <v>71091009</v>
      </c>
      <c r="D143" s="24">
        <f t="shared" si="5"/>
        <v>49028.28206896552</v>
      </c>
      <c r="E143" s="50">
        <f t="shared" si="4"/>
        <v>1.3330460384037183E-2</v>
      </c>
      <c r="F143" s="51"/>
    </row>
    <row r="144" spans="1:6" ht="15.75" customHeight="1" x14ac:dyDescent="0.25">
      <c r="A144" t="str">
        <f>+Hoja1!B141</f>
        <v>INTEGRACION DE ALIMENTOS Y SERVICIOS S.A.</v>
      </c>
      <c r="B144" t="str">
        <f>+Hoja1!A141</f>
        <v>07396</v>
      </c>
      <c r="C144" s="66">
        <f>+Hoja1!K141</f>
        <v>576359.30000000005</v>
      </c>
      <c r="D144" s="24">
        <f t="shared" si="5"/>
        <v>397.48917241379314</v>
      </c>
      <c r="E144" s="50">
        <f t="shared" si="4"/>
        <v>1.0807463452405637E-4</v>
      </c>
      <c r="F144" s="51"/>
    </row>
    <row r="145" spans="1:6" ht="15.75" customHeight="1" x14ac:dyDescent="0.25">
      <c r="A145" t="str">
        <f>+Hoja1!B142</f>
        <v>INTEGRAL PUERTO SANO S.R.L.</v>
      </c>
      <c r="B145" t="str">
        <f>+Hoja1!A142</f>
        <v>07021</v>
      </c>
      <c r="C145" s="66">
        <f>+Hoja1!K142</f>
        <v>-0.01</v>
      </c>
      <c r="D145" s="24">
        <f t="shared" si="5"/>
        <v>-6.8965517241379308E-6</v>
      </c>
      <c r="E145" s="50">
        <f t="shared" si="4"/>
        <v>-1.8751260632743562E-12</v>
      </c>
      <c r="F145" s="51"/>
    </row>
    <row r="146" spans="1:6" ht="15.75" customHeight="1" x14ac:dyDescent="0.25">
      <c r="A146" t="str">
        <f>+Hoja1!B143</f>
        <v>INTERBANKING SA</v>
      </c>
      <c r="B146" t="str">
        <f>+Hoja1!A143</f>
        <v>09469</v>
      </c>
      <c r="C146" s="66">
        <f>+Hoja1!K143</f>
        <v>524057.05</v>
      </c>
      <c r="D146" s="24">
        <f t="shared" si="5"/>
        <v>361.41865517241376</v>
      </c>
      <c r="E146" s="50">
        <f t="shared" si="4"/>
        <v>9.8267303309767235E-5</v>
      </c>
      <c r="F146" s="51"/>
    </row>
    <row r="147" spans="1:6" ht="15.75" customHeight="1" x14ac:dyDescent="0.25">
      <c r="A147" t="str">
        <f>+Hoja1!B144</f>
        <v>INTERLOG S.A.</v>
      </c>
      <c r="B147" t="str">
        <f>+Hoja1!A144</f>
        <v>01874</v>
      </c>
      <c r="C147" s="66">
        <f>+Hoja1!K144</f>
        <v>8276759.2199999997</v>
      </c>
      <c r="D147" s="24">
        <f t="shared" si="5"/>
        <v>5708.1098068965512</v>
      </c>
      <c r="E147" s="50">
        <f t="shared" si="4"/>
        <v>1.5519966932868328E-3</v>
      </c>
      <c r="F147" s="51"/>
    </row>
    <row r="148" spans="1:6" ht="15.75" customHeight="1" x14ac:dyDescent="0.25">
      <c r="A148" t="str">
        <f>+Hoja1!B145</f>
        <v>JAN-MARK SRL</v>
      </c>
      <c r="B148" t="str">
        <f>+Hoja1!A145</f>
        <v>05961</v>
      </c>
      <c r="C148" s="66">
        <f>+Hoja1!K145</f>
        <v>14218858.9</v>
      </c>
      <c r="D148" s="24">
        <f t="shared" si="5"/>
        <v>9806.109586206896</v>
      </c>
      <c r="E148" s="50">
        <f t="shared" si="4"/>
        <v>2.6662152913410541E-3</v>
      </c>
      <c r="F148" s="51"/>
    </row>
    <row r="149" spans="1:6" ht="15.75" customHeight="1" x14ac:dyDescent="0.25">
      <c r="A149" t="str">
        <f>+Hoja1!B146</f>
        <v>JEZAHEL S.A.</v>
      </c>
      <c r="B149" t="str">
        <f>+Hoja1!A146</f>
        <v>04843</v>
      </c>
      <c r="C149" s="66">
        <f>+Hoja1!K146</f>
        <v>255310</v>
      </c>
      <c r="D149" s="24">
        <f t="shared" si="5"/>
        <v>176.07586206896551</v>
      </c>
      <c r="E149" s="50">
        <f t="shared" si="4"/>
        <v>4.7873843521457585E-5</v>
      </c>
      <c r="F149" s="51"/>
    </row>
    <row r="150" spans="1:6" ht="15.75" customHeight="1" x14ac:dyDescent="0.25">
      <c r="A150" t="str">
        <f>+Hoja1!B147</f>
        <v>JOSE MOSCUZZA Y CIA SACI</v>
      </c>
      <c r="B150" t="str">
        <f>+Hoja1!A147</f>
        <v>00051</v>
      </c>
      <c r="C150" s="66">
        <f>+Hoja1!K147</f>
        <v>63172471.590000004</v>
      </c>
      <c r="D150" s="24">
        <f t="shared" si="5"/>
        <v>43567.221786206901</v>
      </c>
      <c r="E150" s="50">
        <f t="shared" si="4"/>
        <v>1.1845634795986782E-2</v>
      </c>
      <c r="F150" s="51"/>
    </row>
    <row r="151" spans="1:6" ht="15.75" customHeight="1" x14ac:dyDescent="0.25">
      <c r="A151" t="str">
        <f>+Hoja1!B148</f>
        <v>KIENE DIESEL</v>
      </c>
      <c r="B151" t="str">
        <f>+Hoja1!A148</f>
        <v>08704</v>
      </c>
      <c r="C151" s="66">
        <f>+Hoja1!K148</f>
        <v>335045.59999999998</v>
      </c>
      <c r="D151" s="24">
        <f t="shared" si="5"/>
        <v>231.06593103448273</v>
      </c>
      <c r="E151" s="50">
        <f t="shared" si="4"/>
        <v>6.2825273694539453E-5</v>
      </c>
      <c r="F151" s="51"/>
    </row>
    <row r="152" spans="1:6" ht="15.75" customHeight="1" x14ac:dyDescent="0.25">
      <c r="A152" t="str">
        <f>+Hoja1!B149</f>
        <v>KOREA MARINE INDUSTRIAL CO LTD</v>
      </c>
      <c r="B152" t="str">
        <f>+Hoja1!A149</f>
        <v>08706</v>
      </c>
      <c r="C152" s="66">
        <f>+Hoja1!K149</f>
        <v>1782642.4</v>
      </c>
      <c r="D152" s="24">
        <f t="shared" si="5"/>
        <v>1229.4085517241379</v>
      </c>
      <c r="E152" s="50">
        <f t="shared" si="4"/>
        <v>3.3426792257379499E-4</v>
      </c>
      <c r="F152" s="51"/>
    </row>
    <row r="153" spans="1:6" ht="15.75" customHeight="1" x14ac:dyDescent="0.25">
      <c r="A153" t="str">
        <f>+Hoja1!B150</f>
        <v>LA ACADEMIA 2001 SRL</v>
      </c>
      <c r="B153" t="str">
        <f>+Hoja1!A150</f>
        <v>07378</v>
      </c>
      <c r="C153" s="66">
        <f>+Hoja1!K150</f>
        <v>11200000</v>
      </c>
      <c r="D153" s="24">
        <f t="shared" si="5"/>
        <v>7724.1379310344828</v>
      </c>
      <c r="E153" s="50">
        <f t="shared" si="4"/>
        <v>2.1001411908672788E-3</v>
      </c>
      <c r="F153" s="51"/>
    </row>
    <row r="154" spans="1:6" ht="15.75" customHeight="1" x14ac:dyDescent="0.25">
      <c r="A154" t="str">
        <f>+Hoja1!B151</f>
        <v>LA CASA DEL FLEXIBLE SRL.</v>
      </c>
      <c r="B154" t="str">
        <f>+Hoja1!A151</f>
        <v>00030</v>
      </c>
      <c r="C154" s="66">
        <f>+Hoja1!K151</f>
        <v>2231867</v>
      </c>
      <c r="D154" s="24">
        <f t="shared" si="5"/>
        <v>1539.2186206896552</v>
      </c>
      <c r="E154" s="50">
        <f t="shared" si="4"/>
        <v>4.1850319814619474E-4</v>
      </c>
      <c r="F154" s="51"/>
    </row>
    <row r="155" spans="1:6" ht="15.75" customHeight="1" x14ac:dyDescent="0.25">
      <c r="A155" t="str">
        <f>+Hoja1!B152</f>
        <v>LABORATORIO BIOQUIMICO MAR DEL PLATA  S.A.</v>
      </c>
      <c r="B155" t="str">
        <f>+Hoja1!A152</f>
        <v>05145</v>
      </c>
      <c r="C155" s="66">
        <f>+Hoja1!K152</f>
        <v>702029.91</v>
      </c>
      <c r="D155" s="24">
        <f t="shared" si="5"/>
        <v>484.15855862068969</v>
      </c>
      <c r="E155" s="50">
        <f t="shared" si="4"/>
        <v>1.3163945814391508E-4</v>
      </c>
      <c r="F155" s="51"/>
    </row>
    <row r="156" spans="1:6" ht="15.75" customHeight="1" x14ac:dyDescent="0.25">
      <c r="A156" t="str">
        <f>+Hoja1!B153</f>
        <v>LAKAUT S.A.</v>
      </c>
      <c r="B156" t="str">
        <f>+Hoja1!A153</f>
        <v>07554</v>
      </c>
      <c r="C156" s="66">
        <f>+Hoja1!K153</f>
        <v>483504.47</v>
      </c>
      <c r="D156" s="24">
        <f t="shared" si="5"/>
        <v>333.45135862068963</v>
      </c>
      <c r="E156" s="50">
        <f t="shared" si="4"/>
        <v>9.0663183340665399E-5</v>
      </c>
      <c r="F156" s="51"/>
    </row>
    <row r="157" spans="1:6" ht="15.75" customHeight="1" x14ac:dyDescent="0.25">
      <c r="A157" t="str">
        <f>+Hoja1!B154</f>
        <v>LOAD SRL</v>
      </c>
      <c r="B157" t="str">
        <f>+Hoja1!A154</f>
        <v>07009</v>
      </c>
      <c r="C157" s="66">
        <f>+Hoja1!K154</f>
        <v>17955830.170000002</v>
      </c>
      <c r="D157" s="24">
        <f t="shared" si="5"/>
        <v>12383.33115172414</v>
      </c>
      <c r="E157" s="50">
        <f t="shared" si="4"/>
        <v>3.3669445139495021E-3</v>
      </c>
      <c r="F157" s="51"/>
    </row>
    <row r="158" spans="1:6" ht="15.75" customHeight="1" x14ac:dyDescent="0.25">
      <c r="A158" t="str">
        <f>+Hoja1!B155</f>
        <v>LOY GUADALUPE ANAHI</v>
      </c>
      <c r="B158" t="str">
        <f>+Hoja1!A155</f>
        <v>09561</v>
      </c>
      <c r="C158" s="66">
        <f>+Hoja1!K155</f>
        <v>9951500</v>
      </c>
      <c r="D158" s="24">
        <f t="shared" si="5"/>
        <v>6863.1034482758623</v>
      </c>
      <c r="E158" s="50">
        <f t="shared" si="4"/>
        <v>1.8660317018674756E-3</v>
      </c>
      <c r="F158" s="51"/>
    </row>
    <row r="159" spans="1:6" ht="15.75" customHeight="1" x14ac:dyDescent="0.25">
      <c r="A159" t="str">
        <f>+Hoja1!B156</f>
        <v>LUANCAR S.A.</v>
      </c>
      <c r="B159" t="str">
        <f>+Hoja1!A156</f>
        <v>01900</v>
      </c>
      <c r="C159" s="66">
        <f>+Hoja1!K156</f>
        <v>459050</v>
      </c>
      <c r="D159" s="24">
        <f t="shared" si="5"/>
        <v>316.58620689655174</v>
      </c>
      <c r="E159" s="50">
        <f t="shared" si="4"/>
        <v>8.6077661934609321E-5</v>
      </c>
      <c r="F159" s="51"/>
    </row>
    <row r="160" spans="1:6" ht="15.75" customHeight="1" x14ac:dyDescent="0.25">
      <c r="A160" t="str">
        <f>+Hoja1!B157</f>
        <v>M D Q QUIMICA GARVEY S A</v>
      </c>
      <c r="B160" t="str">
        <f>+Hoja1!A157</f>
        <v>03737</v>
      </c>
      <c r="C160" s="66">
        <f>+Hoja1!K157</f>
        <v>2751686.82</v>
      </c>
      <c r="D160" s="24">
        <f t="shared" si="5"/>
        <v>1897.715048275862</v>
      </c>
      <c r="E160" s="50">
        <f t="shared" si="4"/>
        <v>5.1597596741505313E-4</v>
      </c>
      <c r="F160" s="51"/>
    </row>
    <row r="161" spans="1:6" ht="15.75" customHeight="1" x14ac:dyDescent="0.25">
      <c r="A161" t="str">
        <f>+Hoja1!B158</f>
        <v>M.F. S.A.</v>
      </c>
      <c r="B161" t="str">
        <f>+Hoja1!A158</f>
        <v>01505</v>
      </c>
      <c r="C161" s="66">
        <f>+Hoja1!K158</f>
        <v>14734510.130000001</v>
      </c>
      <c r="D161" s="24">
        <f t="shared" si="5"/>
        <v>10161.731124137932</v>
      </c>
      <c r="E161" s="50">
        <f t="shared" si="4"/>
        <v>2.7629063974343024E-3</v>
      </c>
      <c r="F161" s="51"/>
    </row>
    <row r="162" spans="1:6" ht="15.75" customHeight="1" x14ac:dyDescent="0.25">
      <c r="A162" t="str">
        <f>+Hoja1!B159</f>
        <v>MADERAS MISIONES S. A.</v>
      </c>
      <c r="B162" t="str">
        <f>+Hoja1!A159</f>
        <v>03632</v>
      </c>
      <c r="C162" s="66">
        <f>+Hoja1!K159</f>
        <v>102609</v>
      </c>
      <c r="D162" s="24">
        <f t="shared" si="5"/>
        <v>70.764827586206891</v>
      </c>
      <c r="E162" s="50">
        <f t="shared" si="4"/>
        <v>1.9240481022651841E-5</v>
      </c>
      <c r="F162" s="51"/>
    </row>
    <row r="163" spans="1:6" ht="15.75" customHeight="1" x14ac:dyDescent="0.25">
      <c r="A163" t="str">
        <f>+Hoja1!B160</f>
        <v>MANCUL S A</v>
      </c>
      <c r="B163" t="str">
        <f>+Hoja1!A160</f>
        <v>08155</v>
      </c>
      <c r="C163" s="66">
        <f>+Hoja1!K160</f>
        <v>666916.97</v>
      </c>
      <c r="D163" s="24">
        <f t="shared" si="5"/>
        <v>459.94273793103446</v>
      </c>
      <c r="E163" s="50">
        <f t="shared" si="4"/>
        <v>1.2505533924869619E-4</v>
      </c>
      <c r="F163" s="51"/>
    </row>
    <row r="164" spans="1:6" ht="15.75" customHeight="1" x14ac:dyDescent="0.25">
      <c r="A164" t="str">
        <f>+Hoja1!B161</f>
        <v>MANGIATERRA MATIAS EZEQUIEL</v>
      </c>
      <c r="B164" t="str">
        <f>+Hoja1!A161</f>
        <v>07893</v>
      </c>
      <c r="C164" s="66">
        <f>+Hoja1!K161</f>
        <v>265800</v>
      </c>
      <c r="D164" s="24">
        <f t="shared" si="5"/>
        <v>183.31034482758622</v>
      </c>
      <c r="E164" s="50">
        <f t="shared" si="4"/>
        <v>4.9840850761832392E-5</v>
      </c>
      <c r="F164" s="51"/>
    </row>
    <row r="165" spans="1:6" ht="15.75" customHeight="1" x14ac:dyDescent="0.25">
      <c r="A165" t="str">
        <f>+Hoja1!B162</f>
        <v>MANNA JORGE LUIS</v>
      </c>
      <c r="B165" t="str">
        <f>+Hoja1!A162</f>
        <v>08582</v>
      </c>
      <c r="C165" s="66">
        <f>+Hoja1!K162</f>
        <v>2150000</v>
      </c>
      <c r="D165" s="24">
        <f t="shared" si="5"/>
        <v>1482.7586206896551</v>
      </c>
      <c r="E165" s="50">
        <f t="shared" si="4"/>
        <v>4.0315210360398655E-4</v>
      </c>
      <c r="F165" s="51"/>
    </row>
    <row r="166" spans="1:6" ht="15.75" customHeight="1" x14ac:dyDescent="0.25">
      <c r="A166" t="str">
        <f>+Hoja1!B163</f>
        <v>MANTENIMIENTOS SUDESTE EMPRESA DE SERVICIOS SRL</v>
      </c>
      <c r="B166" t="str">
        <f>+Hoja1!A163</f>
        <v>01412</v>
      </c>
      <c r="C166" s="66">
        <f>+Hoja1!K163</f>
        <v>11727544.720000001</v>
      </c>
      <c r="D166" s="24">
        <f t="shared" si="5"/>
        <v>8087.9618758620691</v>
      </c>
      <c r="E166" s="50">
        <f t="shared" si="4"/>
        <v>2.1990624762687561E-3</v>
      </c>
      <c r="F166" s="51"/>
    </row>
    <row r="167" spans="1:6" ht="15.75" customHeight="1" x14ac:dyDescent="0.25">
      <c r="A167" t="str">
        <f>+Hoja1!B164</f>
        <v>MAR DEL PLATA PORT MANAGEMENT SRL</v>
      </c>
      <c r="B167" t="str">
        <f>+Hoja1!A164</f>
        <v>03772</v>
      </c>
      <c r="C167" s="66">
        <f>+Hoja1!K164</f>
        <v>219179008.88</v>
      </c>
      <c r="D167" s="24">
        <f t="shared" si="5"/>
        <v>151157.93715862068</v>
      </c>
      <c r="E167" s="50">
        <f t="shared" si="4"/>
        <v>4.1098827207352952E-2</v>
      </c>
      <c r="F167" s="51"/>
    </row>
    <row r="168" spans="1:6" ht="15.75" customHeight="1" x14ac:dyDescent="0.25">
      <c r="A168" t="str">
        <f>+Hoja1!B165</f>
        <v>MAR DEL PLATA SODA S A</v>
      </c>
      <c r="B168" t="str">
        <f>+Hoja1!A165</f>
        <v>08925</v>
      </c>
      <c r="C168" s="66">
        <f>+Hoja1!K165</f>
        <v>885713.21</v>
      </c>
      <c r="D168" s="24">
        <f t="shared" si="5"/>
        <v>610.83669655172412</v>
      </c>
      <c r="E168" s="50">
        <f t="shared" si="4"/>
        <v>1.6608239246573931E-4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6">
        <f>+Hoja1!K166</f>
        <v>35645265</v>
      </c>
      <c r="D169" s="24">
        <f t="shared" si="5"/>
        <v>24582.941379310345</v>
      </c>
      <c r="E169" s="50">
        <f t="shared" si="4"/>
        <v>6.6839365433821194E-3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6">
        <f>+Hoja1!K167</f>
        <v>26304027.75</v>
      </c>
      <c r="D170" s="24">
        <f t="shared" si="5"/>
        <v>18140.708793103448</v>
      </c>
      <c r="E170" s="50">
        <f t="shared" si="4"/>
        <v>4.9323368003116918E-3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6">
        <f>+Hoja1!K168</f>
        <v>4657000</v>
      </c>
      <c r="D171" s="24">
        <f t="shared" si="5"/>
        <v>3211.7241379310344</v>
      </c>
      <c r="E171" s="50">
        <f t="shared" si="4"/>
        <v>8.7324620766686758E-4</v>
      </c>
      <c r="F171" s="51"/>
    </row>
    <row r="172" spans="1:6" ht="15.75" customHeight="1" x14ac:dyDescent="0.25">
      <c r="A172" t="str">
        <f>+Hoja1!B169</f>
        <v>MARPAL S.A.</v>
      </c>
      <c r="B172" t="str">
        <f>+Hoja1!A169</f>
        <v>00025</v>
      </c>
      <c r="C172" s="66">
        <f>+Hoja1!K169</f>
        <v>1919800.52</v>
      </c>
      <c r="D172" s="24">
        <f t="shared" si="5"/>
        <v>1324.0003586206897</v>
      </c>
      <c r="E172" s="50">
        <f t="shared" si="4"/>
        <v>3.5998679913396616E-4</v>
      </c>
      <c r="F172" s="51"/>
    </row>
    <row r="173" spans="1:6" ht="15.75" customHeight="1" x14ac:dyDescent="0.25">
      <c r="A173" t="str">
        <f>+Hoja1!B170</f>
        <v>MARTINEZ JUAN ALBERTO BENJAMIN</v>
      </c>
      <c r="B173" t="str">
        <f>+Hoja1!A170</f>
        <v>08045</v>
      </c>
      <c r="C173" s="66">
        <f>+Hoja1!K170</f>
        <v>82539.429999999993</v>
      </c>
      <c r="D173" s="24">
        <f t="shared" si="5"/>
        <v>56.923744827586205</v>
      </c>
      <c r="E173" s="50">
        <f t="shared" si="4"/>
        <v>1.5477183644080927E-5</v>
      </c>
      <c r="F173" s="51"/>
    </row>
    <row r="174" spans="1:6" ht="15.75" customHeight="1" x14ac:dyDescent="0.25">
      <c r="A174" t="str">
        <f>+Hoja1!B171</f>
        <v>MARTINEZ ROSANA PATRICIA</v>
      </c>
      <c r="B174" t="str">
        <f>+Hoja1!A171</f>
        <v>06005</v>
      </c>
      <c r="C174" s="66">
        <f>+Hoja1!K171</f>
        <v>679778</v>
      </c>
      <c r="D174" s="24">
        <f t="shared" si="5"/>
        <v>468.81241379310347</v>
      </c>
      <c r="E174" s="50">
        <f t="shared" si="4"/>
        <v>1.2746694450405154E-4</v>
      </c>
      <c r="F174" s="51"/>
    </row>
    <row r="175" spans="1:6" ht="15.75" customHeight="1" x14ac:dyDescent="0.25">
      <c r="A175" t="str">
        <f>+Hoja1!B172</f>
        <v>MASSA LUIS ALEJANDRO</v>
      </c>
      <c r="B175" t="str">
        <f>+Hoja1!A172</f>
        <v>01566</v>
      </c>
      <c r="C175" s="66">
        <f>+Hoja1!K172</f>
        <v>3329436</v>
      </c>
      <c r="D175" s="24">
        <f t="shared" si="5"/>
        <v>2296.1627586206896</v>
      </c>
      <c r="E175" s="50">
        <f t="shared" si="4"/>
        <v>6.2431122196039191E-4</v>
      </c>
      <c r="F175" s="51"/>
    </row>
    <row r="176" spans="1:6" ht="15.75" customHeight="1" x14ac:dyDescent="0.25">
      <c r="A176" t="str">
        <f>+Hoja1!B173</f>
        <v>MATAFUEGOS IMPULSO SACIYF</v>
      </c>
      <c r="B176" t="str">
        <f>+Hoja1!A173</f>
        <v>04312</v>
      </c>
      <c r="C176" s="66">
        <f>+Hoja1!K173</f>
        <v>1101100</v>
      </c>
      <c r="D176" s="24">
        <f t="shared" si="5"/>
        <v>759.37931034482756</v>
      </c>
      <c r="E176" s="50">
        <f t="shared" si="4"/>
        <v>2.0647013082713934E-4</v>
      </c>
      <c r="F176" s="51"/>
    </row>
    <row r="177" spans="1:6" ht="15.75" customHeight="1" x14ac:dyDescent="0.25">
      <c r="A177" t="str">
        <f>+Hoja1!B174</f>
        <v>MATTINA HNOS S.A.C.I.A.N.</v>
      </c>
      <c r="B177" t="str">
        <f>+Hoja1!A174</f>
        <v>01925</v>
      </c>
      <c r="C177" s="66">
        <f>+Hoja1!K174</f>
        <v>31847161.949999999</v>
      </c>
      <c r="D177" s="24">
        <f t="shared" si="5"/>
        <v>21963.559965517241</v>
      </c>
      <c r="E177" s="50">
        <f t="shared" si="4"/>
        <v>5.9717443413764369E-3</v>
      </c>
      <c r="F177" s="51"/>
    </row>
    <row r="178" spans="1:6" ht="15.75" customHeight="1" x14ac:dyDescent="0.25">
      <c r="A178" t="str">
        <f>+Hoja1!B175</f>
        <v>MAYEKAWA ARGENTINA S.A.</v>
      </c>
      <c r="B178" t="str">
        <f>+Hoja1!A175</f>
        <v>00612</v>
      </c>
      <c r="C178" s="66">
        <f>+Hoja1!K175</f>
        <v>13623137.300000001</v>
      </c>
      <c r="D178" s="24">
        <f t="shared" si="5"/>
        <v>9395.2671034482755</v>
      </c>
      <c r="E178" s="50">
        <f t="shared" si="4"/>
        <v>2.554509981479504E-3</v>
      </c>
      <c r="F178" s="51"/>
    </row>
    <row r="179" spans="1:6" ht="15.75" customHeight="1" x14ac:dyDescent="0.25">
      <c r="A179" t="str">
        <f>+Hoja1!B176</f>
        <v>MDP 2020 REY MAYORISTA CARNICO S. A.</v>
      </c>
      <c r="B179" t="str">
        <f>+Hoja1!A176</f>
        <v>09003</v>
      </c>
      <c r="C179" s="66">
        <f>+Hoja1!K176</f>
        <v>9867760.0199999996</v>
      </c>
      <c r="D179" s="24">
        <f t="shared" si="5"/>
        <v>6805.3517379310342</v>
      </c>
      <c r="E179" s="50">
        <f t="shared" si="4"/>
        <v>1.8503293999638682E-3</v>
      </c>
      <c r="F179" s="51"/>
    </row>
    <row r="180" spans="1:6" ht="15.75" customHeight="1" x14ac:dyDescent="0.25">
      <c r="A180" t="str">
        <f>+Hoja1!B177</f>
        <v>MEDINA LEONEL JESUS</v>
      </c>
      <c r="B180" t="str">
        <f>+Hoja1!A177</f>
        <v>06810</v>
      </c>
      <c r="C180" s="66">
        <f>+Hoja1!K177</f>
        <v>6280000</v>
      </c>
      <c r="D180" s="24">
        <f t="shared" si="5"/>
        <v>4331.0344827586205</v>
      </c>
      <c r="E180" s="50">
        <f t="shared" si="4"/>
        <v>1.1775791677362956E-3</v>
      </c>
      <c r="F180" s="51"/>
    </row>
    <row r="181" spans="1:6" ht="15.75" customHeight="1" x14ac:dyDescent="0.25">
      <c r="A181" t="str">
        <f>+Hoja1!B178</f>
        <v>MEDITERRANEAN SHIPPING COMPANY S A</v>
      </c>
      <c r="B181" t="str">
        <f>+Hoja1!A178</f>
        <v>02641</v>
      </c>
      <c r="C181" s="66">
        <f>+Hoja1!K178</f>
        <v>58760</v>
      </c>
      <c r="D181" s="24">
        <f t="shared" si="5"/>
        <v>40.524137931034481</v>
      </c>
      <c r="E181" s="50">
        <f t="shared" si="4"/>
        <v>1.1018240747800117E-5</v>
      </c>
      <c r="F181" s="51"/>
    </row>
    <row r="182" spans="1:6" ht="15.75" customHeight="1" x14ac:dyDescent="0.25">
      <c r="A182" t="str">
        <f>+Hoja1!B179</f>
        <v>METALGEN FORJA SRL</v>
      </c>
      <c r="B182" t="str">
        <f>+Hoja1!A179</f>
        <v>07616</v>
      </c>
      <c r="C182" s="66">
        <f>+Hoja1!K179</f>
        <v>0.01</v>
      </c>
      <c r="D182" s="24">
        <f t="shared" si="5"/>
        <v>6.8965517241379308E-6</v>
      </c>
      <c r="E182" s="50">
        <f t="shared" si="4"/>
        <v>1.8751260632743562E-12</v>
      </c>
      <c r="F182" s="51"/>
    </row>
    <row r="183" spans="1:6" ht="15.75" customHeight="1" x14ac:dyDescent="0.25">
      <c r="A183" t="str">
        <f>+Hoja1!B180</f>
        <v>MEYER SACIF</v>
      </c>
      <c r="B183" t="str">
        <f>+Hoja1!A180</f>
        <v>05368</v>
      </c>
      <c r="C183" s="66">
        <f>+Hoja1!K180</f>
        <v>2255142.36</v>
      </c>
      <c r="D183" s="24">
        <f t="shared" si="5"/>
        <v>1555.2705931034482</v>
      </c>
      <c r="E183" s="50">
        <f t="shared" si="4"/>
        <v>4.2286762156300403E-4</v>
      </c>
      <c r="F183" s="51"/>
    </row>
    <row r="184" spans="1:6" ht="15.75" customHeight="1" x14ac:dyDescent="0.25">
      <c r="A184" t="str">
        <f>+Hoja1!B181</f>
        <v>MICCIO´S SOCIEDAD ANONIMA</v>
      </c>
      <c r="B184" t="str">
        <f>+Hoja1!A181</f>
        <v>03757</v>
      </c>
      <c r="C184" s="66">
        <f>+Hoja1!K181</f>
        <v>23250722.390000001</v>
      </c>
      <c r="D184" s="24">
        <f t="shared" si="5"/>
        <v>16034.98095862069</v>
      </c>
      <c r="E184" s="50">
        <f t="shared" si="4"/>
        <v>4.3598035543445631E-3</v>
      </c>
      <c r="F184" s="51"/>
    </row>
    <row r="185" spans="1:6" ht="15.75" customHeight="1" x14ac:dyDescent="0.25">
      <c r="A185" t="str">
        <f>+Hoja1!B182</f>
        <v>MONITOREO Y VIGILANCIA MEDINILLA S.A</v>
      </c>
      <c r="B185" t="str">
        <f>+Hoja1!A182</f>
        <v>06832</v>
      </c>
      <c r="C185" s="66">
        <f>+Hoja1!K182</f>
        <v>107163017.54000001</v>
      </c>
      <c r="D185" s="24">
        <f t="shared" si="5"/>
        <v>73905.529337931046</v>
      </c>
      <c r="E185" s="50">
        <f t="shared" si="4"/>
        <v>2.0094416720838101E-2</v>
      </c>
      <c r="F185" s="51"/>
    </row>
    <row r="186" spans="1:6" ht="15.75" customHeight="1" x14ac:dyDescent="0.25">
      <c r="A186" t="str">
        <f>+Hoja1!B183</f>
        <v>MONTENEGRO MARIA VIVIANA</v>
      </c>
      <c r="B186" t="str">
        <f>+Hoja1!A183</f>
        <v>08887</v>
      </c>
      <c r="C186" s="66">
        <f>+Hoja1!K183</f>
        <v>617100</v>
      </c>
      <c r="D186" s="24">
        <f t="shared" si="5"/>
        <v>425.58620689655174</v>
      </c>
      <c r="E186" s="50">
        <f t="shared" si="4"/>
        <v>1.1571402936466052E-4</v>
      </c>
      <c r="F186" s="51"/>
    </row>
    <row r="187" spans="1:6" ht="15.75" customHeight="1" x14ac:dyDescent="0.25">
      <c r="A187" t="str">
        <f>+Hoja1!B184</f>
        <v>MOREIRA ROLANDO RAMON</v>
      </c>
      <c r="B187" t="str">
        <f>+Hoja1!A184</f>
        <v>06006</v>
      </c>
      <c r="C187" s="66">
        <f>+Hoja1!K184</f>
        <v>89999.98</v>
      </c>
      <c r="D187" s="24">
        <f t="shared" si="5"/>
        <v>62.068951724137925</v>
      </c>
      <c r="E187" s="50">
        <f t="shared" si="4"/>
        <v>1.6876130819217078E-5</v>
      </c>
      <c r="F187" s="51"/>
    </row>
    <row r="188" spans="1:6" ht="15.75" customHeight="1" x14ac:dyDescent="0.25">
      <c r="A188" t="str">
        <f>+Hoja1!B185</f>
        <v>MORENI HNOS. S.R.L.</v>
      </c>
      <c r="B188" t="str">
        <f>+Hoja1!A185</f>
        <v>06899</v>
      </c>
      <c r="C188" s="66">
        <f>+Hoja1!K185</f>
        <v>34922.400000000001</v>
      </c>
      <c r="D188" s="24">
        <f t="shared" si="5"/>
        <v>24.084413793103451</v>
      </c>
      <c r="E188" s="50">
        <f t="shared" si="4"/>
        <v>6.5483902432092384E-6</v>
      </c>
      <c r="F188" s="51"/>
    </row>
    <row r="189" spans="1:6" ht="15.75" customHeight="1" x14ac:dyDescent="0.25">
      <c r="A189" t="str">
        <f>+Hoja1!B186</f>
        <v>MOTORES ELECTRICOS MAR DEL PLATA S.R.L.</v>
      </c>
      <c r="B189" t="str">
        <f>+Hoja1!A186</f>
        <v>07248</v>
      </c>
      <c r="C189" s="66">
        <f>+Hoja1!K186</f>
        <v>7407100.25</v>
      </c>
      <c r="D189" s="24">
        <f t="shared" si="5"/>
        <v>5108.3450000000003</v>
      </c>
      <c r="E189" s="50">
        <f t="shared" si="4"/>
        <v>1.3889246732061E-3</v>
      </c>
      <c r="F189" s="51"/>
    </row>
    <row r="190" spans="1:6" ht="15.75" customHeight="1" x14ac:dyDescent="0.25">
      <c r="A190" t="str">
        <f>+Hoja1!B187</f>
        <v>N.M.A. NAUTIC TECH ENGINEERING SUPPORT SLU</v>
      </c>
      <c r="B190" t="str">
        <f>+Hoja1!A187</f>
        <v>08705</v>
      </c>
      <c r="C190" s="66">
        <f>+Hoja1!K187</f>
        <v>13351649.470000001</v>
      </c>
      <c r="D190" s="24">
        <f t="shared" si="5"/>
        <v>9208.0341172413791</v>
      </c>
      <c r="E190" s="50">
        <f t="shared" si="4"/>
        <v>2.5036025908900241E-3</v>
      </c>
      <c r="F190" s="51"/>
    </row>
    <row r="191" spans="1:6" ht="15.75" customHeight="1" x14ac:dyDescent="0.25">
      <c r="A191" t="str">
        <f>+Hoja1!B188</f>
        <v>NAGODE MARIA SOL</v>
      </c>
      <c r="B191" t="str">
        <f>+Hoja1!A188</f>
        <v>09408</v>
      </c>
      <c r="C191" s="66">
        <f>+Hoja1!K188</f>
        <v>1579156.25</v>
      </c>
      <c r="D191" s="24">
        <f t="shared" si="5"/>
        <v>1089.0732758620691</v>
      </c>
      <c r="E191" s="50">
        <f t="shared" si="4"/>
        <v>2.9611170423575955E-4</v>
      </c>
      <c r="F191" s="51"/>
    </row>
    <row r="192" spans="1:6" ht="15.75" customHeight="1" x14ac:dyDescent="0.25">
      <c r="A192" t="str">
        <f>+Hoja1!B189</f>
        <v>NAUTILUS SRL</v>
      </c>
      <c r="B192" t="str">
        <f>+Hoja1!A189</f>
        <v>03124</v>
      </c>
      <c r="C192" s="66">
        <f>+Hoja1!K189</f>
        <v>6104752.5</v>
      </c>
      <c r="D192" s="24">
        <f t="shared" si="5"/>
        <v>4210.1741379310342</v>
      </c>
      <c r="E192" s="50">
        <f t="shared" si="4"/>
        <v>1.1447180522589284E-3</v>
      </c>
      <c r="F192" s="51"/>
    </row>
    <row r="193" spans="1:6" ht="15.75" customHeight="1" x14ac:dyDescent="0.25">
      <c r="A193" t="str">
        <f>+Hoja1!B190</f>
        <v>NICLAU DESPACHANTES DE ADUANA S.A.</v>
      </c>
      <c r="B193" t="str">
        <f>+Hoja1!A190</f>
        <v>06121</v>
      </c>
      <c r="C193" s="66">
        <f>+Hoja1!K190</f>
        <v>33085905.710000001</v>
      </c>
      <c r="D193" s="24">
        <f t="shared" si="5"/>
        <v>22817.866006896551</v>
      </c>
      <c r="E193" s="50">
        <f t="shared" si="4"/>
        <v>6.2040244123858839E-3</v>
      </c>
      <c r="F193" s="51"/>
    </row>
    <row r="194" spans="1:6" ht="15.75" customHeight="1" x14ac:dyDescent="0.25">
      <c r="A194" t="str">
        <f>+Hoja1!B191</f>
        <v>NUEVA EDISON FARMACEUTICA SCS</v>
      </c>
      <c r="B194" t="str">
        <f>+Hoja1!A191</f>
        <v>05410</v>
      </c>
      <c r="C194" s="66">
        <f>+Hoja1!K191</f>
        <v>14107089.24</v>
      </c>
      <c r="D194" s="24">
        <f t="shared" si="5"/>
        <v>9729.0270620689662</v>
      </c>
      <c r="E194" s="50">
        <f t="shared" si="4"/>
        <v>2.6452570710861229E-3</v>
      </c>
      <c r="F194" s="51"/>
    </row>
    <row r="195" spans="1:6" ht="15.75" customHeight="1" x14ac:dyDescent="0.25">
      <c r="A195" t="str">
        <f>+Hoja1!B192</f>
        <v>NUÑEZ JORGE DANIEL</v>
      </c>
      <c r="B195" t="str">
        <f>+Hoja1!A192</f>
        <v>06923</v>
      </c>
      <c r="C195" s="66">
        <f>+Hoja1!K192</f>
        <v>2027300</v>
      </c>
      <c r="D195" s="24">
        <f t="shared" si="5"/>
        <v>1398.1379310344828</v>
      </c>
      <c r="E195" s="50">
        <f t="shared" si="4"/>
        <v>3.8014430680761025E-4</v>
      </c>
      <c r="F195" s="51"/>
    </row>
    <row r="196" spans="1:6" ht="15.75" customHeight="1" x14ac:dyDescent="0.25">
      <c r="A196" t="str">
        <f>+Hoja1!B193</f>
        <v>O.A.C.I. S.A.</v>
      </c>
      <c r="B196" t="str">
        <f>+Hoja1!A193</f>
        <v>01573</v>
      </c>
      <c r="C196" s="66">
        <f>+Hoja1!K193</f>
        <v>22317161.66</v>
      </c>
      <c r="D196" s="24">
        <f t="shared" si="5"/>
        <v>15391.145972413793</v>
      </c>
      <c r="E196" s="50">
        <f t="shared" si="4"/>
        <v>4.1847491486973198E-3</v>
      </c>
      <c r="F196" s="51"/>
    </row>
    <row r="197" spans="1:6" ht="15.75" customHeight="1" x14ac:dyDescent="0.25">
      <c r="A197" t="str">
        <f>+Hoja1!B194</f>
        <v>OCA LOG S.A</v>
      </c>
      <c r="B197" t="str">
        <f>+Hoja1!A194</f>
        <v>08373</v>
      </c>
      <c r="C197" s="66">
        <f>+Hoja1!K194</f>
        <v>572785.81999999995</v>
      </c>
      <c r="D197" s="24">
        <f t="shared" si="5"/>
        <v>395.02470344827583</v>
      </c>
      <c r="E197" s="50">
        <f t="shared" ref="E197:E260" si="6">+D197/$D$283</f>
        <v>1.0740456197559738E-4</v>
      </c>
      <c r="F197" s="51"/>
    </row>
    <row r="198" spans="1:6" ht="15.75" customHeight="1" x14ac:dyDescent="0.25">
      <c r="A198" t="str">
        <f>+Hoja1!B195</f>
        <v>OMINT SOCIEDAD ANONIMA DE SERVICIOS</v>
      </c>
      <c r="B198" t="str">
        <f>+Hoja1!A195</f>
        <v>08977</v>
      </c>
      <c r="C198" s="66">
        <f>+Hoja1!K195</f>
        <v>-2698.26</v>
      </c>
      <c r="D198" s="24">
        <f t="shared" ref="D198:D261" si="7">+C198/$D$3</f>
        <v>-1.8608689655172415</v>
      </c>
      <c r="E198" s="50">
        <f t="shared" si="6"/>
        <v>-5.0595776514906647E-7</v>
      </c>
      <c r="F198" s="51"/>
    </row>
    <row r="199" spans="1:6" ht="15.75" customHeight="1" x14ac:dyDescent="0.25">
      <c r="A199" t="str">
        <f>+Hoja1!B196</f>
        <v>OTI INTERNACIONAL S.A.</v>
      </c>
      <c r="B199" t="str">
        <f>+Hoja1!A196</f>
        <v>04900</v>
      </c>
      <c r="C199" s="66">
        <f>+Hoja1!K196</f>
        <v>98313350.5</v>
      </c>
      <c r="D199" s="24">
        <f t="shared" si="7"/>
        <v>67802.310689655176</v>
      </c>
      <c r="E199" s="50">
        <f t="shared" si="6"/>
        <v>1.8434992589037698E-2</v>
      </c>
      <c r="F199" s="51"/>
    </row>
    <row r="200" spans="1:6" ht="15.75" customHeight="1" x14ac:dyDescent="0.25">
      <c r="A200" t="str">
        <f>+Hoja1!B197</f>
        <v>PACKAGING Y SERVICIOS S.A.</v>
      </c>
      <c r="B200" t="str">
        <f>+Hoja1!A197</f>
        <v>05399</v>
      </c>
      <c r="C200" s="66">
        <f>+Hoja1!K197</f>
        <v>12414600</v>
      </c>
      <c r="D200" s="24">
        <f t="shared" si="7"/>
        <v>8561.7931034482754</v>
      </c>
      <c r="E200" s="50">
        <f t="shared" si="6"/>
        <v>2.3278940025125822E-3</v>
      </c>
      <c r="F200" s="51"/>
    </row>
    <row r="201" spans="1:6" ht="15.75" customHeight="1" x14ac:dyDescent="0.25">
      <c r="A201" t="str">
        <f>+Hoja1!B198</f>
        <v>PATAGONIA ESTIBAJES S. A.</v>
      </c>
      <c r="B201" t="str">
        <f>+Hoja1!A198</f>
        <v>06109</v>
      </c>
      <c r="C201" s="66">
        <f>+Hoja1!K198</f>
        <v>114330362.40000001</v>
      </c>
      <c r="D201" s="24">
        <f t="shared" si="7"/>
        <v>78848.525793103458</v>
      </c>
      <c r="E201" s="50">
        <f t="shared" si="6"/>
        <v>2.1438384235984251E-2</v>
      </c>
      <c r="F201" s="51"/>
    </row>
    <row r="202" spans="1:6" ht="15.75" customHeight="1" x14ac:dyDescent="0.25">
      <c r="A202" t="str">
        <f>+Hoja1!B199</f>
        <v>PATUTO ADRIAN ALEJANDRO</v>
      </c>
      <c r="B202" t="str">
        <f>+Hoja1!A199</f>
        <v>09594</v>
      </c>
      <c r="C202" s="66">
        <f>+Hoja1!K199</f>
        <v>1676977.72</v>
      </c>
      <c r="D202" s="24">
        <f t="shared" si="7"/>
        <v>1156.5363586206897</v>
      </c>
      <c r="E202" s="50">
        <f t="shared" si="6"/>
        <v>3.1445446303024054E-4</v>
      </c>
      <c r="F202" s="51"/>
    </row>
    <row r="203" spans="1:6" ht="15.75" customHeight="1" x14ac:dyDescent="0.25">
      <c r="A203" t="str">
        <f>+Hoja1!B200</f>
        <v>PEDRO CORRADI SA</v>
      </c>
      <c r="B203" t="str">
        <f>+Hoja1!A200</f>
        <v>07457</v>
      </c>
      <c r="C203" s="66">
        <f>+Hoja1!K200</f>
        <v>540130</v>
      </c>
      <c r="D203" s="24">
        <f t="shared" si="7"/>
        <v>372.50344827586207</v>
      </c>
      <c r="E203" s="50">
        <f t="shared" si="6"/>
        <v>1.012811840556378E-4</v>
      </c>
      <c r="F203" s="51"/>
    </row>
    <row r="204" spans="1:6" ht="15.75" customHeight="1" x14ac:dyDescent="0.25">
      <c r="A204" t="str">
        <f>+Hoja1!B201</f>
        <v>PEREZ RIVERA E HIJOS SRL</v>
      </c>
      <c r="B204" t="str">
        <f>+Hoja1!A201</f>
        <v>05838</v>
      </c>
      <c r="C204" s="66">
        <f>+Hoja1!K201</f>
        <v>546816.86</v>
      </c>
      <c r="D204" s="24">
        <f t="shared" si="7"/>
        <v>377.11507586206898</v>
      </c>
      <c r="E204" s="50">
        <f t="shared" si="6"/>
        <v>1.0253505460238448E-4</v>
      </c>
      <c r="F204" s="51"/>
    </row>
    <row r="205" spans="1:6" ht="15.75" customHeight="1" x14ac:dyDescent="0.25">
      <c r="A205" t="str">
        <f>+Hoja1!B202</f>
        <v>PESCE GRACIELA MARGARITA</v>
      </c>
      <c r="B205" t="str">
        <f>+Hoja1!A202</f>
        <v>00317</v>
      </c>
      <c r="C205" s="66">
        <f>+Hoja1!K202</f>
        <v>18168570</v>
      </c>
      <c r="D205" s="24">
        <f t="shared" si="7"/>
        <v>12530.048275862069</v>
      </c>
      <c r="E205" s="50">
        <f t="shared" si="6"/>
        <v>3.4068359139424569E-3</v>
      </c>
      <c r="F205" s="51"/>
    </row>
    <row r="206" spans="1:6" ht="15.75" customHeight="1" x14ac:dyDescent="0.25">
      <c r="A206" t="str">
        <f>+Hoja1!B203</f>
        <v>PESQUERA SAN CAYETANO S.A.</v>
      </c>
      <c r="B206" t="str">
        <f>+Hoja1!A203</f>
        <v>05770</v>
      </c>
      <c r="C206" s="66">
        <f>+Hoja1!K203</f>
        <v>143755021.91999999</v>
      </c>
      <c r="D206" s="24">
        <f t="shared" si="7"/>
        <v>99141.394427586201</v>
      </c>
      <c r="E206" s="50">
        <f t="shared" si="6"/>
        <v>2.6955878832876836E-2</v>
      </c>
      <c r="F206" s="51"/>
    </row>
    <row r="207" spans="1:6" ht="15.75" customHeight="1" x14ac:dyDescent="0.25">
      <c r="A207" t="str">
        <f>+Hoja1!B204</f>
        <v>PINO FABIAN FERNANDO</v>
      </c>
      <c r="B207" t="str">
        <f>+Hoja1!A204</f>
        <v>09598</v>
      </c>
      <c r="C207" s="66">
        <f>+Hoja1!K204</f>
        <v>690000</v>
      </c>
      <c r="D207" s="24">
        <f t="shared" si="7"/>
        <v>475.86206896551727</v>
      </c>
      <c r="E207" s="50">
        <f t="shared" si="6"/>
        <v>1.2938369836593057E-4</v>
      </c>
      <c r="F207" s="51"/>
    </row>
    <row r="208" spans="1:6" ht="15.75" customHeight="1" x14ac:dyDescent="0.25">
      <c r="A208" t="str">
        <f>+Hoja1!B205</f>
        <v>PINTURERIA PLATERO JFJ S.A</v>
      </c>
      <c r="B208" t="str">
        <f>+Hoja1!A205</f>
        <v>08999</v>
      </c>
      <c r="C208" s="66">
        <f>+Hoja1!K205</f>
        <v>29880683.800000001</v>
      </c>
      <c r="D208" s="24">
        <f t="shared" si="7"/>
        <v>20607.368137931036</v>
      </c>
      <c r="E208" s="50">
        <f t="shared" si="6"/>
        <v>5.6030048981839838E-3</v>
      </c>
      <c r="F208" s="51"/>
    </row>
    <row r="209" spans="1:6" ht="15.75" customHeight="1" x14ac:dyDescent="0.25">
      <c r="A209" t="str">
        <f>+Hoja1!B206</f>
        <v>PIROTECNIA MBZ SA</v>
      </c>
      <c r="B209" t="str">
        <f>+Hoja1!A206</f>
        <v>05899</v>
      </c>
      <c r="C209" s="66">
        <f>+Hoja1!K206</f>
        <v>1926618.02</v>
      </c>
      <c r="D209" s="24">
        <f t="shared" si="7"/>
        <v>1328.7020827586207</v>
      </c>
      <c r="E209" s="50">
        <f t="shared" si="6"/>
        <v>3.6126516632760348E-4</v>
      </c>
      <c r="F209" s="51"/>
    </row>
    <row r="210" spans="1:6" ht="15.75" customHeight="1" x14ac:dyDescent="0.25">
      <c r="A210" t="str">
        <f>+Hoja1!B207</f>
        <v>PLUMIER S.R.L.</v>
      </c>
      <c r="B210" t="str">
        <f>+Hoja1!A207</f>
        <v>06957</v>
      </c>
      <c r="C210" s="66">
        <f>+Hoja1!K207</f>
        <v>3350838.35</v>
      </c>
      <c r="D210" s="24">
        <f t="shared" si="7"/>
        <v>2310.9230000000002</v>
      </c>
      <c r="E210" s="50">
        <f t="shared" si="6"/>
        <v>6.2832443239042401E-4</v>
      </c>
      <c r="F210" s="51"/>
    </row>
    <row r="211" spans="1:6" ht="15.75" customHeight="1" x14ac:dyDescent="0.25">
      <c r="A211" t="str">
        <f>+Hoja1!B208</f>
        <v>PMDP SA</v>
      </c>
      <c r="B211" t="str">
        <f>+Hoja1!A208</f>
        <v>06216</v>
      </c>
      <c r="C211" s="66">
        <f>+Hoja1!K208</f>
        <v>11968048.970000001</v>
      </c>
      <c r="D211" s="24">
        <f t="shared" si="7"/>
        <v>8253.8268758620688</v>
      </c>
      <c r="E211" s="50">
        <f t="shared" si="6"/>
        <v>2.2441600550190811E-3</v>
      </c>
      <c r="F211" s="51"/>
    </row>
    <row r="212" spans="1:6" ht="15.75" customHeight="1" x14ac:dyDescent="0.25">
      <c r="A212" t="str">
        <f>+Hoja1!B209</f>
        <v>PRESTIGIO SA</v>
      </c>
      <c r="B212" t="str">
        <f>+Hoja1!A209</f>
        <v>07301</v>
      </c>
      <c r="C212" s="66">
        <f>+Hoja1!K209</f>
        <v>3316461.42</v>
      </c>
      <c r="D212" s="24">
        <f t="shared" si="7"/>
        <v>2287.2147724137931</v>
      </c>
      <c r="E212" s="50">
        <f t="shared" si="6"/>
        <v>6.2187832464858804E-4</v>
      </c>
      <c r="F212" s="51"/>
    </row>
    <row r="213" spans="1:6" ht="15.75" customHeight="1" x14ac:dyDescent="0.25">
      <c r="A213" t="str">
        <f>+Hoja1!B210</f>
        <v>PRODUCTOS PORCINOS SA</v>
      </c>
      <c r="B213" t="str">
        <f>+Hoja1!A210</f>
        <v>09074</v>
      </c>
      <c r="C213" s="66">
        <f>+Hoja1!K210</f>
        <v>1496673.58</v>
      </c>
      <c r="D213" s="24">
        <f t="shared" si="7"/>
        <v>1032.188675862069</v>
      </c>
      <c r="E213" s="50">
        <f t="shared" si="6"/>
        <v>2.8064516380721372E-4</v>
      </c>
      <c r="F213" s="51"/>
    </row>
    <row r="214" spans="1:6" ht="15.75" customHeight="1" x14ac:dyDescent="0.25">
      <c r="A214" t="str">
        <f>+Hoja1!B211</f>
        <v>PROYECTO ORION SRL</v>
      </c>
      <c r="B214" t="str">
        <f>+Hoja1!A211</f>
        <v>06777</v>
      </c>
      <c r="C214" s="66">
        <f>+Hoja1!K211</f>
        <v>515000.01</v>
      </c>
      <c r="D214" s="24">
        <f t="shared" si="7"/>
        <v>355.17242068965516</v>
      </c>
      <c r="E214" s="50">
        <f t="shared" si="6"/>
        <v>9.6568994133755393E-5</v>
      </c>
      <c r="F214" s="51"/>
    </row>
    <row r="215" spans="1:6" ht="15.75" customHeight="1" x14ac:dyDescent="0.25">
      <c r="A215" t="str">
        <f>+Hoja1!B212</f>
        <v>PUNTO TECNICO S.R.L.</v>
      </c>
      <c r="B215" t="str">
        <f>+Hoja1!A212</f>
        <v>05096</v>
      </c>
      <c r="C215" s="66">
        <f>+Hoja1!K212</f>
        <v>6507600</v>
      </c>
      <c r="D215" s="24">
        <f t="shared" si="7"/>
        <v>4488</v>
      </c>
      <c r="E215" s="50">
        <f t="shared" si="6"/>
        <v>1.2202570369364201E-3</v>
      </c>
      <c r="F215" s="51"/>
    </row>
    <row r="216" spans="1:6" ht="15.75" customHeight="1" x14ac:dyDescent="0.25">
      <c r="A216" t="str">
        <f>+Hoja1!B213</f>
        <v>QUIMICA INDUSTRIAL KUBO SA</v>
      </c>
      <c r="B216" t="str">
        <f>+Hoja1!A213</f>
        <v>03143</v>
      </c>
      <c r="C216" s="66">
        <f>+Hoja1!K213</f>
        <v>790258.26</v>
      </c>
      <c r="D216" s="24">
        <f t="shared" si="7"/>
        <v>545.0056965517241</v>
      </c>
      <c r="E216" s="50">
        <f t="shared" si="6"/>
        <v>1.4818338600438425E-4</v>
      </c>
      <c r="F216" s="51"/>
    </row>
    <row r="217" spans="1:6" ht="15.75" customHeight="1" x14ac:dyDescent="0.25">
      <c r="A217" t="str">
        <f>+Hoja1!B214</f>
        <v>QUINCI JUAN FRANCISCO</v>
      </c>
      <c r="B217" t="str">
        <f>+Hoja1!A214</f>
        <v>05412</v>
      </c>
      <c r="C217" s="66">
        <f>+Hoja1!K214</f>
        <v>326700</v>
      </c>
      <c r="D217" s="24">
        <f t="shared" si="7"/>
        <v>225.31034482758622</v>
      </c>
      <c r="E217" s="50">
        <f t="shared" si="6"/>
        <v>6.1260368487173222E-5</v>
      </c>
      <c r="F217" s="51"/>
    </row>
    <row r="218" spans="1:6" ht="15.75" customHeight="1" x14ac:dyDescent="0.25">
      <c r="A218" t="str">
        <f>+Hoja1!B215</f>
        <v>REGINALD LEE S.A.</v>
      </c>
      <c r="B218" t="str">
        <f>+Hoja1!A215</f>
        <v>03820</v>
      </c>
      <c r="C218" s="66">
        <f>+Hoja1!K215</f>
        <v>1340141.77</v>
      </c>
      <c r="D218" s="24">
        <f t="shared" si="7"/>
        <v>924.2357034482759</v>
      </c>
      <c r="E218" s="50">
        <f t="shared" si="6"/>
        <v>2.5129347614096279E-4</v>
      </c>
      <c r="F218" s="51"/>
    </row>
    <row r="219" spans="1:6" ht="15.75" customHeight="1" x14ac:dyDescent="0.25">
      <c r="A219" t="str">
        <f>+Hoja1!B216</f>
        <v>REMOLCADORES MAR DEL PLATA S.A. UNION TRANSITORIA</v>
      </c>
      <c r="B219" t="str">
        <f>+Hoja1!A216</f>
        <v>07569</v>
      </c>
      <c r="C219" s="66">
        <f>+Hoja1!K216</f>
        <v>17887188</v>
      </c>
      <c r="D219" s="24">
        <f t="shared" si="7"/>
        <v>12335.991724137932</v>
      </c>
      <c r="E219" s="50">
        <f t="shared" si="6"/>
        <v>3.3540732417488305E-3</v>
      </c>
      <c r="F219" s="51"/>
    </row>
    <row r="220" spans="1:6" ht="15.75" customHeight="1" x14ac:dyDescent="0.25">
      <c r="A220" t="str">
        <f>+Hoja1!B217</f>
        <v>REPARACIONES DON MARCOS SRL</v>
      </c>
      <c r="B220" t="str">
        <f>+Hoja1!A217</f>
        <v>07529</v>
      </c>
      <c r="C220" s="66">
        <f>+Hoja1!K217</f>
        <v>1440000</v>
      </c>
      <c r="D220" s="24">
        <f t="shared" si="7"/>
        <v>993.10344827586209</v>
      </c>
      <c r="E220" s="50">
        <f t="shared" si="6"/>
        <v>2.7001815311150727E-4</v>
      </c>
      <c r="F220" s="51"/>
    </row>
    <row r="221" spans="1:6" ht="15.75" customHeight="1" x14ac:dyDescent="0.25">
      <c r="A221" t="str">
        <f>+Hoja1!B218</f>
        <v>RESISTENCIAS MDP S.R.L.</v>
      </c>
      <c r="B221" t="str">
        <f>+Hoja1!A218</f>
        <v>05019</v>
      </c>
      <c r="C221" s="66">
        <f>+Hoja1!K218</f>
        <v>5106338.68</v>
      </c>
      <c r="D221" s="24">
        <f t="shared" si="7"/>
        <v>3521.6128827586203</v>
      </c>
      <c r="E221" s="50">
        <f t="shared" si="6"/>
        <v>9.5750287467739708E-4</v>
      </c>
      <c r="F221" s="51"/>
    </row>
    <row r="222" spans="1:6" ht="15.75" customHeight="1" x14ac:dyDescent="0.25">
      <c r="A222" t="str">
        <f>+Hoja1!B219</f>
        <v>RICARTE PAMELA GISELE</v>
      </c>
      <c r="B222" t="str">
        <f>+Hoja1!A219</f>
        <v>06641</v>
      </c>
      <c r="C222" s="66">
        <f>+Hoja1!K219</f>
        <v>26818106.899999999</v>
      </c>
      <c r="D222" s="24">
        <f t="shared" si="7"/>
        <v>18495.246137931033</v>
      </c>
      <c r="E222" s="50">
        <f t="shared" si="6"/>
        <v>5.0287331215867846E-3</v>
      </c>
      <c r="F222" s="51"/>
    </row>
    <row r="223" spans="1:6" ht="15.75" customHeight="1" x14ac:dyDescent="0.25">
      <c r="A223" t="str">
        <f>+Hoja1!B220</f>
        <v>RIVERA LUIS GUILLERMO</v>
      </c>
      <c r="B223" t="str">
        <f>+Hoja1!A220</f>
        <v>06400</v>
      </c>
      <c r="C223" s="66">
        <f>+Hoja1!K220</f>
        <v>186699.99</v>
      </c>
      <c r="D223" s="24">
        <f t="shared" si="7"/>
        <v>128.75861379310345</v>
      </c>
      <c r="E223" s="50">
        <f t="shared" si="6"/>
        <v>3.5008601726206169E-5</v>
      </c>
      <c r="F223" s="51"/>
    </row>
    <row r="224" spans="1:6" ht="15.75" customHeight="1" x14ac:dyDescent="0.25">
      <c r="A224" t="str">
        <f>+Hoja1!B221</f>
        <v>RODINIA S.A.</v>
      </c>
      <c r="B224" t="str">
        <f>+Hoja1!A221</f>
        <v>09550</v>
      </c>
      <c r="C224" s="66">
        <f>+Hoja1!K221</f>
        <v>8223005.1200000001</v>
      </c>
      <c r="D224" s="24">
        <f t="shared" si="7"/>
        <v>5671.0380137931033</v>
      </c>
      <c r="E224" s="50">
        <f t="shared" si="6"/>
        <v>1.5419171218950475E-3</v>
      </c>
      <c r="F224" s="51"/>
    </row>
    <row r="225" spans="1:6" ht="15.75" customHeight="1" x14ac:dyDescent="0.25">
      <c r="A225" t="str">
        <f>+Hoja1!B222</f>
        <v>RODRIGUEZ ALEJANDRO DANIEL</v>
      </c>
      <c r="B225" t="str">
        <f>+Hoja1!A222</f>
        <v>09616</v>
      </c>
      <c r="C225" s="66">
        <f>+Hoja1!K222</f>
        <v>580800</v>
      </c>
      <c r="D225" s="24">
        <f t="shared" si="7"/>
        <v>400.55172413793105</v>
      </c>
      <c r="E225" s="50">
        <f t="shared" si="6"/>
        <v>1.0890732175497461E-4</v>
      </c>
      <c r="F225" s="51"/>
    </row>
    <row r="226" spans="1:6" ht="15.75" customHeight="1" x14ac:dyDescent="0.25">
      <c r="A226" t="str">
        <f>+Hoja1!B223</f>
        <v>ROTH SRL</v>
      </c>
      <c r="B226" t="str">
        <f>+Hoja1!A223</f>
        <v>06364</v>
      </c>
      <c r="C226" s="66">
        <f>+Hoja1!K223</f>
        <v>1600132.29</v>
      </c>
      <c r="D226" s="24">
        <f t="shared" si="7"/>
        <v>1103.5395103448277</v>
      </c>
      <c r="E226" s="50">
        <f t="shared" si="6"/>
        <v>3.0004497616658806E-4</v>
      </c>
      <c r="F226" s="51"/>
    </row>
    <row r="227" spans="1:6" ht="15.75" customHeight="1" x14ac:dyDescent="0.25">
      <c r="A227" t="str">
        <f>+Hoja1!B224</f>
        <v>S&amp;I CONSULTORA MARITIMA S.A</v>
      </c>
      <c r="B227" t="str">
        <f>+Hoja1!A224</f>
        <v>09140</v>
      </c>
      <c r="C227" s="66">
        <f>+Hoja1!K224</f>
        <v>16855300</v>
      </c>
      <c r="D227" s="24">
        <f t="shared" si="7"/>
        <v>11624.344827586207</v>
      </c>
      <c r="E227" s="50">
        <f t="shared" si="6"/>
        <v>3.1605812334308254E-3</v>
      </c>
      <c r="F227" s="51"/>
    </row>
    <row r="228" spans="1:6" ht="15.75" customHeight="1" x14ac:dyDescent="0.25">
      <c r="A228" t="str">
        <f>+Hoja1!B225</f>
        <v>SALAS OSCAR LISANDRO</v>
      </c>
      <c r="B228" t="str">
        <f>+Hoja1!A225</f>
        <v>09064</v>
      </c>
      <c r="C228" s="66">
        <f>+Hoja1!K225</f>
        <v>1062125</v>
      </c>
      <c r="D228" s="24">
        <f t="shared" si="7"/>
        <v>732.5</v>
      </c>
      <c r="E228" s="50">
        <f t="shared" si="6"/>
        <v>1.9916182699552756E-4</v>
      </c>
      <c r="F228" s="51"/>
    </row>
    <row r="229" spans="1:6" ht="15.75" customHeight="1" x14ac:dyDescent="0.25">
      <c r="A229" t="str">
        <f>+Hoja1!B226</f>
        <v>SAMULAK PAULO ARMANDO</v>
      </c>
      <c r="B229" t="str">
        <f>+Hoja1!A226</f>
        <v>08959</v>
      </c>
      <c r="C229" s="66">
        <f>+Hoja1!K226</f>
        <v>9029998</v>
      </c>
      <c r="D229" s="24">
        <f t="shared" si="7"/>
        <v>6227.5848275862072</v>
      </c>
      <c r="E229" s="50">
        <f t="shared" si="6"/>
        <v>1.693238460111531E-3</v>
      </c>
      <c r="F229" s="51"/>
    </row>
    <row r="230" spans="1:6" ht="15.75" customHeight="1" x14ac:dyDescent="0.25">
      <c r="A230" t="str">
        <f>+Hoja1!B227</f>
        <v>SANABRIA-SANABRIA SH</v>
      </c>
      <c r="B230" t="str">
        <f>+Hoja1!A227</f>
        <v>07261</v>
      </c>
      <c r="C230" s="66">
        <f>+Hoja1!K227</f>
        <v>1694000</v>
      </c>
      <c r="D230" s="24">
        <f t="shared" si="7"/>
        <v>1168.2758620689656</v>
      </c>
      <c r="E230" s="50">
        <f t="shared" si="6"/>
        <v>3.1764635511867593E-4</v>
      </c>
      <c r="F230" s="51"/>
    </row>
    <row r="231" spans="1:6" ht="15.75" customHeight="1" x14ac:dyDescent="0.25">
      <c r="A231" t="str">
        <f>+Hoja1!B228</f>
        <v>SANKO ELECTRONICA S.R.L.</v>
      </c>
      <c r="B231" t="str">
        <f>+Hoja1!A228</f>
        <v>00061</v>
      </c>
      <c r="C231" s="66">
        <f>+Hoja1!K228</f>
        <v>1596554</v>
      </c>
      <c r="D231" s="24">
        <f t="shared" si="7"/>
        <v>1101.0717241379311</v>
      </c>
      <c r="E231" s="50">
        <f t="shared" si="6"/>
        <v>2.9937400168249267E-4</v>
      </c>
      <c r="F231" s="51"/>
    </row>
    <row r="232" spans="1:6" ht="15.75" customHeight="1" x14ac:dyDescent="0.25">
      <c r="A232" t="str">
        <f>+Hoja1!B229</f>
        <v>SAVE SRL</v>
      </c>
      <c r="B232" t="str">
        <f>+Hoja1!A229</f>
        <v>07225</v>
      </c>
      <c r="C232" s="66">
        <f>+Hoja1!K229</f>
        <v>4474079</v>
      </c>
      <c r="D232" s="24">
        <f t="shared" si="7"/>
        <v>3085.5717241379311</v>
      </c>
      <c r="E232" s="50">
        <f t="shared" si="6"/>
        <v>8.3894621420484681E-4</v>
      </c>
      <c r="F232" s="51"/>
    </row>
    <row r="233" spans="1:6" ht="15.75" customHeight="1" x14ac:dyDescent="0.25">
      <c r="A233" t="str">
        <f>+Hoja1!B230</f>
        <v>SCANIA ARGENTINA SAU</v>
      </c>
      <c r="B233" t="str">
        <f>+Hoja1!A230</f>
        <v>03860</v>
      </c>
      <c r="C233" s="66">
        <f>+Hoja1!K230</f>
        <v>3978739.91</v>
      </c>
      <c r="D233" s="24">
        <f t="shared" si="7"/>
        <v>2743.9585586206899</v>
      </c>
      <c r="E233" s="50">
        <f t="shared" si="6"/>
        <v>7.4606389042308665E-4</v>
      </c>
      <c r="F233" s="51"/>
    </row>
    <row r="234" spans="1:6" ht="15.75" customHeight="1" x14ac:dyDescent="0.25">
      <c r="A234" t="str">
        <f>+Hoja1!B231</f>
        <v>SEA FOOD MEDIA GROUP LTD</v>
      </c>
      <c r="B234" t="str">
        <f>+Hoja1!A231</f>
        <v>08770</v>
      </c>
      <c r="C234" s="66">
        <f>+Hoja1!K231</f>
        <v>1074310</v>
      </c>
      <c r="D234" s="24">
        <f t="shared" si="7"/>
        <v>740.90344827586205</v>
      </c>
      <c r="E234" s="50">
        <f t="shared" si="6"/>
        <v>2.0144666810362733E-4</v>
      </c>
      <c r="F234" s="51"/>
    </row>
    <row r="235" spans="1:6" ht="15.75" customHeight="1" x14ac:dyDescent="0.25">
      <c r="A235" t="str">
        <f>+Hoja1!B232</f>
        <v>SER AMBIENT SRL</v>
      </c>
      <c r="B235" t="str">
        <f>+Hoja1!A232</f>
        <v>05848</v>
      </c>
      <c r="C235" s="66">
        <f>+Hoja1!K232</f>
        <v>139000.34</v>
      </c>
      <c r="D235" s="24">
        <f t="shared" si="7"/>
        <v>95.862303448275853</v>
      </c>
      <c r="E235" s="50">
        <f t="shared" si="6"/>
        <v>2.6064316033799699E-5</v>
      </c>
      <c r="F235" s="51"/>
    </row>
    <row r="236" spans="1:6" ht="15.75" customHeight="1" x14ac:dyDescent="0.25">
      <c r="A236" t="str">
        <f>+Hoja1!B233</f>
        <v>SERRANO LEONARDO DAVID</v>
      </c>
      <c r="B236" t="str">
        <f>+Hoja1!A233</f>
        <v>08736</v>
      </c>
      <c r="C236" s="66">
        <f>+Hoja1!K233</f>
        <v>24647700</v>
      </c>
      <c r="D236" s="24">
        <f t="shared" si="7"/>
        <v>16998.413793103449</v>
      </c>
      <c r="E236" s="50">
        <f t="shared" si="6"/>
        <v>4.6217544669767347E-3</v>
      </c>
      <c r="F236" s="51"/>
    </row>
    <row r="237" spans="1:6" ht="15.75" customHeight="1" x14ac:dyDescent="0.25">
      <c r="A237" t="str">
        <f>+Hoja1!B234</f>
        <v>SETEIN PRODUCTOS INDUSTRIALES S.A.</v>
      </c>
      <c r="B237" t="str">
        <f>+Hoja1!A234</f>
        <v>06636</v>
      </c>
      <c r="C237" s="66">
        <f>+Hoja1!K234</f>
        <v>3476817.02</v>
      </c>
      <c r="D237" s="24">
        <f t="shared" si="7"/>
        <v>2397.8048413793103</v>
      </c>
      <c r="E237" s="50">
        <f t="shared" si="6"/>
        <v>6.5194702114378784E-4</v>
      </c>
      <c r="F237" s="51"/>
    </row>
    <row r="238" spans="1:6" ht="15.75" customHeight="1" x14ac:dyDescent="0.25">
      <c r="A238" t="str">
        <f>+Hoja1!B235</f>
        <v>SEYCO S.A.C.I.F.</v>
      </c>
      <c r="B238" t="str">
        <f>+Hoja1!A235</f>
        <v>00181</v>
      </c>
      <c r="C238" s="66">
        <f>+Hoja1!K235</f>
        <v>1480514.27</v>
      </c>
      <c r="D238" s="24">
        <f t="shared" si="7"/>
        <v>1021.0443241379311</v>
      </c>
      <c r="E238" s="50">
        <f t="shared" si="6"/>
        <v>2.7761508947266072E-4</v>
      </c>
      <c r="F238" s="51"/>
    </row>
    <row r="239" spans="1:6" ht="15.75" customHeight="1" x14ac:dyDescent="0.25">
      <c r="A239" t="str">
        <f>+Hoja1!B236</f>
        <v>SIEBEN SANTIAGO NICOLAS</v>
      </c>
      <c r="B239" t="str">
        <f>+Hoja1!A236</f>
        <v>09102</v>
      </c>
      <c r="C239" s="66">
        <f>+Hoja1!K236</f>
        <v>48800000</v>
      </c>
      <c r="D239" s="24">
        <f t="shared" si="7"/>
        <v>33655.172413793101</v>
      </c>
      <c r="E239" s="50">
        <f t="shared" si="6"/>
        <v>9.150615188778858E-3</v>
      </c>
      <c r="F239" s="51"/>
    </row>
    <row r="240" spans="1:6" ht="15.75" customHeight="1" x14ac:dyDescent="0.25">
      <c r="A240" t="str">
        <f>+Hoja1!B237</f>
        <v>SIGEVAL SA</v>
      </c>
      <c r="B240" t="str">
        <f>+Hoja1!A237</f>
        <v>08702</v>
      </c>
      <c r="C240" s="66">
        <f>+Hoja1!K237</f>
        <v>8115779.6100000003</v>
      </c>
      <c r="D240" s="24">
        <f t="shared" si="7"/>
        <v>5597.089386206897</v>
      </c>
      <c r="E240" s="50">
        <f t="shared" si="6"/>
        <v>1.521810987050159E-3</v>
      </c>
      <c r="F240" s="51"/>
    </row>
    <row r="241" spans="1:6" ht="15.75" customHeight="1" x14ac:dyDescent="0.25">
      <c r="A241" t="str">
        <f>+Hoja1!B238</f>
        <v>SIMONAZZI HUGO OMAR</v>
      </c>
      <c r="B241" t="str">
        <f>+Hoja1!A238</f>
        <v>01127</v>
      </c>
      <c r="C241" s="66">
        <f>+Hoja1!K238</f>
        <v>8361100</v>
      </c>
      <c r="D241" s="24">
        <f t="shared" si="7"/>
        <v>5766.2758620689656</v>
      </c>
      <c r="E241" s="50">
        <f t="shared" si="6"/>
        <v>1.5678116527643219E-3</v>
      </c>
      <c r="F241" s="51"/>
    </row>
    <row r="242" spans="1:6" ht="15.75" customHeight="1" x14ac:dyDescent="0.25">
      <c r="A242" t="str">
        <f>+Hoja1!B239</f>
        <v>SINFID SA</v>
      </c>
      <c r="B242" t="str">
        <f>+Hoja1!A239</f>
        <v>06212</v>
      </c>
      <c r="C242" s="66">
        <f>+Hoja1!K239</f>
        <v>2998380</v>
      </c>
      <c r="D242" s="24">
        <f t="shared" si="7"/>
        <v>2067.8482758620689</v>
      </c>
      <c r="E242" s="50">
        <f t="shared" si="6"/>
        <v>5.6223404856005636E-4</v>
      </c>
      <c r="F242" s="51"/>
    </row>
    <row r="243" spans="1:6" ht="15.75" customHeight="1" x14ac:dyDescent="0.25">
      <c r="A243" t="str">
        <f>+Hoja1!B240</f>
        <v>SIRO HUGO CESAR</v>
      </c>
      <c r="B243" t="str">
        <f>+Hoja1!A240</f>
        <v>07987</v>
      </c>
      <c r="C243" s="66">
        <f>+Hoja1!K240</f>
        <v>33011550</v>
      </c>
      <c r="D243" s="24">
        <f t="shared" si="7"/>
        <v>22766.586206896551</v>
      </c>
      <c r="E243" s="50">
        <f t="shared" si="6"/>
        <v>6.1900817794084571E-3</v>
      </c>
      <c r="F243" s="51"/>
    </row>
    <row r="244" spans="1:6" ht="15.75" customHeight="1" x14ac:dyDescent="0.25">
      <c r="A244" t="str">
        <f>+Hoja1!B241</f>
        <v>SKV GROUP S.L.</v>
      </c>
      <c r="B244" t="str">
        <f>+Hoja1!A241</f>
        <v>08700</v>
      </c>
      <c r="C244" s="66">
        <f>+Hoja1!K241</f>
        <v>25876207.34</v>
      </c>
      <c r="D244" s="24">
        <f t="shared" si="7"/>
        <v>17845.660234482759</v>
      </c>
      <c r="E244" s="50">
        <f t="shared" si="6"/>
        <v>4.8521150801925199E-3</v>
      </c>
      <c r="F244" s="51"/>
    </row>
    <row r="245" spans="1:6" ht="15.75" customHeight="1" x14ac:dyDescent="0.25">
      <c r="A245" t="str">
        <f>+Hoja1!B242</f>
        <v>SOLARI JOSE JESUS</v>
      </c>
      <c r="B245" t="str">
        <f>+Hoja1!A242</f>
        <v>09434</v>
      </c>
      <c r="C245" s="66">
        <f>+Hoja1!K242</f>
        <v>3618300</v>
      </c>
      <c r="D245" s="24">
        <f t="shared" si="7"/>
        <v>2495.3793103448274</v>
      </c>
      <c r="E245" s="50">
        <f t="shared" si="6"/>
        <v>6.784768634745602E-4</v>
      </c>
      <c r="F245" s="51"/>
    </row>
    <row r="246" spans="1:6" ht="15.75" customHeight="1" x14ac:dyDescent="0.25">
      <c r="A246" t="str">
        <f>+Hoja1!B243</f>
        <v>STAR - FISH S.A.</v>
      </c>
      <c r="B246" t="str">
        <f>+Hoja1!A243</f>
        <v>08379</v>
      </c>
      <c r="C246" s="66">
        <f>+Hoja1!K243</f>
        <v>1331</v>
      </c>
      <c r="D246" s="24">
        <f t="shared" si="7"/>
        <v>0.91793103448275859</v>
      </c>
      <c r="E246" s="50">
        <f t="shared" si="6"/>
        <v>2.4957927902181678E-7</v>
      </c>
      <c r="F246" s="51"/>
    </row>
    <row r="247" spans="1:6" ht="15.75" customHeight="1" x14ac:dyDescent="0.25">
      <c r="A247" t="str">
        <f>+Hoja1!B244</f>
        <v>STELLA DANIEL GENARO</v>
      </c>
      <c r="B247" t="str">
        <f>+Hoja1!A244</f>
        <v>07426</v>
      </c>
      <c r="C247" s="66">
        <f>+Hoja1!K244</f>
        <v>411400</v>
      </c>
      <c r="D247" s="24">
        <f t="shared" si="7"/>
        <v>283.72413793103448</v>
      </c>
      <c r="E247" s="50">
        <f t="shared" si="6"/>
        <v>7.7142686243107005E-5</v>
      </c>
      <c r="F247" s="51"/>
    </row>
    <row r="248" spans="1:6" ht="15.75" customHeight="1" x14ac:dyDescent="0.25">
      <c r="A248" t="str">
        <f>+Hoja1!B245</f>
        <v>SUBLIMADOS MAR DEL PLATA SAS</v>
      </c>
      <c r="B248" t="str">
        <f>+Hoja1!A245</f>
        <v>09619</v>
      </c>
      <c r="C248" s="66">
        <f>+Hoja1!K245</f>
        <v>553212</v>
      </c>
      <c r="D248" s="24">
        <f t="shared" si="7"/>
        <v>381.5255172413793</v>
      </c>
      <c r="E248" s="50">
        <f t="shared" si="6"/>
        <v>1.037342239716133E-4</v>
      </c>
      <c r="F248" s="51"/>
    </row>
    <row r="249" spans="1:6" ht="15.75" customHeight="1" x14ac:dyDescent="0.25">
      <c r="A249" t="str">
        <f>+Hoja1!B246</f>
        <v>SUCESION DE BUONO FILIPPO</v>
      </c>
      <c r="B249" t="str">
        <f>+Hoja1!A246</f>
        <v>06956</v>
      </c>
      <c r="C249" s="66">
        <f>+Hoja1!K246</f>
        <v>823149.73</v>
      </c>
      <c r="D249" s="24">
        <f t="shared" si="7"/>
        <v>567.68946896551722</v>
      </c>
      <c r="E249" s="50">
        <f t="shared" si="6"/>
        <v>1.5435095127002492E-4</v>
      </c>
      <c r="F249" s="51"/>
    </row>
    <row r="250" spans="1:6" ht="15.75" customHeight="1" x14ac:dyDescent="0.25">
      <c r="A250" t="str">
        <f>+Hoja1!B247</f>
        <v>SULE FERNANDO JOSE</v>
      </c>
      <c r="B250" t="str">
        <f>+Hoja1!A247</f>
        <v>02934</v>
      </c>
      <c r="C250" s="66">
        <f>+Hoja1!K247</f>
        <v>12838737.470000001</v>
      </c>
      <c r="D250" s="24">
        <f t="shared" si="7"/>
        <v>8854.3017034482764</v>
      </c>
      <c r="E250" s="50">
        <f t="shared" si="6"/>
        <v>2.4074251249534069E-3</v>
      </c>
      <c r="F250" s="51"/>
    </row>
    <row r="251" spans="1:6" ht="15.75" customHeight="1" x14ac:dyDescent="0.25">
      <c r="A251" t="str">
        <f>+Hoja1!B248</f>
        <v>TAGLIARINI RUBEN OMAR</v>
      </c>
      <c r="B251" t="str">
        <f>+Hoja1!A248</f>
        <v>03151</v>
      </c>
      <c r="C251" s="66">
        <f>+Hoja1!K248</f>
        <v>5466780</v>
      </c>
      <c r="D251" s="24">
        <f t="shared" si="7"/>
        <v>3770.1931034482759</v>
      </c>
      <c r="E251" s="50">
        <f t="shared" si="6"/>
        <v>1.0250901660186986E-3</v>
      </c>
      <c r="F251" s="51"/>
    </row>
    <row r="252" spans="1:6" ht="15.75" customHeight="1" x14ac:dyDescent="0.25">
      <c r="A252" t="str">
        <f>+Hoja1!B249</f>
        <v>TALLER MCM S.R.L</v>
      </c>
      <c r="B252" t="str">
        <f>+Hoja1!A249</f>
        <v>07555</v>
      </c>
      <c r="C252" s="66">
        <f>+Hoja1!K249</f>
        <v>36813900</v>
      </c>
      <c r="D252" s="24">
        <f t="shared" si="7"/>
        <v>25388.896551724138</v>
      </c>
      <c r="E252" s="50">
        <f t="shared" si="6"/>
        <v>6.9030703380775823E-3</v>
      </c>
      <c r="F252" s="51"/>
    </row>
    <row r="253" spans="1:6" ht="15.75" customHeight="1" x14ac:dyDescent="0.25">
      <c r="A253" t="str">
        <f>+Hoja1!B250</f>
        <v>TALLERES CARMONA S.A.</v>
      </c>
      <c r="B253" t="str">
        <f>+Hoja1!A250</f>
        <v>00145</v>
      </c>
      <c r="C253" s="66">
        <f>+Hoja1!K250</f>
        <v>1262028.42</v>
      </c>
      <c r="D253" s="24">
        <f t="shared" si="7"/>
        <v>870.36442758620683</v>
      </c>
      <c r="E253" s="50">
        <f t="shared" si="6"/>
        <v>2.3664623829349556E-4</v>
      </c>
      <c r="F253" s="51"/>
    </row>
    <row r="254" spans="1:6" ht="15.75" customHeight="1" x14ac:dyDescent="0.25">
      <c r="A254" t="str">
        <f>+Hoja1!B251</f>
        <v>TALLONE ALEJANDRO ULISES</v>
      </c>
      <c r="B254" t="str">
        <f>+Hoja1!A251</f>
        <v>08747</v>
      </c>
      <c r="C254" s="66">
        <f>+Hoja1!K251</f>
        <v>215118.9</v>
      </c>
      <c r="D254" s="24">
        <f t="shared" si="7"/>
        <v>148.35786206896552</v>
      </c>
      <c r="E254" s="50">
        <f t="shared" si="6"/>
        <v>4.033750560929099E-5</v>
      </c>
      <c r="F254" s="51"/>
    </row>
    <row r="255" spans="1:6" ht="15.75" customHeight="1" x14ac:dyDescent="0.25">
      <c r="A255" t="str">
        <f>+Hoja1!B252</f>
        <v>TECH SAFE S.A.</v>
      </c>
      <c r="B255" t="str">
        <f>+Hoja1!A252</f>
        <v>09462</v>
      </c>
      <c r="C255" s="66">
        <f>+Hoja1!K252</f>
        <v>4471155.84</v>
      </c>
      <c r="D255" s="24">
        <f t="shared" si="7"/>
        <v>3083.5557517241377</v>
      </c>
      <c r="E255" s="50">
        <f t="shared" si="6"/>
        <v>8.383980848545346E-4</v>
      </c>
      <c r="F255" s="51"/>
    </row>
    <row r="256" spans="1:6" ht="15.75" customHeight="1" x14ac:dyDescent="0.25">
      <c r="A256" t="str">
        <f>+Hoja1!B253</f>
        <v>TECNO LUBE S.A.</v>
      </c>
      <c r="B256" t="str">
        <f>+Hoja1!A253</f>
        <v>07095</v>
      </c>
      <c r="C256" s="66">
        <f>+Hoja1!K253</f>
        <v>63100</v>
      </c>
      <c r="D256" s="24">
        <f t="shared" si="7"/>
        <v>43.517241379310342</v>
      </c>
      <c r="E256" s="50">
        <f t="shared" si="6"/>
        <v>1.1832045459261187E-5</v>
      </c>
      <c r="F256" s="51"/>
    </row>
    <row r="257" spans="1:6" ht="15.75" customHeight="1" x14ac:dyDescent="0.25">
      <c r="A257" t="str">
        <f>+Hoja1!B254</f>
        <v>TECNOPESCA ARGENTINA SA</v>
      </c>
      <c r="B257" t="str">
        <f>+Hoja1!A254</f>
        <v>02650</v>
      </c>
      <c r="C257" s="66">
        <f>+Hoja1!K254</f>
        <v>6134094.4699999997</v>
      </c>
      <c r="D257" s="24">
        <f t="shared" si="7"/>
        <v>4230.4099793103451</v>
      </c>
      <c r="E257" s="50">
        <f t="shared" si="6"/>
        <v>1.1502200415284098E-3</v>
      </c>
      <c r="F257" s="51"/>
    </row>
    <row r="258" spans="1:6" ht="15.75" customHeight="1" x14ac:dyDescent="0.25">
      <c r="A258" t="str">
        <f>+Hoja1!B255</f>
        <v>TECVOL S.R.L.</v>
      </c>
      <c r="B258" t="str">
        <f>+Hoja1!A255</f>
        <v>08667</v>
      </c>
      <c r="C258" s="66">
        <f>+Hoja1!K255</f>
        <v>18017060.289999999</v>
      </c>
      <c r="D258" s="24">
        <f t="shared" si="7"/>
        <v>12425.558820689654</v>
      </c>
      <c r="E258" s="50">
        <f t="shared" si="6"/>
        <v>3.3784259333364424E-3</v>
      </c>
      <c r="F258" s="51"/>
    </row>
    <row r="259" spans="1:6" ht="15.75" customHeight="1" x14ac:dyDescent="0.25">
      <c r="A259" t="str">
        <f>+Hoja1!B256</f>
        <v>TELECOM ARGENTINA SA</v>
      </c>
      <c r="B259" t="str">
        <f>+Hoja1!A256</f>
        <v>03695</v>
      </c>
      <c r="C259" s="66">
        <f>+Hoja1!K256</f>
        <v>1480773.96</v>
      </c>
      <c r="D259" s="24">
        <f t="shared" si="7"/>
        <v>1021.2234206896552</v>
      </c>
      <c r="E259" s="50">
        <f t="shared" si="6"/>
        <v>2.776637846213979E-4</v>
      </c>
      <c r="F259" s="51"/>
    </row>
    <row r="260" spans="1:6" ht="15.75" customHeight="1" x14ac:dyDescent="0.25">
      <c r="A260" t="str">
        <f>+Hoja1!B257</f>
        <v>TENES S.A.</v>
      </c>
      <c r="B260" t="str">
        <f>+Hoja1!A257</f>
        <v>05092</v>
      </c>
      <c r="C260" s="66">
        <f>+Hoja1!K257</f>
        <v>69000</v>
      </c>
      <c r="D260" s="24">
        <f t="shared" si="7"/>
        <v>47.586206896551722</v>
      </c>
      <c r="E260" s="50">
        <f t="shared" si="6"/>
        <v>1.2938369836593058E-5</v>
      </c>
      <c r="F260" s="51"/>
    </row>
    <row r="261" spans="1:6" ht="15.75" customHeight="1" x14ac:dyDescent="0.25">
      <c r="A261" t="str">
        <f>+Hoja1!B258</f>
        <v>THEISEN SEBASTIAN</v>
      </c>
      <c r="B261" t="str">
        <f>+Hoja1!A258</f>
        <v>09167</v>
      </c>
      <c r="C261" s="66">
        <f>+Hoja1!K258</f>
        <v>420000</v>
      </c>
      <c r="D261" s="24">
        <f t="shared" si="7"/>
        <v>289.65517241379308</v>
      </c>
      <c r="E261" s="50">
        <f t="shared" ref="E261:E281" si="8">+D261/$D$283</f>
        <v>7.8755294657522951E-5</v>
      </c>
      <c r="F261" s="51"/>
    </row>
    <row r="262" spans="1:6" ht="15.75" customHeight="1" x14ac:dyDescent="0.25">
      <c r="A262" t="str">
        <f>+Hoja1!B259</f>
        <v>TODO BOMBAS S. R. L.</v>
      </c>
      <c r="B262" t="str">
        <f>+Hoja1!A259</f>
        <v>08953</v>
      </c>
      <c r="C262" s="66">
        <f>+Hoja1!K259</f>
        <v>657417.41</v>
      </c>
      <c r="D262" s="24">
        <f t="shared" ref="D262:D282" si="9">+C262/$D$3</f>
        <v>453.39131724137934</v>
      </c>
      <c r="E262" s="50">
        <f t="shared" si="8"/>
        <v>1.2327405199413235E-4</v>
      </c>
      <c r="F262" s="51"/>
    </row>
    <row r="263" spans="1:6" ht="15.75" customHeight="1" x14ac:dyDescent="0.25">
      <c r="A263" t="str">
        <f>+Hoja1!B260</f>
        <v>TODO PARA LA GASTRONOMIA S.A.</v>
      </c>
      <c r="B263" t="str">
        <f>+Hoja1!A260</f>
        <v>04016</v>
      </c>
      <c r="C263" s="66">
        <f>+Hoja1!K260</f>
        <v>4795203.09</v>
      </c>
      <c r="D263" s="24">
        <f t="shared" si="9"/>
        <v>3307.0366137931032</v>
      </c>
      <c r="E263" s="50">
        <f t="shared" si="8"/>
        <v>8.9916102927527274E-4</v>
      </c>
      <c r="F263" s="51"/>
    </row>
    <row r="264" spans="1:6" ht="15.75" customHeight="1" x14ac:dyDescent="0.25">
      <c r="A264" t="str">
        <f>+Hoja1!B261</f>
        <v>TOLOSA S.A.</v>
      </c>
      <c r="B264" t="str">
        <f>+Hoja1!A261</f>
        <v>06103</v>
      </c>
      <c r="C264" s="66">
        <f>+Hoja1!K261</f>
        <v>1891249.99</v>
      </c>
      <c r="D264" s="24">
        <f t="shared" si="9"/>
        <v>1304.3103379310344</v>
      </c>
      <c r="E264" s="50">
        <f t="shared" si="8"/>
        <v>3.5463321484163654E-4</v>
      </c>
      <c r="F264" s="51"/>
    </row>
    <row r="265" spans="1:6" ht="15.75" customHeight="1" x14ac:dyDescent="0.25">
      <c r="A265" t="str">
        <f>+Hoja1!B262</f>
        <v>TRANSMISIONES LORENZANI S.R.L</v>
      </c>
      <c r="B265" t="str">
        <f>+Hoja1!A262</f>
        <v>08757</v>
      </c>
      <c r="C265" s="66">
        <f>+Hoja1!K262</f>
        <v>1955118</v>
      </c>
      <c r="D265" s="24">
        <f t="shared" si="9"/>
        <v>1348.3572413793104</v>
      </c>
      <c r="E265" s="50">
        <f t="shared" si="8"/>
        <v>3.6660927185768328E-4</v>
      </c>
      <c r="F265" s="51"/>
    </row>
    <row r="266" spans="1:6" ht="15.75" customHeight="1" x14ac:dyDescent="0.25">
      <c r="A266" t="str">
        <f>+Hoja1!B263</f>
        <v>TRANSPORTE GYAN S.R.L.</v>
      </c>
      <c r="B266" t="str">
        <f>+Hoja1!A263</f>
        <v>07611</v>
      </c>
      <c r="C266" s="66">
        <f>+Hoja1!K263</f>
        <v>52514000</v>
      </c>
      <c r="D266" s="24">
        <f t="shared" si="9"/>
        <v>36216.551724137928</v>
      </c>
      <c r="E266" s="50">
        <f t="shared" si="8"/>
        <v>9.8470370086789528E-3</v>
      </c>
      <c r="F266" s="51"/>
    </row>
    <row r="267" spans="1:6" ht="15.75" customHeight="1" x14ac:dyDescent="0.25">
      <c r="A267" t="str">
        <f>+Hoja1!B264</f>
        <v>TREMBLAY S.R.L.</v>
      </c>
      <c r="B267" t="str">
        <f>+Hoja1!A264</f>
        <v>06375</v>
      </c>
      <c r="C267" s="66">
        <f>+Hoja1!K264</f>
        <v>5323398.57</v>
      </c>
      <c r="D267" s="24">
        <f t="shared" si="9"/>
        <v>3671.3093586206896</v>
      </c>
      <c r="E267" s="50">
        <f t="shared" si="8"/>
        <v>9.982043403804436E-4</v>
      </c>
      <c r="F267" s="51"/>
    </row>
    <row r="268" spans="1:6" ht="15.75" customHeight="1" x14ac:dyDescent="0.25">
      <c r="A268" t="str">
        <f>+Hoja1!B265</f>
        <v>TRUCHI RUBEN ANGEL</v>
      </c>
      <c r="B268" t="str">
        <f>+Hoja1!A265</f>
        <v>09510</v>
      </c>
      <c r="C268" s="66">
        <f>+Hoja1!K265</f>
        <v>-653801.14</v>
      </c>
      <c r="D268" s="24">
        <f t="shared" si="9"/>
        <v>-450.89733793103449</v>
      </c>
      <c r="E268" s="50">
        <f t="shared" si="8"/>
        <v>-1.2259595578124861E-4</v>
      </c>
      <c r="F268" s="51"/>
    </row>
    <row r="269" spans="1:6" ht="15.75" customHeight="1" x14ac:dyDescent="0.25">
      <c r="A269" t="str">
        <f>+Hoja1!B266</f>
        <v>URIARTE MARCELO OSVALDO</v>
      </c>
      <c r="B269" t="str">
        <f>+Hoja1!A266</f>
        <v>07686</v>
      </c>
      <c r="C269" s="66">
        <f>+Hoja1!K266</f>
        <v>1848700.12</v>
      </c>
      <c r="D269" s="24">
        <f t="shared" si="9"/>
        <v>1274.9656</v>
      </c>
      <c r="E269" s="50">
        <f t="shared" si="8"/>
        <v>3.46654577819043E-4</v>
      </c>
      <c r="F269" s="51"/>
    </row>
    <row r="270" spans="1:6" ht="15.75" customHeight="1" x14ac:dyDescent="0.25">
      <c r="A270" t="str">
        <f>+Hoja1!B267</f>
        <v>URK SA</v>
      </c>
      <c r="B270" t="str">
        <f>+Hoja1!A267</f>
        <v>07448</v>
      </c>
      <c r="C270" s="66">
        <f>+Hoja1!K267</f>
        <v>5617098.2999999998</v>
      </c>
      <c r="D270" s="24">
        <f t="shared" si="9"/>
        <v>3873.8608965517242</v>
      </c>
      <c r="E270" s="50">
        <f t="shared" si="8"/>
        <v>1.0532767422304079E-3</v>
      </c>
      <c r="F270" s="51"/>
    </row>
    <row r="271" spans="1:6" ht="15.75" customHeight="1" x14ac:dyDescent="0.25">
      <c r="A271" t="str">
        <f>+Hoja1!B268</f>
        <v>VAZQUEZ DANIEL NORBERTO</v>
      </c>
      <c r="B271" t="str">
        <f>+Hoja1!A268</f>
        <v>04035</v>
      </c>
      <c r="C271" s="66">
        <f>+Hoja1!K268</f>
        <v>88182989.640000001</v>
      </c>
      <c r="D271" s="24">
        <f t="shared" si="9"/>
        <v>60815.85492413793</v>
      </c>
      <c r="E271" s="50">
        <f t="shared" si="8"/>
        <v>1.6535422221141651E-2</v>
      </c>
      <c r="F271" s="51"/>
    </row>
    <row r="272" spans="1:6" ht="15.75" customHeight="1" x14ac:dyDescent="0.25">
      <c r="A272" t="str">
        <f>+Hoja1!B269</f>
        <v>VIENTOS DE LUNA S.A.</v>
      </c>
      <c r="B272" t="str">
        <f>+Hoja1!A269</f>
        <v>05028</v>
      </c>
      <c r="C272" s="66">
        <f>+Hoja1!K269</f>
        <v>2890206</v>
      </c>
      <c r="D272" s="24">
        <f t="shared" si="9"/>
        <v>1993.2455172413793</v>
      </c>
      <c r="E272" s="50">
        <f t="shared" si="8"/>
        <v>5.419500598831924E-4</v>
      </c>
      <c r="F272" s="51"/>
    </row>
    <row r="273" spans="1:6" ht="15.75" customHeight="1" x14ac:dyDescent="0.25">
      <c r="A273" t="str">
        <f>+Hoja1!B270</f>
        <v>VILGOM ARGENTINA S.A.</v>
      </c>
      <c r="B273" t="str">
        <f>+Hoja1!A270</f>
        <v>06385</v>
      </c>
      <c r="C273" s="66">
        <f>+Hoja1!K270</f>
        <v>1002566.43</v>
      </c>
      <c r="D273" s="24">
        <f t="shared" si="9"/>
        <v>691.42512413793111</v>
      </c>
      <c r="E273" s="50">
        <f t="shared" si="8"/>
        <v>1.8799384430569257E-4</v>
      </c>
      <c r="F273" s="51"/>
    </row>
    <row r="274" spans="1:6" ht="15.75" customHeight="1" x14ac:dyDescent="0.25">
      <c r="A274" t="str">
        <f>+Hoja1!B271</f>
        <v>VILLAR MARCELA NOELIA</v>
      </c>
      <c r="B274" t="str">
        <f>+Hoja1!A271</f>
        <v>08752</v>
      </c>
      <c r="C274" s="66">
        <f>+Hoja1!K271</f>
        <v>204840.9</v>
      </c>
      <c r="D274" s="24">
        <f t="shared" si="9"/>
        <v>141.26958620689655</v>
      </c>
      <c r="E274" s="50">
        <f t="shared" si="8"/>
        <v>3.8410251041457607E-5</v>
      </c>
      <c r="F274" s="51"/>
    </row>
    <row r="275" spans="1:6" ht="15.75" customHeight="1" x14ac:dyDescent="0.25">
      <c r="A275" t="str">
        <f>+Hoja1!B272</f>
        <v>VIOMAR S.A.I.C.</v>
      </c>
      <c r="B275" t="str">
        <f>+Hoja1!A272</f>
        <v>00295</v>
      </c>
      <c r="C275" s="66">
        <f>+Hoja1!K272</f>
        <v>130323238.02</v>
      </c>
      <c r="D275" s="24">
        <f t="shared" si="9"/>
        <v>89878.095186206891</v>
      </c>
      <c r="E275" s="50">
        <f t="shared" si="8"/>
        <v>2.4437250026160949E-2</v>
      </c>
      <c r="F275" s="51"/>
    </row>
    <row r="276" spans="1:6" ht="15.75" customHeight="1" x14ac:dyDescent="0.25">
      <c r="A276" t="str">
        <f>+Hoja1!B273</f>
        <v>VISION LOGISTIC</v>
      </c>
      <c r="B276" t="str">
        <f>+Hoja1!A273</f>
        <v>08447</v>
      </c>
      <c r="C276" s="66">
        <f>+Hoja1!K273</f>
        <v>-1.1100000000000001</v>
      </c>
      <c r="D276" s="24">
        <f t="shared" si="9"/>
        <v>-7.6551724137931037E-4</v>
      </c>
      <c r="E276" s="50">
        <f t="shared" si="8"/>
        <v>-2.0813899302345354E-10</v>
      </c>
      <c r="F276" s="51"/>
    </row>
    <row r="277" spans="1:6" ht="15.75" customHeight="1" x14ac:dyDescent="0.25">
      <c r="A277" t="str">
        <f>+Hoja1!B274</f>
        <v>VIVA WALTER IGNACIO Y VIVA ABEL S.H.</v>
      </c>
      <c r="B277" t="str">
        <f>+Hoja1!A274</f>
        <v>07308</v>
      </c>
      <c r="C277" s="66">
        <f>+Hoja1!K274</f>
        <v>172788</v>
      </c>
      <c r="D277" s="24">
        <f t="shared" si="9"/>
        <v>119.16413793103449</v>
      </c>
      <c r="E277" s="50">
        <f t="shared" si="8"/>
        <v>3.2399928222104945E-5</v>
      </c>
      <c r="F277" s="51"/>
    </row>
    <row r="278" spans="1:6" ht="15.75" customHeight="1" x14ac:dyDescent="0.25">
      <c r="A278" t="str">
        <f>+Hoja1!B275</f>
        <v>WANBARU ICE S.A.</v>
      </c>
      <c r="B278" t="str">
        <f>+Hoja1!A275</f>
        <v>09576</v>
      </c>
      <c r="C278" s="66">
        <f>+Hoja1!K275</f>
        <v>1577601.83</v>
      </c>
      <c r="D278" s="24">
        <f t="shared" si="9"/>
        <v>1088.0012620689656</v>
      </c>
      <c r="E278" s="50">
        <f t="shared" si="8"/>
        <v>2.9582023089023203E-4</v>
      </c>
      <c r="F278" s="51"/>
    </row>
    <row r="279" spans="1:6" ht="15.75" customHeight="1" x14ac:dyDescent="0.25">
      <c r="A279" t="str">
        <f>+Hoja1!B276</f>
        <v>WATER NAVAL S.A.S</v>
      </c>
      <c r="B279" t="str">
        <f>+Hoja1!A276</f>
        <v>08554</v>
      </c>
      <c r="C279" s="66">
        <f>+Hoja1!K276</f>
        <v>4113888.9</v>
      </c>
      <c r="D279" s="24">
        <f t="shared" si="9"/>
        <v>2837.1647586206896</v>
      </c>
      <c r="E279" s="50">
        <f t="shared" si="8"/>
        <v>7.7140602978050714E-4</v>
      </c>
      <c r="F279" s="51"/>
    </row>
    <row r="280" spans="1:6" ht="15.75" customHeight="1" x14ac:dyDescent="0.25">
      <c r="A280" t="str">
        <f>+Hoja1!B277</f>
        <v>Y.C. ARMO-CAS S. A.</v>
      </c>
      <c r="B280" t="str">
        <f>+Hoja1!A277</f>
        <v>08729</v>
      </c>
      <c r="C280" s="66">
        <f>+Hoja1!K277</f>
        <v>1485120</v>
      </c>
      <c r="D280" s="24">
        <f t="shared" si="9"/>
        <v>1024.2206896551725</v>
      </c>
      <c r="E280" s="50">
        <f t="shared" si="8"/>
        <v>2.7847872190900119E-4</v>
      </c>
      <c r="F280" s="51"/>
    </row>
    <row r="281" spans="1:6" ht="15.75" customHeight="1" x14ac:dyDescent="0.25">
      <c r="A281" t="str">
        <f>+Hoja1!B278</f>
        <v>YPF S.A.</v>
      </c>
      <c r="B281" t="str">
        <f>+Hoja1!A278</f>
        <v>02429</v>
      </c>
      <c r="C281" s="66">
        <f>+Hoja1!K278</f>
        <v>609941327.50999999</v>
      </c>
      <c r="D281" s="24">
        <f t="shared" si="9"/>
        <v>420649.19138620689</v>
      </c>
      <c r="E281" s="50">
        <f t="shared" si="8"/>
        <v>0.11437168802821611</v>
      </c>
      <c r="F281" s="51"/>
    </row>
    <row r="282" spans="1:6" ht="15.75" customHeight="1" x14ac:dyDescent="0.25">
      <c r="A282" t="str">
        <f>+Hoja1!B279</f>
        <v>ZAHN ALEXIS</v>
      </c>
      <c r="B282" t="str">
        <f>+Hoja1!A279</f>
        <v>09611</v>
      </c>
      <c r="C282" s="66">
        <f>+Hoja1!K279</f>
        <v>1350000</v>
      </c>
      <c r="D282" s="24">
        <f t="shared" si="9"/>
        <v>931.0344827586207</v>
      </c>
      <c r="E282" s="50">
        <f>+D282/$D$283</f>
        <v>2.5314201854203806E-4</v>
      </c>
      <c r="F282" s="51"/>
    </row>
    <row r="283" spans="1:6" ht="18" customHeight="1" x14ac:dyDescent="0.25">
      <c r="A283" s="41" t="s">
        <v>166</v>
      </c>
      <c r="B283" s="42"/>
      <c r="C283" s="43">
        <f>SUM(C5:C282)</f>
        <v>5332974777.4599981</v>
      </c>
      <c r="D283" s="43">
        <f>SUM(D5:D282)</f>
        <v>3677913.6396275843</v>
      </c>
      <c r="E283" s="68">
        <f>SUM(E5:E282)</f>
        <v>1.0000000000000002</v>
      </c>
      <c r="F283" s="42"/>
    </row>
    <row r="285" spans="1:6" ht="15" customHeight="1" x14ac:dyDescent="0.25">
      <c r="A285" s="82" t="s">
        <v>167</v>
      </c>
      <c r="B285" s="82"/>
      <c r="C285" s="82"/>
      <c r="D285" s="82"/>
      <c r="E285" s="82"/>
      <c r="F285" s="82"/>
    </row>
  </sheetData>
  <mergeCells count="3">
    <mergeCell ref="A1:F1"/>
    <mergeCell ref="A2:F2"/>
    <mergeCell ref="A285:F28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837</v>
      </c>
      <c r="B4" t="s">
        <v>838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839</v>
      </c>
      <c r="B13" t="s">
        <v>840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841</v>
      </c>
      <c r="B17" t="s">
        <v>842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843</v>
      </c>
      <c r="B20" t="s">
        <v>844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845</v>
      </c>
      <c r="B22" t="s">
        <v>846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847</v>
      </c>
      <c r="B23" t="s">
        <v>848</v>
      </c>
      <c r="C23" t="s">
        <v>540</v>
      </c>
      <c r="D23" t="s">
        <v>849</v>
      </c>
      <c r="E23">
        <v>60000</v>
      </c>
      <c r="F23" t="s">
        <v>850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851</v>
      </c>
      <c r="B29" t="s">
        <v>852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853</v>
      </c>
      <c r="B38" t="s">
        <v>854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855</v>
      </c>
      <c r="B45" t="s">
        <v>856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857</v>
      </c>
      <c r="B46" t="s">
        <v>858</v>
      </c>
      <c r="C46" t="s">
        <v>540</v>
      </c>
      <c r="D46" t="s">
        <v>859</v>
      </c>
      <c r="E46">
        <v>398000</v>
      </c>
      <c r="F46" t="s">
        <v>860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861</v>
      </c>
      <c r="B48" t="s">
        <v>862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863</v>
      </c>
      <c r="B59" t="s">
        <v>864</v>
      </c>
      <c r="C59" t="s">
        <v>540</v>
      </c>
      <c r="D59" t="s">
        <v>865</v>
      </c>
      <c r="E59">
        <v>34724217</v>
      </c>
      <c r="F59" t="s">
        <v>866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867</v>
      </c>
      <c r="B75" t="s">
        <v>868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869</v>
      </c>
      <c r="B87" t="s">
        <v>870</v>
      </c>
      <c r="C87" t="s">
        <v>540</v>
      </c>
      <c r="D87" t="s">
        <v>871</v>
      </c>
      <c r="E87">
        <v>1113964.82</v>
      </c>
      <c r="F87" t="s">
        <v>872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873</v>
      </c>
      <c r="B124" t="s">
        <v>874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875</v>
      </c>
      <c r="B132" t="s">
        <v>876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877</v>
      </c>
      <c r="B134" t="s">
        <v>878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879</v>
      </c>
      <c r="B138" t="s">
        <v>880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881</v>
      </c>
      <c r="B143" t="s">
        <v>882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883</v>
      </c>
      <c r="B146" t="s">
        <v>884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885</v>
      </c>
      <c r="B160" t="s">
        <v>886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887</v>
      </c>
      <c r="B161" t="s">
        <v>888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889</v>
      </c>
      <c r="B162" t="s">
        <v>890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891</v>
      </c>
      <c r="B169" t="s">
        <v>892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893</v>
      </c>
      <c r="B174" t="s">
        <v>894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895</v>
      </c>
      <c r="B189" t="s">
        <v>896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897</v>
      </c>
      <c r="B192" t="s">
        <v>898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899</v>
      </c>
      <c r="B197" t="s">
        <v>900</v>
      </c>
      <c r="C197" t="s">
        <v>540</v>
      </c>
      <c r="D197" t="s">
        <v>901</v>
      </c>
      <c r="E197">
        <v>12414600</v>
      </c>
      <c r="F197" t="s">
        <v>902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903</v>
      </c>
      <c r="B200" t="s">
        <v>904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905</v>
      </c>
      <c r="B203" t="s">
        <v>906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907</v>
      </c>
      <c r="B204" t="s">
        <v>908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909</v>
      </c>
      <c r="B208" t="s">
        <v>910</v>
      </c>
      <c r="C208" t="s">
        <v>540</v>
      </c>
      <c r="D208" t="s">
        <v>911</v>
      </c>
      <c r="E208">
        <v>11968048.970000001</v>
      </c>
      <c r="F208" t="s">
        <v>912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913</v>
      </c>
      <c r="B215" t="s">
        <v>914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915</v>
      </c>
      <c r="B227" t="s">
        <v>916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917</v>
      </c>
      <c r="B245" t="s">
        <v>918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919</v>
      </c>
      <c r="B257" t="s">
        <v>920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921</v>
      </c>
      <c r="B263" t="s">
        <v>922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923</v>
      </c>
      <c r="B271" t="s">
        <v>924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925</v>
      </c>
      <c r="B279" t="s">
        <v>926</v>
      </c>
      <c r="C279" t="s">
        <v>540</v>
      </c>
      <c r="D279" t="s">
        <v>927</v>
      </c>
      <c r="E279">
        <v>1350000</v>
      </c>
      <c r="F279" t="s">
        <v>928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N19" sqref="N1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1" t="s">
        <v>168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ht="15.75" customHeight="1" x14ac:dyDescent="0.25">
      <c r="A2" s="81" t="s">
        <v>169</v>
      </c>
      <c r="B2" s="81"/>
      <c r="C2" s="81"/>
      <c r="D2" s="81"/>
      <c r="E2" s="81"/>
      <c r="F2" s="81"/>
      <c r="G2" s="81"/>
      <c r="H2" s="81"/>
      <c r="I2" s="81"/>
      <c r="J2" s="81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9">
        <v>4.4999999999999998E-2</v>
      </c>
      <c r="D5" s="70">
        <v>46101</v>
      </c>
      <c r="E5" s="70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78</v>
      </c>
      <c r="J5" s="52"/>
    </row>
    <row r="6" spans="1:10" ht="18" customHeight="1" x14ac:dyDescent="0.25">
      <c r="A6" s="53" t="s">
        <v>179</v>
      </c>
      <c r="B6" s="14">
        <v>1000000</v>
      </c>
      <c r="C6" s="69">
        <v>3.9E-2</v>
      </c>
      <c r="D6" s="70">
        <v>46118</v>
      </c>
      <c r="E6" s="70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94</v>
      </c>
      <c r="J6" s="51"/>
    </row>
    <row r="7" spans="1:10" ht="18" customHeight="1" x14ac:dyDescent="0.25">
      <c r="A7" s="53" t="s">
        <v>179</v>
      </c>
      <c r="B7" s="14">
        <v>1000000</v>
      </c>
      <c r="C7" s="69">
        <v>5.9499999999999997E-2</v>
      </c>
      <c r="D7" s="70">
        <v>46079</v>
      </c>
      <c r="E7" s="70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56</v>
      </c>
      <c r="J7" s="52"/>
    </row>
    <row r="8" spans="1:10" ht="18" customHeight="1" x14ac:dyDescent="0.25">
      <c r="A8" s="53" t="s">
        <v>179</v>
      </c>
      <c r="B8" s="14">
        <v>1000000</v>
      </c>
      <c r="C8" s="69">
        <v>3.7999999999999999E-2</v>
      </c>
      <c r="D8" s="70">
        <v>46153</v>
      </c>
      <c r="E8" s="70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114</v>
      </c>
      <c r="J8" s="52"/>
    </row>
    <row r="9" spans="1:10" ht="18" customHeight="1" x14ac:dyDescent="0.25">
      <c r="A9" s="53" t="s">
        <v>179</v>
      </c>
      <c r="B9" s="14">
        <v>1000000</v>
      </c>
      <c r="C9" s="69">
        <v>3.1E-2</v>
      </c>
      <c r="D9" s="70">
        <v>46191</v>
      </c>
      <c r="E9" s="70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163</v>
      </c>
      <c r="J9" s="52"/>
    </row>
    <row r="10" spans="1:10" ht="18" customHeight="1" x14ac:dyDescent="0.25">
      <c r="A10" s="53" t="s">
        <v>181</v>
      </c>
      <c r="B10" s="14">
        <v>1000000</v>
      </c>
      <c r="C10" s="69">
        <v>0.05</v>
      </c>
      <c r="D10" s="70">
        <v>46048</v>
      </c>
      <c r="E10" s="70">
        <v>46227</v>
      </c>
      <c r="F10" s="54">
        <f t="shared" ref="F10:F13" si="0">IFERROR(E10-D10,0)</f>
        <v>179</v>
      </c>
      <c r="G10" s="55">
        <f t="shared" ref="G10:G13" si="1">IFERROR(B10*(C10/365)*F10,0)</f>
        <v>24520.547945205486</v>
      </c>
      <c r="H10" s="56">
        <f t="shared" ref="H10:H13" si="2">IFERROR(B10+G10,0)</f>
        <v>1024520.5479452055</v>
      </c>
      <c r="I10" s="57">
        <f t="shared" ref="I10:I13" ca="1" si="3">IFERROR(E10-TODAY(),"Vencido")</f>
        <v>24</v>
      </c>
      <c r="J10" s="52"/>
    </row>
    <row r="11" spans="1:10" ht="18" customHeight="1" x14ac:dyDescent="0.25">
      <c r="A11" s="53" t="s">
        <v>181</v>
      </c>
      <c r="B11" s="14">
        <v>1000000</v>
      </c>
      <c r="C11" s="69">
        <v>3.2300000000000002E-2</v>
      </c>
      <c r="D11" s="70">
        <v>46183</v>
      </c>
      <c r="E11" s="70">
        <v>46360</v>
      </c>
      <c r="F11" s="54">
        <f t="shared" si="0"/>
        <v>177</v>
      </c>
      <c r="G11" s="55">
        <f t="shared" si="1"/>
        <v>15663.287671232876</v>
      </c>
      <c r="H11" s="56">
        <f t="shared" si="2"/>
        <v>1015663.2876712328</v>
      </c>
      <c r="I11" s="57">
        <f t="shared" ca="1" si="3"/>
        <v>157</v>
      </c>
      <c r="J11" s="52"/>
    </row>
    <row r="12" spans="1:10" ht="18" customHeight="1" x14ac:dyDescent="0.25">
      <c r="A12" s="53" t="s">
        <v>181</v>
      </c>
      <c r="B12" s="14">
        <v>1000000</v>
      </c>
      <c r="C12" s="69">
        <v>0.04</v>
      </c>
      <c r="D12" s="70">
        <v>46136</v>
      </c>
      <c r="E12" s="70">
        <v>46255</v>
      </c>
      <c r="F12" s="54">
        <f t="shared" si="0"/>
        <v>119</v>
      </c>
      <c r="G12" s="55">
        <f t="shared" si="1"/>
        <v>13041.095890410959</v>
      </c>
      <c r="H12" s="56">
        <f t="shared" si="2"/>
        <v>1013041.0958904109</v>
      </c>
      <c r="I12" s="57">
        <f t="shared" ca="1" si="3"/>
        <v>52</v>
      </c>
      <c r="J12" s="52"/>
    </row>
    <row r="13" spans="1:10" ht="18" customHeight="1" x14ac:dyDescent="0.25">
      <c r="A13" s="53" t="s">
        <v>181</v>
      </c>
      <c r="B13" s="14">
        <v>1000000</v>
      </c>
      <c r="C13" s="69">
        <v>3.9E-2</v>
      </c>
      <c r="D13" s="70">
        <v>46090</v>
      </c>
      <c r="E13" s="70">
        <v>46269</v>
      </c>
      <c r="F13" s="54">
        <f t="shared" si="0"/>
        <v>179</v>
      </c>
      <c r="G13" s="55">
        <f t="shared" si="1"/>
        <v>19126.027397260274</v>
      </c>
      <c r="H13" s="56">
        <f t="shared" si="2"/>
        <v>1019126.0273972603</v>
      </c>
      <c r="I13" s="57">
        <f t="shared" ca="1" si="3"/>
        <v>66</v>
      </c>
      <c r="J13" s="52"/>
    </row>
    <row r="14" spans="1:10" ht="18" customHeight="1" x14ac:dyDescent="0.25">
      <c r="A14" s="53" t="s">
        <v>181</v>
      </c>
      <c r="B14" s="14">
        <v>1000000</v>
      </c>
      <c r="C14" s="69">
        <v>3.2300000000000002E-2</v>
      </c>
      <c r="D14" s="70">
        <v>46178</v>
      </c>
      <c r="E14" s="70">
        <v>46358</v>
      </c>
      <c r="F14" s="54">
        <f>IFERROR(E14-D14,0)</f>
        <v>180</v>
      </c>
      <c r="G14" s="55">
        <f>IFERROR(B14*(C14/365)*F14,0)</f>
        <v>15928.767123287671</v>
      </c>
      <c r="H14" s="56">
        <f>IFERROR(B14+G14,0)</f>
        <v>1015928.7671232877</v>
      </c>
      <c r="I14" s="57">
        <f ca="1">IFERROR(E14-TODAY(),"Vencido")</f>
        <v>155</v>
      </c>
      <c r="J14" s="52"/>
    </row>
    <row r="15" spans="1:10" ht="19.5" customHeight="1" x14ac:dyDescent="0.25">
      <c r="A15" s="41" t="s">
        <v>155</v>
      </c>
      <c r="B15" s="58">
        <f>SUM(B5:B14)</f>
        <v>10000000</v>
      </c>
      <c r="C15" s="42"/>
      <c r="D15" s="42"/>
      <c r="E15" s="42"/>
      <c r="F15" s="42"/>
      <c r="G15" s="58">
        <f>SUM(G5:G14)</f>
        <v>190876.98630136988</v>
      </c>
      <c r="H15" s="58">
        <f>SUM(H5:H14)</f>
        <v>10190876.98630137</v>
      </c>
      <c r="I15" s="42"/>
      <c r="J15" s="42"/>
    </row>
    <row r="16" spans="1:10" ht="18" customHeight="1" x14ac:dyDescent="0.25">
      <c r="A16" s="44"/>
      <c r="B16" s="59"/>
      <c r="C16" s="60"/>
      <c r="D16" s="46"/>
      <c r="E16" s="46"/>
      <c r="F16" s="61">
        <f>IFERROR(E16-D16,0)</f>
        <v>0</v>
      </c>
      <c r="G16" s="62">
        <f>IFERROR(B16*(C16/365)*F16,0)</f>
        <v>0</v>
      </c>
      <c r="H16" s="62">
        <f>IFERROR(B16+G16,0)</f>
        <v>0</v>
      </c>
      <c r="I16" s="61">
        <f ca="1">IFERROR(E16-TODAY(),"")</f>
        <v>-46203</v>
      </c>
      <c r="J16" s="44"/>
    </row>
    <row r="17" spans="1:10" ht="18" customHeight="1" x14ac:dyDescent="0.25">
      <c r="A17" s="44"/>
      <c r="B17" s="59"/>
      <c r="C17" s="60"/>
      <c r="D17" s="46"/>
      <c r="E17" s="46"/>
      <c r="F17" s="61">
        <f>IFERROR(E17-D17,0)</f>
        <v>0</v>
      </c>
      <c r="G17" s="62">
        <f>IFERROR(B17*(C17/365)*F17,0)</f>
        <v>0</v>
      </c>
      <c r="H17" s="62">
        <f>IFERROR(B17+G17,0)</f>
        <v>0</v>
      </c>
      <c r="I17" s="61">
        <f ca="1">IFERROR(E17-TODAY(),"")</f>
        <v>-46203</v>
      </c>
      <c r="J17" s="44"/>
    </row>
    <row r="18" spans="1:10" ht="18" customHeight="1" x14ac:dyDescent="0.25">
      <c r="A18" s="44"/>
      <c r="B18" s="59"/>
      <c r="C18" s="60"/>
      <c r="D18" s="46"/>
      <c r="E18" s="46"/>
      <c r="F18" s="61">
        <f>IFERROR(E18-D18,0)</f>
        <v>0</v>
      </c>
      <c r="G18" s="62">
        <f>IFERROR(B18*(C18/365)*F18,0)</f>
        <v>0</v>
      </c>
      <c r="H18" s="62">
        <f>IFERROR(B18+G18,0)</f>
        <v>0</v>
      </c>
      <c r="I18" s="61">
        <f ca="1">IFERROR(E18-TODAY(),"")</f>
        <v>-46203</v>
      </c>
      <c r="J18" s="44"/>
    </row>
    <row r="19" spans="1:10" ht="18" customHeight="1" x14ac:dyDescent="0.25">
      <c r="A19" s="44"/>
      <c r="B19" s="59"/>
      <c r="C19" s="60"/>
      <c r="D19" s="46"/>
      <c r="E19" s="46"/>
      <c r="F19" s="61">
        <f>IFERROR(E19-D19,0)</f>
        <v>0</v>
      </c>
      <c r="G19" s="62">
        <f>IFERROR(B19*(C19/365)*F19,0)</f>
        <v>0</v>
      </c>
      <c r="H19" s="62">
        <f>IFERROR(B19+G19,0)</f>
        <v>0</v>
      </c>
      <c r="I19" s="61">
        <f ca="1">IFERROR(E19-TODAY(),"")</f>
        <v>-46203</v>
      </c>
      <c r="J19" s="44"/>
    </row>
    <row r="20" spans="1:10" ht="18" customHeight="1" x14ac:dyDescent="0.25">
      <c r="A20" s="44"/>
      <c r="B20" s="59"/>
      <c r="C20" s="60"/>
      <c r="D20" s="46"/>
      <c r="E20" s="46"/>
      <c r="F20" s="61">
        <f>IFERROR(E20-D20,0)</f>
        <v>0</v>
      </c>
      <c r="G20" s="62">
        <f>IFERROR(B20*(C20/365)*F20,0)</f>
        <v>0</v>
      </c>
      <c r="H20" s="62">
        <f>IFERROR(B20+G20,0)</f>
        <v>0</v>
      </c>
      <c r="I20" s="61">
        <f ca="1">IFERROR(E20-TODAY(),"")</f>
        <v>-46203</v>
      </c>
      <c r="J20" s="44"/>
    </row>
    <row r="22" spans="1:10" x14ac:dyDescent="0.25">
      <c r="A22" s="82" t="s">
        <v>180</v>
      </c>
      <c r="B22" s="82"/>
      <c r="C22" s="82"/>
      <c r="D22" s="82"/>
      <c r="E22" s="82"/>
      <c r="F22" s="82"/>
      <c r="G22" s="82"/>
      <c r="H22" s="82"/>
      <c r="I22" s="82"/>
      <c r="J22" s="82"/>
    </row>
    <row r="26" spans="1:10" x14ac:dyDescent="0.25">
      <c r="D26" s="64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2026-06-30T19:12:36Z</dcterms:modified>
  <dc:language>en-US</dc:language>
</cp:coreProperties>
</file>