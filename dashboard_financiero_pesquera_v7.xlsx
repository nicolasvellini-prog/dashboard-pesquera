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Dashboard\CF\"/>
    </mc:Choice>
  </mc:AlternateContent>
  <xr:revisionPtr revIDLastSave="0" documentId="13_ncr:1_{D272AF2F-166C-40A2-B450-CA95B7B4A39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2" sheetId="10" r:id="rId9"/>
    <sheet name="Hoja1" sheetId="9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87" i="2" l="1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F4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E74" i="8" l="1"/>
  <c r="E146" i="8"/>
  <c r="E218" i="8"/>
  <c r="D6" i="8"/>
  <c r="D7" i="8"/>
  <c r="E7" i="8" s="1"/>
  <c r="D8" i="8"/>
  <c r="D9" i="8"/>
  <c r="E9" i="8" s="1"/>
  <c r="D10" i="8"/>
  <c r="E10" i="8" s="1"/>
  <c r="D11" i="8"/>
  <c r="D12" i="8"/>
  <c r="D13" i="8"/>
  <c r="E13" i="8" s="1"/>
  <c r="D14" i="8"/>
  <c r="E14" i="8" s="1"/>
  <c r="D15" i="8"/>
  <c r="E15" i="8" s="1"/>
  <c r="D16" i="8"/>
  <c r="D17" i="8"/>
  <c r="D18" i="8"/>
  <c r="D19" i="8"/>
  <c r="E19" i="8" s="1"/>
  <c r="D20" i="8"/>
  <c r="D21" i="8"/>
  <c r="E21" i="8" s="1"/>
  <c r="D22" i="8"/>
  <c r="E22" i="8" s="1"/>
  <c r="D23" i="8"/>
  <c r="D24" i="8"/>
  <c r="D25" i="8"/>
  <c r="E25" i="8" s="1"/>
  <c r="D26" i="8"/>
  <c r="E26" i="8" s="1"/>
  <c r="D27" i="8"/>
  <c r="E27" i="8" s="1"/>
  <c r="D28" i="8"/>
  <c r="D29" i="8"/>
  <c r="D30" i="8"/>
  <c r="D31" i="8"/>
  <c r="E31" i="8" s="1"/>
  <c r="D32" i="8"/>
  <c r="D33" i="8"/>
  <c r="E33" i="8" s="1"/>
  <c r="D34" i="8"/>
  <c r="E34" i="8" s="1"/>
  <c r="D35" i="8"/>
  <c r="D36" i="8"/>
  <c r="D37" i="8"/>
  <c r="E37" i="8" s="1"/>
  <c r="D38" i="8"/>
  <c r="E38" i="8" s="1"/>
  <c r="D39" i="8"/>
  <c r="E39" i="8" s="1"/>
  <c r="D40" i="8"/>
  <c r="E40" i="8" s="1"/>
  <c r="D41" i="8"/>
  <c r="D42" i="8"/>
  <c r="D43" i="8"/>
  <c r="E43" i="8" s="1"/>
  <c r="D44" i="8"/>
  <c r="D45" i="8"/>
  <c r="E45" i="8" s="1"/>
  <c r="D46" i="8"/>
  <c r="E46" i="8" s="1"/>
  <c r="D47" i="8"/>
  <c r="D48" i="8"/>
  <c r="D49" i="8"/>
  <c r="E49" i="8" s="1"/>
  <c r="D50" i="8"/>
  <c r="E50" i="8" s="1"/>
  <c r="D51" i="8"/>
  <c r="E51" i="8" s="1"/>
  <c r="D52" i="8"/>
  <c r="E52" i="8" s="1"/>
  <c r="D53" i="8"/>
  <c r="D54" i="8"/>
  <c r="D55" i="8"/>
  <c r="E55" i="8" s="1"/>
  <c r="D56" i="8"/>
  <c r="D57" i="8"/>
  <c r="E57" i="8" s="1"/>
  <c r="D58" i="8"/>
  <c r="E58" i="8" s="1"/>
  <c r="D59" i="8"/>
  <c r="D60" i="8"/>
  <c r="D61" i="8"/>
  <c r="E61" i="8" s="1"/>
  <c r="D62" i="8"/>
  <c r="E62" i="8" s="1"/>
  <c r="D63" i="8"/>
  <c r="E63" i="8" s="1"/>
  <c r="D64" i="8"/>
  <c r="E64" i="8" s="1"/>
  <c r="D65" i="8"/>
  <c r="D66" i="8"/>
  <c r="D67" i="8"/>
  <c r="E67" i="8" s="1"/>
  <c r="D68" i="8"/>
  <c r="D69" i="8"/>
  <c r="E69" i="8" s="1"/>
  <c r="D70" i="8"/>
  <c r="E70" i="8" s="1"/>
  <c r="D71" i="8"/>
  <c r="D72" i="8"/>
  <c r="D73" i="8"/>
  <c r="E73" i="8" s="1"/>
  <c r="D74" i="8"/>
  <c r="D75" i="8"/>
  <c r="E75" i="8" s="1"/>
  <c r="D76" i="8"/>
  <c r="E76" i="8" s="1"/>
  <c r="D77" i="8"/>
  <c r="D78" i="8"/>
  <c r="D79" i="8"/>
  <c r="E79" i="8" s="1"/>
  <c r="D80" i="8"/>
  <c r="D81" i="8"/>
  <c r="E81" i="8" s="1"/>
  <c r="D82" i="8"/>
  <c r="E82" i="8" s="1"/>
  <c r="D83" i="8"/>
  <c r="D84" i="8"/>
  <c r="D85" i="8"/>
  <c r="E85" i="8" s="1"/>
  <c r="D86" i="8"/>
  <c r="E86" i="8" s="1"/>
  <c r="D87" i="8"/>
  <c r="E87" i="8" s="1"/>
  <c r="D88" i="8"/>
  <c r="E88" i="8" s="1"/>
  <c r="D89" i="8"/>
  <c r="D90" i="8"/>
  <c r="D91" i="8"/>
  <c r="E91" i="8" s="1"/>
  <c r="D92" i="8"/>
  <c r="D93" i="8"/>
  <c r="E93" i="8" s="1"/>
  <c r="D94" i="8"/>
  <c r="E94" i="8" s="1"/>
  <c r="D95" i="8"/>
  <c r="D96" i="8"/>
  <c r="D97" i="8"/>
  <c r="E97" i="8" s="1"/>
  <c r="D98" i="8"/>
  <c r="E98" i="8" s="1"/>
  <c r="D99" i="8"/>
  <c r="E99" i="8" s="1"/>
  <c r="D100" i="8"/>
  <c r="E100" i="8" s="1"/>
  <c r="D101" i="8"/>
  <c r="D102" i="8"/>
  <c r="D103" i="8"/>
  <c r="E103" i="8" s="1"/>
  <c r="D104" i="8"/>
  <c r="D105" i="8"/>
  <c r="E105" i="8" s="1"/>
  <c r="D106" i="8"/>
  <c r="E106" i="8" s="1"/>
  <c r="D107" i="8"/>
  <c r="D108" i="8"/>
  <c r="D109" i="8"/>
  <c r="E109" i="8" s="1"/>
  <c r="D110" i="8"/>
  <c r="E110" i="8" s="1"/>
  <c r="D111" i="8"/>
  <c r="E111" i="8" s="1"/>
  <c r="D112" i="8"/>
  <c r="E112" i="8" s="1"/>
  <c r="D113" i="8"/>
  <c r="D114" i="8"/>
  <c r="D115" i="8"/>
  <c r="E115" i="8" s="1"/>
  <c r="D116" i="8"/>
  <c r="D117" i="8"/>
  <c r="E117" i="8" s="1"/>
  <c r="D118" i="8"/>
  <c r="E118" i="8" s="1"/>
  <c r="D119" i="8"/>
  <c r="D120" i="8"/>
  <c r="D121" i="8"/>
  <c r="E121" i="8" s="1"/>
  <c r="D122" i="8"/>
  <c r="E122" i="8" s="1"/>
  <c r="D123" i="8"/>
  <c r="E123" i="8" s="1"/>
  <c r="D124" i="8"/>
  <c r="E124" i="8" s="1"/>
  <c r="D125" i="8"/>
  <c r="D126" i="8"/>
  <c r="D127" i="8"/>
  <c r="E127" i="8" s="1"/>
  <c r="D128" i="8"/>
  <c r="D129" i="8"/>
  <c r="E129" i="8" s="1"/>
  <c r="D130" i="8"/>
  <c r="E130" i="8" s="1"/>
  <c r="D131" i="8"/>
  <c r="D132" i="8"/>
  <c r="D133" i="8"/>
  <c r="E133" i="8" s="1"/>
  <c r="D134" i="8"/>
  <c r="E134" i="8" s="1"/>
  <c r="D135" i="8"/>
  <c r="E135" i="8" s="1"/>
  <c r="D136" i="8"/>
  <c r="E136" i="8" s="1"/>
  <c r="D137" i="8"/>
  <c r="D138" i="8"/>
  <c r="D139" i="8"/>
  <c r="E139" i="8" s="1"/>
  <c r="D140" i="8"/>
  <c r="D141" i="8"/>
  <c r="E141" i="8" s="1"/>
  <c r="D142" i="8"/>
  <c r="E142" i="8" s="1"/>
  <c r="D143" i="8"/>
  <c r="D144" i="8"/>
  <c r="D145" i="8"/>
  <c r="E145" i="8" s="1"/>
  <c r="D146" i="8"/>
  <c r="D147" i="8"/>
  <c r="E147" i="8" s="1"/>
  <c r="D148" i="8"/>
  <c r="E148" i="8" s="1"/>
  <c r="D149" i="8"/>
  <c r="D150" i="8"/>
  <c r="D151" i="8"/>
  <c r="E151" i="8" s="1"/>
  <c r="D152" i="8"/>
  <c r="D153" i="8"/>
  <c r="E153" i="8" s="1"/>
  <c r="D154" i="8"/>
  <c r="E154" i="8" s="1"/>
  <c r="D155" i="8"/>
  <c r="D156" i="8"/>
  <c r="D157" i="8"/>
  <c r="E157" i="8" s="1"/>
  <c r="D158" i="8"/>
  <c r="E158" i="8" s="1"/>
  <c r="D159" i="8"/>
  <c r="E159" i="8" s="1"/>
  <c r="D160" i="8"/>
  <c r="E160" i="8" s="1"/>
  <c r="D161" i="8"/>
  <c r="D162" i="8"/>
  <c r="D163" i="8"/>
  <c r="E163" i="8" s="1"/>
  <c r="D164" i="8"/>
  <c r="D165" i="8"/>
  <c r="E165" i="8" s="1"/>
  <c r="D166" i="8"/>
  <c r="E166" i="8" s="1"/>
  <c r="D167" i="8"/>
  <c r="D168" i="8"/>
  <c r="D169" i="8"/>
  <c r="E169" i="8" s="1"/>
  <c r="D170" i="8"/>
  <c r="E170" i="8" s="1"/>
  <c r="D171" i="8"/>
  <c r="E171" i="8" s="1"/>
  <c r="D172" i="8"/>
  <c r="E172" i="8" s="1"/>
  <c r="D173" i="8"/>
  <c r="D174" i="8"/>
  <c r="D175" i="8"/>
  <c r="E175" i="8" s="1"/>
  <c r="D176" i="8"/>
  <c r="D177" i="8"/>
  <c r="E177" i="8" s="1"/>
  <c r="D178" i="8"/>
  <c r="E178" i="8" s="1"/>
  <c r="D179" i="8"/>
  <c r="D180" i="8"/>
  <c r="D181" i="8"/>
  <c r="E181" i="8" s="1"/>
  <c r="D182" i="8"/>
  <c r="E182" i="8" s="1"/>
  <c r="D183" i="8"/>
  <c r="E183" i="8" s="1"/>
  <c r="D184" i="8"/>
  <c r="E184" i="8" s="1"/>
  <c r="D185" i="8"/>
  <c r="D186" i="8"/>
  <c r="D187" i="8"/>
  <c r="E187" i="8" s="1"/>
  <c r="D188" i="8"/>
  <c r="D189" i="8"/>
  <c r="E189" i="8" s="1"/>
  <c r="D190" i="8"/>
  <c r="E190" i="8" s="1"/>
  <c r="D191" i="8"/>
  <c r="D192" i="8"/>
  <c r="D193" i="8"/>
  <c r="E193" i="8" s="1"/>
  <c r="D194" i="8"/>
  <c r="E194" i="8" s="1"/>
  <c r="D195" i="8"/>
  <c r="E195" i="8" s="1"/>
  <c r="D196" i="8"/>
  <c r="E196" i="8" s="1"/>
  <c r="D197" i="8"/>
  <c r="D198" i="8"/>
  <c r="D199" i="8"/>
  <c r="E199" i="8" s="1"/>
  <c r="D200" i="8"/>
  <c r="D201" i="8"/>
  <c r="E201" i="8" s="1"/>
  <c r="D202" i="8"/>
  <c r="E202" i="8" s="1"/>
  <c r="D203" i="8"/>
  <c r="D204" i="8"/>
  <c r="D205" i="8"/>
  <c r="E205" i="8" s="1"/>
  <c r="D206" i="8"/>
  <c r="E206" i="8" s="1"/>
  <c r="D207" i="8"/>
  <c r="E207" i="8" s="1"/>
  <c r="D208" i="8"/>
  <c r="E208" i="8" s="1"/>
  <c r="D209" i="8"/>
  <c r="D210" i="8"/>
  <c r="D211" i="8"/>
  <c r="E211" i="8" s="1"/>
  <c r="D212" i="8"/>
  <c r="D213" i="8"/>
  <c r="E213" i="8" s="1"/>
  <c r="D214" i="8"/>
  <c r="E214" i="8" s="1"/>
  <c r="D215" i="8"/>
  <c r="D216" i="8"/>
  <c r="D217" i="8"/>
  <c r="E217" i="8" s="1"/>
  <c r="D218" i="8"/>
  <c r="D219" i="8"/>
  <c r="E219" i="8" s="1"/>
  <c r="D220" i="8"/>
  <c r="E220" i="8" s="1"/>
  <c r="D221" i="8"/>
  <c r="D222" i="8"/>
  <c r="D223" i="8"/>
  <c r="E223" i="8" s="1"/>
  <c r="D224" i="8"/>
  <c r="D225" i="8"/>
  <c r="E225" i="8" s="1"/>
  <c r="D226" i="8"/>
  <c r="E226" i="8" s="1"/>
  <c r="D227" i="8"/>
  <c r="D228" i="8"/>
  <c r="D229" i="8"/>
  <c r="E229" i="8" s="1"/>
  <c r="D230" i="8"/>
  <c r="E230" i="8" s="1"/>
  <c r="D231" i="8"/>
  <c r="E231" i="8" s="1"/>
  <c r="D232" i="8"/>
  <c r="E232" i="8" s="1"/>
  <c r="D233" i="8"/>
  <c r="D234" i="8"/>
  <c r="D235" i="8"/>
  <c r="E235" i="8" s="1"/>
  <c r="D236" i="8"/>
  <c r="D237" i="8"/>
  <c r="E237" i="8" s="1"/>
  <c r="D238" i="8"/>
  <c r="E238" i="8" s="1"/>
  <c r="D239" i="8"/>
  <c r="D240" i="8"/>
  <c r="D241" i="8"/>
  <c r="E241" i="8" s="1"/>
  <c r="D242" i="8"/>
  <c r="E242" i="8" s="1"/>
  <c r="D243" i="8"/>
  <c r="E243" i="8" s="1"/>
  <c r="D244" i="8"/>
  <c r="E244" i="8" s="1"/>
  <c r="D245" i="8"/>
  <c r="D246" i="8"/>
  <c r="D247" i="8"/>
  <c r="E247" i="8" s="1"/>
  <c r="D248" i="8"/>
  <c r="D249" i="8"/>
  <c r="E249" i="8" s="1"/>
  <c r="D250" i="8"/>
  <c r="E250" i="8" s="1"/>
  <c r="D251" i="8"/>
  <c r="D252" i="8"/>
  <c r="D253" i="8"/>
  <c r="E253" i="8" s="1"/>
  <c r="D254" i="8"/>
  <c r="E254" i="8" s="1"/>
  <c r="D255" i="8"/>
  <c r="E255" i="8" s="1"/>
  <c r="D256" i="8"/>
  <c r="E256" i="8" s="1"/>
  <c r="D257" i="8"/>
  <c r="D258" i="8"/>
  <c r="D5" i="8"/>
  <c r="E5" i="8" s="1"/>
  <c r="C391" i="8"/>
  <c r="D391" i="8" s="1"/>
  <c r="F416" i="7"/>
  <c r="F415" i="7"/>
  <c r="F414" i="7"/>
  <c r="F413" i="7"/>
  <c r="F412" i="7"/>
  <c r="C41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H88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B86" i="6"/>
  <c r="A86" i="6"/>
  <c r="E85" i="6"/>
  <c r="D85" i="6"/>
  <c r="C85" i="6"/>
  <c r="B85" i="6"/>
  <c r="A85" i="6"/>
  <c r="E84" i="6"/>
  <c r="D84" i="6"/>
  <c r="C84" i="6"/>
  <c r="B84" i="6"/>
  <c r="A84" i="6"/>
  <c r="E83" i="6"/>
  <c r="D83" i="6"/>
  <c r="C83" i="6"/>
  <c r="H83" i="6" s="1"/>
  <c r="B83" i="6"/>
  <c r="A83" i="6"/>
  <c r="H82" i="6"/>
  <c r="E82" i="6"/>
  <c r="D82" i="6"/>
  <c r="C82" i="6"/>
  <c r="B82" i="6"/>
  <c r="A82" i="6"/>
  <c r="E81" i="6"/>
  <c r="H81" i="6" s="1"/>
  <c r="D81" i="6"/>
  <c r="C81" i="6"/>
  <c r="B81" i="6"/>
  <c r="A81" i="6"/>
  <c r="E80" i="6"/>
  <c r="H80" i="6" s="1"/>
  <c r="D80" i="6"/>
  <c r="C80" i="6"/>
  <c r="B80" i="6"/>
  <c r="A80" i="6"/>
  <c r="E79" i="6"/>
  <c r="D79" i="6"/>
  <c r="C79" i="6"/>
  <c r="B79" i="6"/>
  <c r="A79" i="6"/>
  <c r="E78" i="6"/>
  <c r="D78" i="6"/>
  <c r="H78" i="6" s="1"/>
  <c r="C78" i="6"/>
  <c r="B78" i="6"/>
  <c r="A78" i="6"/>
  <c r="E77" i="6"/>
  <c r="H77" i="6" s="1"/>
  <c r="D77" i="6"/>
  <c r="C77" i="6"/>
  <c r="B77" i="6"/>
  <c r="A77" i="6"/>
  <c r="E76" i="6"/>
  <c r="H76" i="6" s="1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H72" i="6" s="1"/>
  <c r="B72" i="6"/>
  <c r="A72" i="6"/>
  <c r="E71" i="6"/>
  <c r="D71" i="6"/>
  <c r="C71" i="6"/>
  <c r="B71" i="6"/>
  <c r="A71" i="6"/>
  <c r="H70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H66" i="6"/>
  <c r="E66" i="6"/>
  <c r="D66" i="6"/>
  <c r="C66" i="6"/>
  <c r="B66" i="6"/>
  <c r="A66" i="6"/>
  <c r="E65" i="6"/>
  <c r="H65" i="6" s="1"/>
  <c r="D65" i="6"/>
  <c r="C65" i="6"/>
  <c r="B65" i="6"/>
  <c r="A65" i="6"/>
  <c r="E64" i="6"/>
  <c r="D64" i="6"/>
  <c r="C64" i="6"/>
  <c r="H64" i="6" s="1"/>
  <c r="B64" i="6"/>
  <c r="A64" i="6"/>
  <c r="E63" i="6"/>
  <c r="D63" i="6"/>
  <c r="C63" i="6"/>
  <c r="B63" i="6"/>
  <c r="A63" i="6"/>
  <c r="E62" i="6"/>
  <c r="D62" i="6"/>
  <c r="H62" i="6" s="1"/>
  <c r="C62" i="6"/>
  <c r="B62" i="6"/>
  <c r="A62" i="6"/>
  <c r="E61" i="6"/>
  <c r="D61" i="6"/>
  <c r="C61" i="6"/>
  <c r="B61" i="6"/>
  <c r="A61" i="6"/>
  <c r="E60" i="6"/>
  <c r="D60" i="6"/>
  <c r="C60" i="6"/>
  <c r="H60" i="6" s="1"/>
  <c r="B60" i="6"/>
  <c r="A60" i="6"/>
  <c r="E59" i="6"/>
  <c r="D59" i="6"/>
  <c r="C59" i="6"/>
  <c r="B59" i="6"/>
  <c r="A59" i="6"/>
  <c r="E58" i="6"/>
  <c r="D58" i="6"/>
  <c r="H58" i="6" s="1"/>
  <c r="C58" i="6"/>
  <c r="B58" i="6"/>
  <c r="A58" i="6"/>
  <c r="E57" i="6"/>
  <c r="H57" i="6" s="1"/>
  <c r="D57" i="6"/>
  <c r="C57" i="6"/>
  <c r="B57" i="6"/>
  <c r="A57" i="6"/>
  <c r="E56" i="6"/>
  <c r="D56" i="6"/>
  <c r="C56" i="6"/>
  <c r="H56" i="6" s="1"/>
  <c r="B56" i="6"/>
  <c r="A56" i="6"/>
  <c r="E55" i="6"/>
  <c r="D55" i="6"/>
  <c r="H55" i="6" s="1"/>
  <c r="C55" i="6"/>
  <c r="B55" i="6"/>
  <c r="A55" i="6"/>
  <c r="H54" i="6"/>
  <c r="E54" i="6"/>
  <c r="D54" i="6"/>
  <c r="C54" i="6"/>
  <c r="B54" i="6"/>
  <c r="A54" i="6"/>
  <c r="E53" i="6"/>
  <c r="D53" i="6"/>
  <c r="C53" i="6"/>
  <c r="B53" i="6"/>
  <c r="A53" i="6"/>
  <c r="E52" i="6"/>
  <c r="H52" i="6" s="1"/>
  <c r="D52" i="6"/>
  <c r="C52" i="6"/>
  <c r="B52" i="6"/>
  <c r="A52" i="6"/>
  <c r="E51" i="6"/>
  <c r="D51" i="6"/>
  <c r="H51" i="6" s="1"/>
  <c r="C51" i="6"/>
  <c r="B51" i="6"/>
  <c r="A51" i="6"/>
  <c r="E50" i="6"/>
  <c r="D50" i="6"/>
  <c r="H50" i="6" s="1"/>
  <c r="C50" i="6"/>
  <c r="B50" i="6"/>
  <c r="A50" i="6"/>
  <c r="E49" i="6"/>
  <c r="D49" i="6"/>
  <c r="C49" i="6"/>
  <c r="B49" i="6"/>
  <c r="A49" i="6"/>
  <c r="E48" i="6"/>
  <c r="D48" i="6"/>
  <c r="C48" i="6"/>
  <c r="H48" i="6" s="1"/>
  <c r="B48" i="6"/>
  <c r="A48" i="6"/>
  <c r="E47" i="6"/>
  <c r="D47" i="6"/>
  <c r="C47" i="6"/>
  <c r="B47" i="6"/>
  <c r="A47" i="6"/>
  <c r="H46" i="6"/>
  <c r="E46" i="6"/>
  <c r="D46" i="6"/>
  <c r="C46" i="6"/>
  <c r="B46" i="6"/>
  <c r="A46" i="6"/>
  <c r="E45" i="6"/>
  <c r="D45" i="6"/>
  <c r="H45" i="6" s="1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H42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H40" i="6" s="1"/>
  <c r="B40" i="6"/>
  <c r="A40" i="6"/>
  <c r="E39" i="6"/>
  <c r="D39" i="6"/>
  <c r="H39" i="6" s="1"/>
  <c r="C39" i="6"/>
  <c r="B39" i="6"/>
  <c r="A39" i="6"/>
  <c r="E38" i="6"/>
  <c r="D38" i="6"/>
  <c r="H38" i="6" s="1"/>
  <c r="C38" i="6"/>
  <c r="B38" i="6"/>
  <c r="A38" i="6"/>
  <c r="E37" i="6"/>
  <c r="D37" i="6"/>
  <c r="C37" i="6"/>
  <c r="B37" i="6"/>
  <c r="A37" i="6"/>
  <c r="E36" i="6"/>
  <c r="D36" i="6"/>
  <c r="C36" i="6"/>
  <c r="H36" i="6" s="1"/>
  <c r="B36" i="6"/>
  <c r="A36" i="6"/>
  <c r="E35" i="6"/>
  <c r="D35" i="6"/>
  <c r="C35" i="6"/>
  <c r="B35" i="6"/>
  <c r="A35" i="6"/>
  <c r="E34" i="6"/>
  <c r="D34" i="6"/>
  <c r="H34" i="6" s="1"/>
  <c r="C34" i="6"/>
  <c r="B34" i="6"/>
  <c r="A34" i="6"/>
  <c r="E33" i="6"/>
  <c r="D33" i="6"/>
  <c r="C33" i="6"/>
  <c r="B33" i="6"/>
  <c r="A33" i="6"/>
  <c r="E32" i="6"/>
  <c r="D32" i="6"/>
  <c r="C32" i="6"/>
  <c r="B32" i="6"/>
  <c r="A32" i="6"/>
  <c r="E31" i="6"/>
  <c r="D31" i="6"/>
  <c r="C31" i="6"/>
  <c r="B31" i="6"/>
  <c r="A31" i="6"/>
  <c r="E30" i="6"/>
  <c r="H30" i="6" s="1"/>
  <c r="D30" i="6"/>
  <c r="C30" i="6"/>
  <c r="B30" i="6"/>
  <c r="A30" i="6"/>
  <c r="E29" i="6"/>
  <c r="D29" i="6"/>
  <c r="H29" i="6" s="1"/>
  <c r="C29" i="6"/>
  <c r="B29" i="6"/>
  <c r="A29" i="6"/>
  <c r="E28" i="6"/>
  <c r="D28" i="6"/>
  <c r="H28" i="6" s="1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H24" i="6" s="1"/>
  <c r="B24" i="6"/>
  <c r="A24" i="6"/>
  <c r="E23" i="6"/>
  <c r="D23" i="6"/>
  <c r="H23" i="6" s="1"/>
  <c r="C23" i="6"/>
  <c r="B23" i="6"/>
  <c r="A23" i="6"/>
  <c r="E22" i="6"/>
  <c r="D22" i="6"/>
  <c r="H22" i="6" s="1"/>
  <c r="C22" i="6"/>
  <c r="B22" i="6"/>
  <c r="A22" i="6"/>
  <c r="E21" i="6"/>
  <c r="D21" i="6"/>
  <c r="C21" i="6"/>
  <c r="B21" i="6"/>
  <c r="A21" i="6"/>
  <c r="E20" i="6"/>
  <c r="D20" i="6"/>
  <c r="H20" i="6" s="1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H14" i="6" s="1"/>
  <c r="C14" i="6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H11" i="6" s="1"/>
  <c r="C11" i="6"/>
  <c r="B11" i="6"/>
  <c r="A11" i="6"/>
  <c r="E10" i="6"/>
  <c r="D10" i="6"/>
  <c r="H10" i="6" s="1"/>
  <c r="C10" i="6"/>
  <c r="B10" i="6"/>
  <c r="A10" i="6"/>
  <c r="E9" i="6"/>
  <c r="D9" i="6"/>
  <c r="C9" i="6"/>
  <c r="B9" i="6"/>
  <c r="A9" i="6"/>
  <c r="E8" i="6"/>
  <c r="D8" i="6"/>
  <c r="H8" i="6" s="1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87" i="6" l="1"/>
  <c r="H86" i="6"/>
  <c r="E251" i="8"/>
  <c r="E239" i="8"/>
  <c r="E227" i="8"/>
  <c r="E215" i="8"/>
  <c r="E203" i="8"/>
  <c r="E191" i="8"/>
  <c r="E179" i="8"/>
  <c r="E167" i="8"/>
  <c r="E155" i="8"/>
  <c r="E143" i="8"/>
  <c r="E131" i="8"/>
  <c r="E119" i="8"/>
  <c r="E107" i="8"/>
  <c r="E95" i="8"/>
  <c r="E83" i="8"/>
  <c r="E71" i="8"/>
  <c r="E59" i="8"/>
  <c r="E47" i="8"/>
  <c r="E35" i="8"/>
  <c r="E23" i="8"/>
  <c r="E11" i="8"/>
  <c r="E248" i="8"/>
  <c r="E236" i="8"/>
  <c r="E224" i="8"/>
  <c r="E212" i="8"/>
  <c r="E200" i="8"/>
  <c r="E188" i="8"/>
  <c r="E176" i="8"/>
  <c r="E164" i="8"/>
  <c r="E152" i="8"/>
  <c r="E140" i="8"/>
  <c r="E128" i="8"/>
  <c r="E116" i="8"/>
  <c r="E104" i="8"/>
  <c r="E92" i="8"/>
  <c r="E80" i="8"/>
  <c r="E68" i="8"/>
  <c r="E56" i="8"/>
  <c r="E44" i="8"/>
  <c r="E32" i="8"/>
  <c r="E20" i="8"/>
  <c r="E8" i="8"/>
  <c r="E258" i="8"/>
  <c r="E246" i="8"/>
  <c r="E234" i="8"/>
  <c r="E222" i="8"/>
  <c r="E210" i="8"/>
  <c r="E198" i="8"/>
  <c r="E186" i="8"/>
  <c r="E174" i="8"/>
  <c r="E162" i="8"/>
  <c r="E150" i="8"/>
  <c r="E138" i="8"/>
  <c r="E126" i="8"/>
  <c r="E114" i="8"/>
  <c r="E102" i="8"/>
  <c r="E90" i="8"/>
  <c r="E78" i="8"/>
  <c r="E66" i="8"/>
  <c r="E54" i="8"/>
  <c r="E42" i="8"/>
  <c r="E30" i="8"/>
  <c r="E18" i="8"/>
  <c r="E6" i="8"/>
  <c r="E257" i="8"/>
  <c r="E245" i="8"/>
  <c r="E233" i="8"/>
  <c r="E221" i="8"/>
  <c r="E209" i="8"/>
  <c r="E197" i="8"/>
  <c r="E185" i="8"/>
  <c r="E173" i="8"/>
  <c r="E161" i="8"/>
  <c r="E149" i="8"/>
  <c r="E137" i="8"/>
  <c r="E125" i="8"/>
  <c r="E113" i="8"/>
  <c r="E101" i="8"/>
  <c r="E89" i="8"/>
  <c r="E77" i="8"/>
  <c r="E65" i="8"/>
  <c r="E53" i="8"/>
  <c r="E41" i="8"/>
  <c r="E29" i="8"/>
  <c r="E17" i="8"/>
  <c r="E28" i="8"/>
  <c r="E16" i="8"/>
  <c r="E252" i="8"/>
  <c r="E240" i="8"/>
  <c r="E228" i="8"/>
  <c r="E216" i="8"/>
  <c r="E204" i="8"/>
  <c r="E192" i="8"/>
  <c r="E180" i="8"/>
  <c r="E168" i="8"/>
  <c r="E156" i="8"/>
  <c r="E144" i="8"/>
  <c r="E132" i="8"/>
  <c r="E120" i="8"/>
  <c r="E108" i="8"/>
  <c r="E96" i="8"/>
  <c r="E84" i="8"/>
  <c r="E72" i="8"/>
  <c r="E60" i="8"/>
  <c r="E48" i="8"/>
  <c r="E36" i="8"/>
  <c r="E24" i="8"/>
  <c r="E12" i="8"/>
  <c r="H85" i="6"/>
  <c r="H84" i="6"/>
  <c r="H13" i="6"/>
  <c r="H27" i="6"/>
  <c r="H49" i="6"/>
  <c r="H75" i="6"/>
  <c r="H6" i="6"/>
  <c r="H18" i="6"/>
  <c r="H25" i="6"/>
  <c r="H47" i="6"/>
  <c r="H73" i="6"/>
  <c r="H71" i="6"/>
  <c r="H16" i="6"/>
  <c r="H32" i="6"/>
  <c r="H43" i="6"/>
  <c r="H69" i="6"/>
  <c r="H4" i="6"/>
  <c r="H9" i="6"/>
  <c r="H21" i="6"/>
  <c r="H41" i="6"/>
  <c r="H67" i="6"/>
  <c r="H37" i="6"/>
  <c r="H63" i="6"/>
  <c r="H7" i="6"/>
  <c r="H12" i="6"/>
  <c r="H35" i="6"/>
  <c r="H61" i="6"/>
  <c r="H19" i="6"/>
  <c r="H5" i="6"/>
  <c r="H17" i="6"/>
  <c r="H33" i="6"/>
  <c r="H59" i="6"/>
  <c r="H15" i="6"/>
  <c r="H31" i="6"/>
  <c r="H53" i="6"/>
  <c r="H79" i="6"/>
</calcChain>
</file>

<file path=xl/sharedStrings.xml><?xml version="1.0" encoding="utf-8"?>
<sst xmlns="http://schemas.openxmlformats.org/spreadsheetml/2006/main" count="3164" uniqueCount="887">
  <si>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</si>
  <si>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</si>
  <si>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</si>
  <si>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</si>
  <si>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</si>
  <si>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</si>
  <si>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</si>
  <si>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</si>
  <si>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</si>
  <si>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</si>
  <si>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</si>
  <si>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</si>
  <si>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</si>
  <si>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</si>
  <si>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</si>
  <si>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</si>
  <si>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</si>
  <si>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</si>
  <si>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</si>
  <si>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</si>
  <si>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</si>
  <si>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</si>
  <si>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</si>
  <si>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</si>
  <si>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</si>
  <si>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</si>
  <si>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</si>
  <si>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</si>
  <si>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</si>
  <si>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</si>
  <si>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</si>
  <si>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</si>
  <si>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</si>
  <si>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</si>
  <si>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</si>
  <si>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</si>
  <si>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</si>
  <si>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</si>
  <si>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</si>
  <si>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</si>
  <si>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</si>
  <si>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</si>
  <si>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</si>
  <si>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</si>
  <si>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</si>
  <si>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</si>
  <si>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</si>
  <si>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</si>
  <si>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</si>
  <si>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</si>
  <si>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</si>
  <si>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</si>
  <si>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</si>
  <si>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</si>
  <si>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</si>
  <si>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</si>
  <si>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</si>
  <si>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</si>
  <si>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</si>
  <si>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</si>
  <si>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</si>
  <si>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</si>
  <si>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</si>
  <si>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</si>
  <si>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</si>
  <si>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</si>
  <si>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</si>
  <si>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</si>
  <si>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</si>
  <si>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</si>
  <si>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</si>
  <si>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</si>
  <si>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</si>
  <si>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</si>
  <si>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</si>
  <si>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</si>
  <si>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</si>
  <si>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</si>
  <si>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</si>
  <si>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</si>
  <si>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</si>
  <si>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</si>
  <si>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</si>
  <si>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</si>
  <si>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</si>
  <si>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</si>
  <si>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</si>
  <si>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</si>
  <si>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</si>
  <si>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</si>
  <si>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</si>
  <si>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</si>
  <si>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</si>
  <si>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</si>
  <si>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</si>
  <si>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</si>
  <si>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</si>
  <si>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</si>
  <si>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</si>
  <si>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</si>
  <si>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</si>
  <si>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</si>
  <si>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</si>
  <si>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</si>
  <si>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</si>
  <si>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</si>
  <si>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</si>
  <si>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</si>
  <si>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</si>
  <si>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</si>
  <si>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</si>
  <si>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</si>
  <si>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</si>
  <si>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</si>
  <si>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</si>
  <si>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</si>
  <si>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</si>
  <si>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</si>
  <si>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</si>
  <si>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</si>
  <si>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</si>
  <si>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</si>
  <si>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</si>
  <si>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</si>
  <si>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</si>
  <si>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</si>
  <si>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</si>
  <si>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</si>
  <si>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</si>
  <si>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</si>
  <si>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</si>
  <si>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</si>
  <si>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</si>
  <si>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</si>
  <si>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</si>
  <si>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</si>
  <si>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</si>
  <si>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</si>
  <si>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</si>
  <si>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</si>
  <si>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</si>
  <si>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</si>
  <si>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</si>
  <si>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</si>
  <si>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</si>
  <si>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</si>
  <si>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</si>
  <si>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</si>
  <si>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</si>
  <si>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</si>
  <si>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</si>
  <si>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</si>
  <si>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</si>
  <si>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</si>
  <si>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</si>
  <si>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</si>
  <si>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</si>
  <si>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</si>
  <si>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</si>
  <si>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</si>
  <si>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</si>
  <si>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</si>
  <si>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</si>
  <si>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</si>
  <si>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</si>
  <si>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</si>
  <si>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</si>
  <si>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</si>
  <si>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PV - Análisis de Vencimientos 30-60-90</t>
  </si>
  <si>
    <t>Usuario: NICOLAS VELLINI</t>
  </si>
  <si>
    <t> 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</si>
  <si>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</si>
  <si>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</si>
  <si>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</si>
  <si>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</si>
  <si>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</si>
  <si>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</si>
  <si>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</si>
  <si>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</si>
  <si>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</si>
  <si>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08053</t>
  </si>
  <si>
    <t> ARG SEAMAN ELECTRONICS S.A.</t>
  </si>
  <si>
    <t>PV</t>
  </si>
  <si>
    <t>EQUIPOS, INSUMOS Y SERV. INFORMATICOS</t>
  </si>
  <si>
    <t>PR025</t>
  </si>
  <si>
    <t>09021</t>
  </si>
  <si>
    <t> CLEANING IN PACE S.R.L.</t>
  </si>
  <si>
    <t>LIMPIEZA PLANTA Y OFICINAS</t>
  </si>
  <si>
    <t>PR077</t>
  </si>
  <si>
    <t>09007</t>
  </si>
  <si>
    <t> LA INDUSTRIAL ELECTRICA S A</t>
  </si>
  <si>
    <t>ARTS.DE FERRETERIA BUQUES/PLANTA</t>
  </si>
  <si>
    <t>PR020</t>
  </si>
  <si>
    <t>08859</t>
  </si>
  <si>
    <t> MODOC S.A</t>
  </si>
  <si>
    <t>SISTEMAS INFORMATICOS</t>
  </si>
  <si>
    <t>PR067</t>
  </si>
  <si>
    <t>09106</t>
  </si>
  <si>
    <t> MUTUAL DE PESCADORES MARITIMOS</t>
  </si>
  <si>
    <t>SERVICIOS DE MUTUALES, EXCEPTO MUTUALES DE SALUD Y FINANCIER</t>
  </si>
  <si>
    <t>949910</t>
  </si>
  <si>
    <t>05594</t>
  </si>
  <si>
    <t> SALEM ALDO ALBERTO Y AICARDI DERNANDO SEBASTIAN S H</t>
  </si>
  <si>
    <t>PROVEEDURIA - INSUMOS PARA BUQUES</t>
  </si>
  <si>
    <t>PR041</t>
  </si>
  <si>
    <t>07467</t>
  </si>
  <si>
    <t>A LONEIRA S.A.</t>
  </si>
  <si>
    <t>FABRICACION DE ARTICULOS DE LONA</t>
  </si>
  <si>
    <t>PR145</t>
  </si>
  <si>
    <t>00128</t>
  </si>
  <si>
    <t>ABETE Y CIA. S.A.</t>
  </si>
  <si>
    <t>05568</t>
  </si>
  <si>
    <t>ADOLFO KUHN SRL</t>
  </si>
  <si>
    <t>SERVICIO MECANICO</t>
  </si>
  <si>
    <t>PR050</t>
  </si>
  <si>
    <t>ROPA DE TRABAJO P/ PLANTA Y BUQUES</t>
  </si>
  <si>
    <t>PR048</t>
  </si>
  <si>
    <t>05029</t>
  </si>
  <si>
    <t>ALMACEN NAVAL ELENA SRL</t>
  </si>
  <si>
    <t>REDES y ARTES DE PESCA P/BUQUES</t>
  </si>
  <si>
    <t>PR004</t>
  </si>
  <si>
    <t>06176</t>
  </si>
  <si>
    <t>ALTA DISTRIBUCION SA</t>
  </si>
  <si>
    <t>07867</t>
  </si>
  <si>
    <t>ALTAVILLA S.R.L.</t>
  </si>
  <si>
    <t>ELECTRODOMESTICOS BUQUES/EMPRESA</t>
  </si>
  <si>
    <t>PR093</t>
  </si>
  <si>
    <t>00240</t>
  </si>
  <si>
    <t>AMX ARGENTINA S.A. (CAE)</t>
  </si>
  <si>
    <t>SERVICIOS DE TELEFONIA</t>
  </si>
  <si>
    <t>PR053</t>
  </si>
  <si>
    <t>07039</t>
  </si>
  <si>
    <t>ARCAMONE ANA</t>
  </si>
  <si>
    <t>SERVICIOS DE TERCEROS</t>
  </si>
  <si>
    <t>PR055</t>
  </si>
  <si>
    <t>08001</t>
  </si>
  <si>
    <t>ATLANTIS ELECTRONICS CORP</t>
  </si>
  <si>
    <t>TRANSPORTES Y FLETES</t>
  </si>
  <si>
    <t>PR054</t>
  </si>
  <si>
    <t>07846</t>
  </si>
  <si>
    <t>AUTOVIA 3 S.A.</t>
  </si>
  <si>
    <t>GRUAS-AUTOELEVADORES</t>
  </si>
  <si>
    <t>PR026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</si>
  <si>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</si>
  <si>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</si>
  <si>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</si>
  <si>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</si>
  <si>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</si>
  <si>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</si>
  <si>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</si>
  <si>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</si>
  <si>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PINTURERIAS</t>
  </si>
  <si>
    <t>PR037</t>
  </si>
  <si>
    <t>03774</t>
  </si>
  <si>
    <t>BENGOCHEA JORGE GABRIEL</t>
  </si>
  <si>
    <t>AUTOELEVADORES-MATERIALES Y REPARACIONES</t>
  </si>
  <si>
    <t>PR079</t>
  </si>
  <si>
    <t>05738</t>
  </si>
  <si>
    <t>BERNABEU SONIA</t>
  </si>
  <si>
    <t>MANTEN. Y DEPURACION POZOS DE AGUA</t>
  </si>
  <si>
    <t>PR085</t>
  </si>
  <si>
    <t>07931</t>
  </si>
  <si>
    <t>BIANCHI LUCIA DEL CARMEN</t>
  </si>
  <si>
    <t>PROVEEDURIA-LACTEOS P/ BUQUES</t>
  </si>
  <si>
    <t>PR109</t>
  </si>
  <si>
    <t>HONORARIOS MEDICOS</t>
  </si>
  <si>
    <t>PR072</t>
  </si>
  <si>
    <t>08426</t>
  </si>
  <si>
    <t>BRAC MDQ CORPORATION SA</t>
  </si>
  <si>
    <t>REPARACIONES RODADOS</t>
  </si>
  <si>
    <t>PR188</t>
  </si>
  <si>
    <t>08399</t>
  </si>
  <si>
    <t>BRASAS JUAN IGNACIO</t>
  </si>
  <si>
    <t>09060</t>
  </si>
  <si>
    <t>BRAVO MINNUCCI MDQ SOCIEDAD DE RESPONSABILIDAD LIMITADA</t>
  </si>
  <si>
    <t>TRABAJOS DE MANT. DE EDIF. Y BUQUES</t>
  </si>
  <si>
    <t>PR098</t>
  </si>
  <si>
    <t>07597</t>
  </si>
  <si>
    <t>BULLBLACK SA</t>
  </si>
  <si>
    <t>PROVEEEDURIA-CARNE P/BUQUES</t>
  </si>
  <si>
    <t>PR104</t>
  </si>
  <si>
    <t>00532</t>
  </si>
  <si>
    <t>CABRALES S.A.</t>
  </si>
  <si>
    <t>08594</t>
  </si>
  <si>
    <t>CAJIDE JAVIER</t>
  </si>
  <si>
    <t>ARTS. SANITARIOS-GAS ( BUQUES/PLANTA)</t>
  </si>
  <si>
    <t>PR061</t>
  </si>
  <si>
    <t>06728</t>
  </si>
  <si>
    <t>CANALES ARIEL CESAR LUIS</t>
  </si>
  <si>
    <t>09170</t>
  </si>
  <si>
    <t>CARGO NET LOGISTIC S A</t>
  </si>
  <si>
    <t>01006</t>
  </si>
  <si>
    <t>CARTONERIA ACEVEDO SACI</t>
  </si>
  <si>
    <t>CAJAS DE CARTON P/ EXPORTACION</t>
  </si>
  <si>
    <t>PR007</t>
  </si>
  <si>
    <t>00073</t>
  </si>
  <si>
    <t>CASA BLANCO S.A.</t>
  </si>
  <si>
    <t>MATERIALES ELECTRICOS P/BUQUES Y PLANTA</t>
  </si>
  <si>
    <t>PR024</t>
  </si>
  <si>
    <t>01849</t>
  </si>
  <si>
    <t>CASA MINGO S.R.L.</t>
  </si>
  <si>
    <t>00020</t>
  </si>
  <si>
    <t>CERROSUD S.A. (CAE)</t>
  </si>
  <si>
    <t>Mat. y Equipo p/reparacion Frig./ Flota.</t>
  </si>
  <si>
    <t>PR047</t>
  </si>
  <si>
    <t>09327</t>
  </si>
  <si>
    <t>CLUB MOTONAUTICA MAR DEL PLATA</t>
  </si>
  <si>
    <t>05707</t>
  </si>
  <si>
    <t>CMA CGM ARGENTINA S.A.</t>
  </si>
  <si>
    <t>05510</t>
  </si>
  <si>
    <t>COMERCIAL DEL MAR S.A.</t>
  </si>
  <si>
    <t>PROVEEDURIA-DISTRIBUIDOR MAYORISTA INSUMOS BUQUES/EMPRESA</t>
  </si>
  <si>
    <t>PR058</t>
  </si>
  <si>
    <t>SIN ACTIVIDAD CODIFICADA</t>
  </si>
  <si>
    <t>PR999</t>
  </si>
  <si>
    <t>00448</t>
  </si>
  <si>
    <t>CONCA HUGO CESAR</t>
  </si>
  <si>
    <t>REPUESTOS PARA  BARCOS</t>
  </si>
  <si>
    <t>PR046</t>
  </si>
  <si>
    <t>03545</t>
  </si>
  <si>
    <t>CONSEJO DE EMPRESAS PESQUERAS ARGENTINAS</t>
  </si>
  <si>
    <t>03848</t>
  </si>
  <si>
    <t>CONSORCIO PORTUARIO REGIONAL DE MAR DEL PLATA</t>
  </si>
  <si>
    <t>SERVICIOS PORTUARIOS</t>
  </si>
  <si>
    <t>PR091</t>
  </si>
  <si>
    <t>08526</t>
  </si>
  <si>
    <t>CONSULTORA GESTAM MDP SA</t>
  </si>
  <si>
    <t>SERVICIO DE DESINFECCION Y FUMIGACION</t>
  </si>
  <si>
    <t>PR022</t>
  </si>
  <si>
    <t>05924</t>
  </si>
  <si>
    <t>COOP. DE TRABAJO PUCARA LIMITADA</t>
  </si>
  <si>
    <t>03950</t>
  </si>
  <si>
    <t>COOPERATIVA DE TRABAJO DE ESTIBAJE HIPOCOOP LTDA</t>
  </si>
  <si>
    <t>SERVICIOS DE ESTIBAJES</t>
  </si>
  <si>
    <t>PR019</t>
  </si>
  <si>
    <t>00350</t>
  </si>
  <si>
    <t>03951</t>
  </si>
  <si>
    <t>04331</t>
  </si>
  <si>
    <t>COOPERATIVA DE TRABAJO LOS TRES AMIGOS LIMITADA</t>
  </si>
  <si>
    <t>MANO DE OBRA COOPERATIVAS</t>
  </si>
  <si>
    <t>PR032</t>
  </si>
  <si>
    <t>05983</t>
  </si>
  <si>
    <t>COOPERATIVA DE TRABAJO PROVISION DE SERVICIOS DE ESTIBAJE PUERTO MADRYN LTDA</t>
  </si>
  <si>
    <t>01118</t>
  </si>
  <si>
    <t>CROCE HNOS. AGENTES MARITIMOS S.R.L.</t>
  </si>
  <si>
    <t>DESPACHANTES y AGENTES  MARITIMOS</t>
  </si>
  <si>
    <t>PR015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</si>
  <si>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</si>
  <si>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</si>
  <si>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</si>
  <si>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</si>
  <si>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</si>
  <si>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</si>
  <si>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</si>
  <si>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</si>
  <si>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</si>
  <si>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</si>
  <si>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IMPRENTA (ETIQUETAS/TALONARIOS)</t>
  </si>
  <si>
    <t>PR062</t>
  </si>
  <si>
    <t>04109</t>
  </si>
  <si>
    <t>DEVOMP SRL</t>
  </si>
  <si>
    <t>MAT. CONST, ELECTRICOS Y PLOMERIA</t>
  </si>
  <si>
    <t>PR016</t>
  </si>
  <si>
    <t>00271</t>
  </si>
  <si>
    <t>DHL EXPRESS (ARGENTINA) S.A.</t>
  </si>
  <si>
    <t>FRANQUEOS-CORRESPONDENCIA</t>
  </si>
  <si>
    <t>PR021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</si>
  <si>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</si>
  <si>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</si>
  <si>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</si>
  <si>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</si>
  <si>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</si>
  <si>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</si>
  <si>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</si>
  <si>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</si>
  <si>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PROVEEDURIA-POLLERIA/GRANJA P/ BUQUES</t>
  </si>
  <si>
    <t>PR108</t>
  </si>
  <si>
    <t>03119</t>
  </si>
  <si>
    <t>DOMINGUEZ ROSENDE JOSE DOMINGUEZ ARZONDO ALEJANDRO MARCELO SH</t>
  </si>
  <si>
    <t>METALURGICA BUQUES/PLANTA</t>
  </si>
  <si>
    <t>PR111</t>
  </si>
  <si>
    <t>06713</t>
  </si>
  <si>
    <t>DUARTE MARCELO LUIS RUFINO</t>
  </si>
  <si>
    <t>ROPA Y ARTICULOS DE SEGURIDAD</t>
  </si>
  <si>
    <t>PR110</t>
  </si>
  <si>
    <t>04475</t>
  </si>
  <si>
    <t>DUCOURNAU GUSTAVO FABIAN</t>
  </si>
  <si>
    <t>03905</t>
  </si>
  <si>
    <t>DUGAS S.R.L.</t>
  </si>
  <si>
    <t>CARGA DE GARRAFAS</t>
  </si>
  <si>
    <t>PR157</t>
  </si>
  <si>
    <t>09448</t>
  </si>
  <si>
    <t>DURAGOM S.R.L.</t>
  </si>
  <si>
    <t>09164</t>
  </si>
  <si>
    <t>ECHEVERRIA HECTOR RICARDO LORENZO</t>
  </si>
  <si>
    <t>REPUESTOS PARA RODADOS</t>
  </si>
  <si>
    <t>PR045</t>
  </si>
  <si>
    <t>02254</t>
  </si>
  <si>
    <t>EDEA S.A. Nº 622787(MUELL</t>
  </si>
  <si>
    <t>DISTRIB. ENERGIA ELECTRICA</t>
  </si>
  <si>
    <t>PR095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</si>
  <si>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</si>
  <si>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</si>
  <si>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</si>
  <si>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</si>
  <si>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</si>
  <si>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</si>
  <si>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SERVICIO DE MONITOREO SATELITAL</t>
  </si>
  <si>
    <t>PR129</t>
  </si>
  <si>
    <t>01337</t>
  </si>
  <si>
    <t>ERRIQUENZ HNOS S.R.L</t>
  </si>
  <si>
    <t>CAÑOS-HIERROS-CHAPAS P/BUQUES</t>
  </si>
  <si>
    <t>PR011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</si>
  <si>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</si>
  <si>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</si>
  <si>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</si>
  <si>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</si>
  <si>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</si>
  <si>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</si>
  <si>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</si>
  <si>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</si>
  <si>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</si>
  <si>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</si>
  <si>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07327</t>
  </si>
  <si>
    <t>EXIMAR INTL S.A.U</t>
  </si>
  <si>
    <t>01551</t>
  </si>
  <si>
    <t>EXOLGAN S.A.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</si>
  <si>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</si>
  <si>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</si>
  <si>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</si>
  <si>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</si>
  <si>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</si>
  <si>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</si>
  <si>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</si>
  <si>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</si>
  <si>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FARMACIAS-MEDICAMENTOS</t>
  </si>
  <si>
    <t>PR035</t>
  </si>
  <si>
    <t>08724</t>
  </si>
  <si>
    <t>FEIJO NICOLAS EDUARDO</t>
  </si>
  <si>
    <t>06675</t>
  </si>
  <si>
    <t>FERNANDES GUSTAVO GABRIEL</t>
  </si>
  <si>
    <t>PROVEEDURIA-PANADERIAY CONFITERIA P/BUQUES</t>
  </si>
  <si>
    <t>PR107</t>
  </si>
  <si>
    <t>03927</t>
  </si>
  <si>
    <t>FERRARO MARIANO ANDRES</t>
  </si>
  <si>
    <t>PROVEEDURIA- ARTS. DE LIMPIEZA</t>
  </si>
  <si>
    <t>PR040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</si>
  <si>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</si>
  <si>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</si>
  <si>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</si>
  <si>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</si>
  <si>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</si>
  <si>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</si>
  <si>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</si>
  <si>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</si>
  <si>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</si>
  <si>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</si>
  <si>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</si>
  <si>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</si>
  <si>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</si>
  <si>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</si>
  <si>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Empresas del Grupo</t>
  </si>
  <si>
    <t>0</t>
  </si>
  <si>
    <t>06074</t>
  </si>
  <si>
    <t>G4 CONSULTING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</si>
  <si>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</si>
  <si>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</si>
  <si>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</si>
  <si>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</si>
  <si>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</si>
  <si>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</si>
  <si>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</si>
  <si>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</si>
  <si>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07934</t>
  </si>
  <si>
    <t>GAUNA GUSTAVO ARIEL Y POZZOBON LEONARDO DARIO SOCIEDAD LEY 19.550 CAP.1 SECCION IV</t>
  </si>
  <si>
    <t>LIBRERIA, PAPELERIA E IMPRENTA</t>
  </si>
  <si>
    <t>PR031</t>
  </si>
  <si>
    <t>06584</t>
  </si>
  <si>
    <t>GEMIN LUIS ALBERTO</t>
  </si>
  <si>
    <t>09053</t>
  </si>
  <si>
    <t>GERAHARD HNOS SOCIEDAD DE RESPONSABILIDAD LIMITADA EN FORMACION</t>
  </si>
  <si>
    <t>REPARACIONES MECANICAS BUQUES</t>
  </si>
  <si>
    <t>PR060</t>
  </si>
  <si>
    <t>07680</t>
  </si>
  <si>
    <t>GINIAMO SA</t>
  </si>
  <si>
    <t>05232</t>
  </si>
  <si>
    <t>GONZALEZ VICENTE OMAR</t>
  </si>
  <si>
    <t>08744</t>
  </si>
  <si>
    <t>GRAMAJO PABLO MARTIN</t>
  </si>
  <si>
    <t>SERVICIO DE LAVADO</t>
  </si>
  <si>
    <t>PR002</t>
  </si>
  <si>
    <t>05137</t>
  </si>
  <si>
    <t>GRECO GUILLERMINA EDITH</t>
  </si>
  <si>
    <t>HONORARIOS ESCRIBANOS</t>
  </si>
  <si>
    <t>PR096</t>
  </si>
  <si>
    <t>07477</t>
  </si>
  <si>
    <t>GRECO Y GRECO HNOS.</t>
  </si>
  <si>
    <t>08264</t>
  </si>
  <si>
    <t>GROSS PAULA MARINA</t>
  </si>
  <si>
    <t>SERVICIO DE FRIO</t>
  </si>
  <si>
    <t>PR124</t>
  </si>
  <si>
    <t>09184</t>
  </si>
  <si>
    <t>GRUPO HIGIENE CBA S.A.</t>
  </si>
  <si>
    <t>HOTELES Y HOSPEDAJES</t>
  </si>
  <si>
    <t>PR028</t>
  </si>
  <si>
    <t>01451</t>
  </si>
  <si>
    <t>GUANTES FLANDRIA S.A.</t>
  </si>
  <si>
    <t>PROVEEEDURIA-GUANTES</t>
  </si>
  <si>
    <t>PR102</t>
  </si>
  <si>
    <t>08190</t>
  </si>
  <si>
    <t>HANDLER 04 MDP</t>
  </si>
  <si>
    <t>02968</t>
  </si>
  <si>
    <t>HENNING JUAN FEDERICO</t>
  </si>
  <si>
    <t>07485</t>
  </si>
  <si>
    <t>HERNANDEZ CORTES MIGUEL</t>
  </si>
  <si>
    <t>INSTALACIONES PLANTA FRIGORIFICA</t>
  </si>
  <si>
    <t>PR029</t>
  </si>
  <si>
    <t>05751</t>
  </si>
  <si>
    <t>HERRERA FERNANDO JAVIER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</si>
  <si>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</si>
  <si>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</si>
  <si>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</si>
  <si>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</si>
  <si>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</si>
  <si>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</si>
  <si>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REPARACIONES MOTORES</t>
  </si>
  <si>
    <t>PR044</t>
  </si>
  <si>
    <t>06159</t>
  </si>
  <si>
    <t>HIELO DEYACOBBI S.A.</t>
  </si>
  <si>
    <t>VENTA DE HIELO PARA BUQUES</t>
  </si>
  <si>
    <t>PR0104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</si>
  <si>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</si>
  <si>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</si>
  <si>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</si>
  <si>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</si>
  <si>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</si>
  <si>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</si>
  <si>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</si>
  <si>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</si>
  <si>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</si>
  <si>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</si>
  <si>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</si>
  <si>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</si>
  <si>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PALLETS DE MADERA P/BUQUES/PLANTA</t>
  </si>
  <si>
    <t>PR071</t>
  </si>
  <si>
    <t>03154</t>
  </si>
  <si>
    <t>INGENIEROS ELECTRONICOS ASOCIADOS SRL</t>
  </si>
  <si>
    <t>REPARACIONES ELECTRONICAS BUQUES</t>
  </si>
  <si>
    <t>PR057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</si>
  <si>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</si>
  <si>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</si>
  <si>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</si>
  <si>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</si>
  <si>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</si>
  <si>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</si>
  <si>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</si>
  <si>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</si>
  <si>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</si>
  <si>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</si>
  <si>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</si>
  <si>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</si>
  <si>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</si>
  <si>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</si>
  <si>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MATAFUEGOS Y ELEMNTOS DE SEGURIDAD BUQUES/EMPRESA</t>
  </si>
  <si>
    <t>PR089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</si>
  <si>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</si>
  <si>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</si>
  <si>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</si>
  <si>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</si>
  <si>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</si>
  <si>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</si>
  <si>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</si>
  <si>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</si>
  <si>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</si>
  <si>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</si>
  <si>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ARENADO Y PINTURA PARA BARCOS</t>
  </si>
  <si>
    <t>PR168</t>
  </si>
  <si>
    <t>00030</t>
  </si>
  <si>
    <t>LA CASA DEL FLEXIBLE SRL.</t>
  </si>
  <si>
    <t>06934</t>
  </si>
  <si>
    <t>LAMAZON GILDO WERFIL</t>
  </si>
  <si>
    <t>09588</t>
  </si>
  <si>
    <t>LATORRE TRINA XAVIER ALEJANDRO</t>
  </si>
  <si>
    <t>TRABAJOS DE CARPINTERIA</t>
  </si>
  <si>
    <t>PR010</t>
  </si>
  <si>
    <t>06601</t>
  </si>
  <si>
    <t>LOQUAR S.R.L.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</si>
  <si>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</si>
  <si>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</si>
  <si>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</si>
  <si>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</si>
  <si>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</si>
  <si>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</si>
  <si>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</si>
  <si>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</si>
  <si>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RECOL., TRANSP., TRATAM Y DISPOSICIÓN FINAL DE RESIDUOS</t>
  </si>
  <si>
    <t>PR144</t>
  </si>
  <si>
    <t>06386</t>
  </si>
  <si>
    <t>M.T. SELLOS NAVALES S.R.L.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</si>
  <si>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</si>
  <si>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</si>
  <si>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</si>
  <si>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</si>
  <si>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</si>
  <si>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</si>
  <si>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TRABAJOS DE BUCEO Y SALVAMENTO EN BUQUES</t>
  </si>
  <si>
    <t>PR076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</si>
  <si>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</si>
  <si>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</si>
  <si>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</si>
  <si>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</si>
  <si>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</si>
  <si>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</si>
  <si>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</si>
  <si>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</si>
  <si>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</si>
  <si>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</si>
  <si>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</si>
  <si>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</si>
  <si>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</si>
  <si>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</si>
  <si>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</si>
  <si>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</si>
  <si>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</si>
  <si>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</si>
  <si>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</si>
  <si>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</si>
  <si>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</si>
  <si>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</si>
  <si>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</si>
  <si>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</si>
  <si>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SEGURIDAD-VIGILANCIA EMPRESA</t>
  </si>
  <si>
    <t>PR073</t>
  </si>
  <si>
    <t>07248</t>
  </si>
  <si>
    <t>MOTORES ELECTRICOS MAR DEL PLATA S.R.L.</t>
  </si>
  <si>
    <t>09470</t>
  </si>
  <si>
    <t>MOURESEANU LEANDRO JOSE</t>
  </si>
  <si>
    <t>REPARACIONES Y MANTENIMIENTO BUQUES</t>
  </si>
  <si>
    <t>PR186</t>
  </si>
  <si>
    <t>05186</t>
  </si>
  <si>
    <t>MPE S.A.</t>
  </si>
  <si>
    <t>EMERGENCIA MEDICA</t>
  </si>
  <si>
    <t>PR097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</si>
  <si>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</si>
  <si>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</si>
  <si>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</si>
  <si>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</si>
  <si>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</si>
  <si>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</si>
  <si>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</si>
  <si>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</si>
  <si>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</si>
  <si>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</si>
  <si>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</si>
  <si>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</si>
  <si>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</si>
  <si>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</si>
  <si>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</si>
  <si>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</si>
  <si>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</si>
  <si>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</si>
  <si>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REPUESTOS  y VTAS EQUIP. ELECTRICOS</t>
  </si>
  <si>
    <t>PR042</t>
  </si>
  <si>
    <t>08977</t>
  </si>
  <si>
    <t>OMINT SOCIEDAD ANONIMA DE SERVICIOS</t>
  </si>
  <si>
    <t>09179</t>
  </si>
  <si>
    <t>ORREGO GUSTAVO JAVIER</t>
  </si>
  <si>
    <t>TRANSPORTE DE PASAJEROS</t>
  </si>
  <si>
    <t>PR001</t>
  </si>
  <si>
    <t>04900</t>
  </si>
  <si>
    <t>OTI INTERNACIONAL S.A.</t>
  </si>
  <si>
    <t>AGENCIA TURISMO-VUELOS MERCADO EXTERIOR</t>
  </si>
  <si>
    <t>PR090</t>
  </si>
  <si>
    <t>08477</t>
  </si>
  <si>
    <t>PAMPA Y NOVILLO SA</t>
  </si>
  <si>
    <t>05446</t>
  </si>
  <si>
    <t>PARTES INFORMATICAS . COM   S.A.</t>
  </si>
  <si>
    <t>00317</t>
  </si>
  <si>
    <t>PESCE GRACIELA MARGARITA</t>
  </si>
  <si>
    <t>COMBUSTIBLES - LUBRICANTES</t>
  </si>
  <si>
    <t>PR013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</si>
  <si>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</si>
  <si>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</si>
  <si>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</si>
  <si>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</si>
  <si>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</si>
  <si>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</si>
  <si>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</si>
  <si>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</si>
  <si>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COMBUSTIBLES Y LUBRICANTES RODADOS</t>
  </si>
  <si>
    <t>PR161</t>
  </si>
  <si>
    <t>07301</t>
  </si>
  <si>
    <t>PRESTIGIO SA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</si>
  <si>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</si>
  <si>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</si>
  <si>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</si>
  <si>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</si>
  <si>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</si>
  <si>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</si>
  <si>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05096</t>
  </si>
  <si>
    <t>PUNTO TECNICO S.R.L.</t>
  </si>
  <si>
    <t>03811</t>
  </si>
  <si>
    <t>QUIMICA RODRAN S.R.L.</t>
  </si>
  <si>
    <t>08696</t>
  </si>
  <si>
    <t>REINTJES ESPAÑA SAU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</si>
  <si>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</si>
  <si>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</si>
  <si>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</si>
  <si>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</si>
  <si>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</si>
  <si>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</si>
  <si>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</si>
  <si>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</si>
  <si>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</si>
  <si>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</si>
  <si>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</si>
  <si>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</si>
  <si>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</si>
  <si>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</si>
  <si>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</si>
  <si>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</si>
  <si>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</si>
  <si>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</si>
  <si>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SERVICIO DE ASESORAMIENTO TECNICO PARA BUQUES</t>
  </si>
  <si>
    <t>PR220</t>
  </si>
  <si>
    <t>09064</t>
  </si>
  <si>
    <t>SALAS OSCAR LISANDRO</t>
  </si>
  <si>
    <t>00196</t>
  </si>
  <si>
    <t>SALVADOR MALVICA S.R.L.</t>
  </si>
  <si>
    <t>08959</t>
  </si>
  <si>
    <t>SAMULAK PAULO ARMANDO</t>
  </si>
  <si>
    <t>08419</t>
  </si>
  <si>
    <t>SAN MARCOS E. S.A.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</si>
  <si>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</si>
  <si>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</si>
  <si>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</si>
  <si>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</si>
  <si>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</si>
  <si>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</si>
  <si>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</si>
  <si>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</si>
  <si>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</si>
  <si>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</si>
  <si>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</si>
  <si>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</si>
  <si>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</si>
  <si>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</si>
  <si>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</si>
  <si>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</si>
  <si>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</si>
  <si>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</si>
  <si>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</si>
  <si>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</si>
  <si>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CONSTRUCCION - REPARACIONES BUQUES</t>
  </si>
  <si>
    <t>PR005</t>
  </si>
  <si>
    <t>08702</t>
  </si>
  <si>
    <t>SIGEVAL SA</t>
  </si>
  <si>
    <t>06212</t>
  </si>
  <si>
    <t>SINFID SA</t>
  </si>
  <si>
    <t>08700</t>
  </si>
  <si>
    <t>SKV GROUP S.L.</t>
  </si>
  <si>
    <t>08379</t>
  </si>
  <si>
    <t>STAR - FISH S.A.</t>
  </si>
  <si>
    <t>07426</t>
  </si>
  <si>
    <t>STELLA DANIEL GENARO</t>
  </si>
  <si>
    <t>GOMERIA</t>
  </si>
  <si>
    <t>PR080</t>
  </si>
  <si>
    <t>06956</t>
  </si>
  <si>
    <t>SUCESION DE BUONO FILIPPO</t>
  </si>
  <si>
    <t>03151</t>
  </si>
  <si>
    <t>TAGLIARINI RUBEN OMAR</t>
  </si>
  <si>
    <t>PRODUCTOS QUIMICOS</t>
  </si>
  <si>
    <t>PR165</t>
  </si>
  <si>
    <t>07555</t>
  </si>
  <si>
    <t>TALLER MCM S.R.L</t>
  </si>
  <si>
    <t>08747</t>
  </si>
  <si>
    <t>TALLONE ALEJANDRO ULISES</t>
  </si>
  <si>
    <t>07095</t>
  </si>
  <si>
    <t>TECNO LUBE S.A.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</si>
  <si>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</si>
  <si>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</si>
  <si>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</si>
  <si>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</si>
  <si>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</si>
  <si>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</si>
  <si>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</si>
  <si>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</si>
  <si>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SUPERMERCADO-PROVEEDURIA</t>
  </si>
  <si>
    <t>CL007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</si>
  <si>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</si>
  <si>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</si>
  <si>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</si>
  <si>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</si>
  <si>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</si>
  <si>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</si>
  <si>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</si>
  <si>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</si>
  <si>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09510</t>
  </si>
  <si>
    <t>TRUCHI RUBEN ANGEL</t>
  </si>
  <si>
    <t>03583</t>
  </si>
  <si>
    <t>UNION TECNICA SA</t>
  </si>
  <si>
    <t>07448</t>
  </si>
  <si>
    <t>URK SA</t>
  </si>
  <si>
    <t>PROVEEEDURIA-ROPA DE TRABAJO</t>
  </si>
  <si>
    <t>PR103</t>
  </si>
  <si>
    <t>04035</t>
  </si>
  <si>
    <t>VAZQUEZ DANIEL NORBERTO</t>
  </si>
  <si>
    <t>REPUESTOS BAADER</t>
  </si>
  <si>
    <t>PR116</t>
  </si>
  <si>
    <t>08414</t>
  </si>
  <si>
    <t>VERA STRACCIATELLA S. A.</t>
  </si>
  <si>
    <t>05474</t>
  </si>
  <si>
    <t>VILLAMAGNA HNOS SRL</t>
  </si>
  <si>
    <t>ROLLOS DE ETIQUETAS PARA CONTENEDORES</t>
  </si>
  <si>
    <t>PR212</t>
  </si>
  <si>
    <t>00295</t>
  </si>
  <si>
    <t>VIOMAR S.A.I.C.</t>
  </si>
  <si>
    <t>POLIETILENO P/ EXPORTACION</t>
  </si>
  <si>
    <t>PR038</t>
  </si>
  <si>
    <t>08447</t>
  </si>
  <si>
    <t>VISION LOGISTIC</t>
  </si>
  <si>
    <t>08554</t>
  </si>
  <si>
    <t>WATER NAVAL</t>
  </si>
  <si>
    <t>08729</t>
  </si>
  <si>
    <t>Y.C. ARMO-CAS S. A.</t>
  </si>
  <si>
    <t>02429</t>
  </si>
  <si>
    <t>YPF S.A.</t>
  </si>
  <si>
    <t>Parámetros</t>
  </si>
  <si>
    <t>Código de proveedor   desde:     hasta: </t>
  </si>
  <si>
    <t>No incluye   valor: PR006</t>
  </si>
  <si>
    <t>CONGELADOS LOS TANOS S. A.</t>
  </si>
  <si>
    <t>LUCRINO MARE SA</t>
  </si>
  <si>
    <t>LUDAPEZ SA</t>
  </si>
  <si>
    <t>LACAR FISH SA</t>
  </si>
  <si>
    <t>SAORI SA</t>
  </si>
  <si>
    <t>FRIGOSUR SRL</t>
  </si>
  <si>
    <t>COOPERATIVA DE TRABAJO CAÑAMAR LIMITADA</t>
  </si>
  <si>
    <t>MARDI SA</t>
  </si>
  <si>
    <t>MARISQUERIA SANTA RITA SRL</t>
  </si>
  <si>
    <t>INDUSTRIAS EL CORSARIO S.A.</t>
  </si>
  <si>
    <t>LA ISOLANA SA</t>
  </si>
  <si>
    <t>FRIO SUR SRL</t>
  </si>
  <si>
    <t>COMERCIAL INAL 2005 SA</t>
  </si>
  <si>
    <t>GUBITI SA</t>
  </si>
  <si>
    <t>27 DE NOVIEMBRE SA</t>
  </si>
  <si>
    <t>PROYECTOS DEL MAR SRL</t>
  </si>
  <si>
    <t>COOPERATIVA  DE TRABAJO DOÑA FRANCISCA LTDA</t>
  </si>
  <si>
    <t>LUMELL SA</t>
  </si>
  <si>
    <t>CLUB ATLETICO ALDOSIVI</t>
  </si>
  <si>
    <t>NATUSUR SA</t>
  </si>
  <si>
    <t>00089</t>
  </si>
  <si>
    <t>ASTILLERO NAVAL FEDERICO CONTESSI Y CIA SA.</t>
  </si>
  <si>
    <t>00972</t>
  </si>
  <si>
    <t>BAGGIARINI ALBERTO MARCELO</t>
  </si>
  <si>
    <t>07910</t>
  </si>
  <si>
    <t>BALIÑA GERARDO DANIEL</t>
  </si>
  <si>
    <t>08540</t>
  </si>
  <si>
    <t>CALZONI GERONIMO EMANUEL</t>
  </si>
  <si>
    <t>07718</t>
  </si>
  <si>
    <t>CECCHETO FACUNDO ELOY</t>
  </si>
  <si>
    <t>08576</t>
  </si>
  <si>
    <t>GUSENCAR S.R.L.</t>
  </si>
  <si>
    <t>06085</t>
  </si>
  <si>
    <t>HERRAJES VERONA SRL</t>
  </si>
  <si>
    <t>05145</t>
  </si>
  <si>
    <t>LABORATORIO BIOQUIMICO MAR DEL PLATA  S.A.</t>
  </si>
  <si>
    <t>SERVICIOS DE TERCEROS - LABORATORIO</t>
  </si>
  <si>
    <t>PR119</t>
  </si>
  <si>
    <t>09484</t>
  </si>
  <si>
    <t>MANGIATERRA RICARDO</t>
  </si>
  <si>
    <t>BALANZAS Y SISTEMAS DE PESAJES</t>
  </si>
  <si>
    <t>PR152</t>
  </si>
  <si>
    <t>06190</t>
  </si>
  <si>
    <t>PALADINI SA</t>
  </si>
  <si>
    <t>07390</t>
  </si>
  <si>
    <t>ROBERTS OSCAR</t>
  </si>
  <si>
    <t>01127</t>
  </si>
  <si>
    <t>SIMONAZZI HUGO OMAR</t>
  </si>
  <si>
    <t>02650</t>
  </si>
  <si>
    <t>TECNOPESCA ARGENTINA SA</t>
  </si>
  <si>
    <t>01953</t>
  </si>
  <si>
    <t>TROMBA SA</t>
  </si>
  <si>
    <t>05529</t>
  </si>
  <si>
    <t>UNZUE OSVALDO OSCAR</t>
  </si>
  <si>
    <t>09600</t>
  </si>
  <si>
    <t>WANCHESE ARGENTINA S R L</t>
  </si>
  <si>
    <t>Deuda al día   valor: 20260512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</si>
</sst>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#,##0.00;\(#,##0.00\);\-"/>
    <numFmt numFmtId="166" formatCode="#,##0;\(#,##0\);\-"/>
    <numFmt numFmtId="167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0" fontId="10" fillId="9" borderId="4" xfId="0" applyFont="1" applyFill="1" applyBorder="1" applyAlignment="1">
      <alignment horizontal="left" vertical="center" indent="1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165" fontId="10" fillId="9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file:///M:\CONTABLE\EMPRESAS\Pedro%20Moscuzza%20e%20Hijos%20S.A\Nicolas\2026\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</row>
        <row r="13">
          <cell r="CJ13">
            <v>78949000</v>
          </cell>
        </row>
        <row r="14">
          <cell r="CJ14">
            <v>5783000</v>
          </cell>
        </row>
        <row r="15">
          <cell r="CJ15">
            <v>2000000</v>
          </cell>
        </row>
        <row r="16">
          <cell r="CJ16">
            <v>45656000</v>
          </cell>
        </row>
        <row r="22">
          <cell r="CJ22">
            <v>1740123570</v>
          </cell>
        </row>
        <row r="24">
          <cell r="CJ24">
            <v>3160401274.7999997</v>
          </cell>
        </row>
        <row r="25">
          <cell r="CJ25">
            <v>404494398</v>
          </cell>
        </row>
        <row r="29">
          <cell r="CJ29">
            <v>8574762042</v>
          </cell>
        </row>
        <row r="31">
          <cell r="CJ31">
            <v>140297925.61000001</v>
          </cell>
        </row>
        <row r="43">
          <cell r="CJ43">
            <v>458483114</v>
          </cell>
        </row>
        <row r="45">
          <cell r="CJ45">
            <v>0</v>
          </cell>
        </row>
        <row r="46">
          <cell r="CJ46">
            <v>14376000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</row>
        <row r="51">
          <cell r="CJ51">
            <v>6873443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</row>
        <row r="98">
          <cell r="CJ98">
            <v>5582721359</v>
          </cell>
        </row>
        <row r="100">
          <cell r="CJ100">
            <v>1689393489</v>
          </cell>
        </row>
        <row r="101">
          <cell r="CJ101">
            <v>990744710</v>
          </cell>
        </row>
        <row r="102">
          <cell r="CJ102">
            <v>6063777655</v>
          </cell>
        </row>
        <row r="103">
          <cell r="CJ103">
            <v>1100365.03789</v>
          </cell>
        </row>
        <row r="104">
          <cell r="CJ104">
            <v>202734656.16865012</v>
          </cell>
        </row>
        <row r="105">
          <cell r="CJ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64" t="s">
        <v>0</v>
      </c>
      <c r="B1" s="64"/>
      <c r="C1" s="64"/>
      <c r="D1" s="64"/>
      <c r="E1" s="64"/>
      <c r="F1" s="64"/>
    </row>
    <row r="2" spans="1:6" ht="19.5" customHeight="1" x14ac:dyDescent="0.25">
      <c r="A2" s="65" t="s">
        <v>1</v>
      </c>
      <c r="B2" s="65"/>
      <c r="C2" s="65"/>
      <c r="D2" s="65"/>
      <c r="E2" s="65"/>
      <c r="F2" s="65"/>
    </row>
    <row r="5" spans="1:6" ht="15" customHeight="1" x14ac:dyDescent="0.25">
      <c r="A5" s="2"/>
      <c r="B5" s="3"/>
    </row>
    <row r="6" spans="1:6" ht="15" customHeight="1" x14ac:dyDescent="0.25">
      <c r="A6" s="63" t="s">
        <v>2</v>
      </c>
      <c r="B6" s="63"/>
      <c r="C6" s="63"/>
      <c r="D6" s="63"/>
      <c r="E6" s="63"/>
      <c r="F6" s="6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63" t="s">
        <v>21</v>
      </c>
      <c r="B17" s="63"/>
      <c r="C17" s="63"/>
      <c r="D17" s="63"/>
      <c r="E17" s="63"/>
      <c r="F17" s="6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63" t="s">
        <v>32</v>
      </c>
      <c r="B24" s="63"/>
      <c r="C24" s="63"/>
      <c r="D24" s="63"/>
      <c r="E24" s="63"/>
      <c r="F24" s="6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63" t="s">
        <v>47</v>
      </c>
      <c r="B33" s="63"/>
      <c r="C33" s="63"/>
      <c r="D33" s="63"/>
      <c r="E33" s="63"/>
      <c r="F33" s="6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69" activePane="bottomLeft" state="frozen"/>
      <selection activeCell="A3" sqref="A3"/>
      <selection pane="bottomLeft" activeCell="F92" sqref="F9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10" width="15.2851562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58" t="s">
        <v>54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37" ht="21.75" hidden="1" customHeight="1" x14ac:dyDescent="0.25">
      <c r="A2" s="5" t="s">
        <v>55</v>
      </c>
      <c r="B2" s="5" t="s">
        <v>56</v>
      </c>
      <c r="C2" s="59" t="s">
        <v>57</v>
      </c>
      <c r="D2" s="59"/>
      <c r="E2" s="59"/>
      <c r="F2" s="59"/>
      <c r="G2" s="59"/>
      <c r="H2" s="59"/>
      <c r="I2" s="59"/>
      <c r="J2" s="60" t="s">
        <v>58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1" t="s">
        <v>59</v>
      </c>
      <c r="X2" s="61"/>
      <c r="Y2" s="61"/>
      <c r="Z2" s="61"/>
      <c r="AA2" s="61"/>
      <c r="AB2" s="61"/>
      <c r="AC2" s="61"/>
      <c r="AD2" s="61"/>
      <c r="AE2" s="61"/>
      <c r="AF2" s="1"/>
      <c r="AG2" s="62"/>
      <c r="AH2" s="62"/>
      <c r="AI2" s="62"/>
      <c r="AJ2" s="6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56">
        <v>1463</v>
      </c>
      <c r="C4" s="55">
        <v>0</v>
      </c>
      <c r="D4" s="55">
        <v>147143953</v>
      </c>
      <c r="E4" s="55">
        <v>-17312000</v>
      </c>
      <c r="F4" s="55">
        <v>0</v>
      </c>
      <c r="G4" s="55">
        <v>5368000</v>
      </c>
      <c r="H4" s="55">
        <v>6913000</v>
      </c>
      <c r="I4" s="55">
        <v>984848664</v>
      </c>
      <c r="J4" s="55">
        <v>93118000</v>
      </c>
      <c r="K4" s="55">
        <v>0</v>
      </c>
      <c r="L4" s="55">
        <v>0</v>
      </c>
      <c r="M4" s="55">
        <v>0</v>
      </c>
      <c r="N4" s="55">
        <v>0</v>
      </c>
      <c r="O4" s="55">
        <v>0</v>
      </c>
      <c r="P4" s="55">
        <v>0</v>
      </c>
      <c r="Q4" s="55">
        <v>331346284</v>
      </c>
      <c r="R4" s="55">
        <v>0</v>
      </c>
      <c r="S4" s="55">
        <v>0</v>
      </c>
      <c r="T4" s="55">
        <v>0</v>
      </c>
      <c r="U4" s="55">
        <v>0</v>
      </c>
      <c r="V4" s="55">
        <v>0</v>
      </c>
      <c r="W4" s="55">
        <v>0</v>
      </c>
      <c r="X4" s="55">
        <v>396177166</v>
      </c>
      <c r="Y4" s="55">
        <v>2543380519</v>
      </c>
      <c r="Z4" s="55">
        <v>220357000</v>
      </c>
      <c r="AA4" s="55">
        <v>4106866784</v>
      </c>
      <c r="AB4" s="56">
        <v>2600000</v>
      </c>
      <c r="AC4" s="56">
        <v>6975000</v>
      </c>
      <c r="AD4" s="56">
        <v>159934</v>
      </c>
      <c r="AE4" s="56">
        <v>2044803</v>
      </c>
      <c r="AF4" s="56">
        <v>6441928</v>
      </c>
      <c r="AG4" s="55">
        <v>4314967894</v>
      </c>
      <c r="AH4" s="55">
        <v>6208398504</v>
      </c>
      <c r="AI4" s="55">
        <v>4836302009</v>
      </c>
      <c r="AJ4" s="55">
        <v>1972327480</v>
      </c>
      <c r="AK4" s="14"/>
    </row>
    <row r="5" spans="1:37" ht="15.75" customHeight="1" x14ac:dyDescent="0.25">
      <c r="A5" s="13">
        <v>46030</v>
      </c>
      <c r="B5" s="56">
        <v>1469</v>
      </c>
      <c r="C5" s="55">
        <v>0</v>
      </c>
      <c r="D5" s="55">
        <v>147143953.16999999</v>
      </c>
      <c r="E5" s="55">
        <v>103831332</v>
      </c>
      <c r="F5" s="55">
        <v>0</v>
      </c>
      <c r="G5" s="55">
        <v>24804817.870000001</v>
      </c>
      <c r="H5" s="55">
        <v>3794000</v>
      </c>
      <c r="I5" s="55">
        <v>1127668632</v>
      </c>
      <c r="J5" s="55">
        <v>98556000</v>
      </c>
      <c r="K5" s="55">
        <v>0</v>
      </c>
      <c r="L5" s="55">
        <v>0</v>
      </c>
      <c r="M5" s="55">
        <v>0</v>
      </c>
      <c r="N5" s="55">
        <v>0</v>
      </c>
      <c r="O5" s="55">
        <v>0</v>
      </c>
      <c r="P5" s="55">
        <v>366732120</v>
      </c>
      <c r="Q5" s="55">
        <v>3010892.09</v>
      </c>
      <c r="R5" s="55">
        <v>0</v>
      </c>
      <c r="S5" s="55">
        <v>0</v>
      </c>
      <c r="T5" s="55">
        <v>45929347</v>
      </c>
      <c r="U5" s="55">
        <v>0</v>
      </c>
      <c r="V5" s="55">
        <v>0</v>
      </c>
      <c r="W5" s="55">
        <v>0</v>
      </c>
      <c r="X5" s="55">
        <v>343083825.89999998</v>
      </c>
      <c r="Y5" s="55">
        <v>2493689353</v>
      </c>
      <c r="Z5" s="55">
        <v>220357000</v>
      </c>
      <c r="AA5" s="55">
        <v>4094188807</v>
      </c>
      <c r="AB5" s="56">
        <v>2600000</v>
      </c>
      <c r="AC5" s="56">
        <v>6975000</v>
      </c>
      <c r="AD5" s="56">
        <v>159934</v>
      </c>
      <c r="AE5" s="56">
        <v>2044803</v>
      </c>
      <c r="AF5" s="56">
        <v>6480455</v>
      </c>
      <c r="AG5" s="55">
        <v>4314967894</v>
      </c>
      <c r="AH5" s="55">
        <v>6110180635</v>
      </c>
      <c r="AI5" s="55">
        <v>4816967051</v>
      </c>
      <c r="AJ5" s="55">
        <v>422641035</v>
      </c>
      <c r="AK5" s="14"/>
    </row>
    <row r="6" spans="1:37" ht="15.75" customHeight="1" x14ac:dyDescent="0.25">
      <c r="A6" s="13">
        <v>46031</v>
      </c>
      <c r="B6" s="56">
        <v>1455</v>
      </c>
      <c r="C6" s="55">
        <v>0</v>
      </c>
      <c r="D6" s="55">
        <v>102302314</v>
      </c>
      <c r="E6" s="55">
        <v>63095000</v>
      </c>
      <c r="F6" s="55">
        <v>0</v>
      </c>
      <c r="G6" s="55">
        <v>14747000</v>
      </c>
      <c r="H6" s="55">
        <v>12301000</v>
      </c>
      <c r="I6" s="55">
        <v>996009122</v>
      </c>
      <c r="J6" s="55">
        <v>2347817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126421132</v>
      </c>
      <c r="Q6" s="55">
        <v>7044405</v>
      </c>
      <c r="R6" s="55">
        <v>0</v>
      </c>
      <c r="S6" s="55">
        <v>0</v>
      </c>
      <c r="T6" s="55">
        <v>0</v>
      </c>
      <c r="U6" s="55">
        <v>0</v>
      </c>
      <c r="V6" s="55">
        <v>0</v>
      </c>
      <c r="W6" s="55">
        <v>0</v>
      </c>
      <c r="X6" s="55">
        <v>506350251.04000002</v>
      </c>
      <c r="Y6" s="55">
        <v>1113182008</v>
      </c>
      <c r="Z6" s="55">
        <v>220357000</v>
      </c>
      <c r="AA6" s="55">
        <v>4182158189</v>
      </c>
      <c r="AB6" s="56">
        <v>2600000</v>
      </c>
      <c r="AC6" s="56">
        <v>6975000</v>
      </c>
      <c r="AD6" s="56">
        <v>159934</v>
      </c>
      <c r="AE6" s="56">
        <v>2044803</v>
      </c>
      <c r="AF6" s="56">
        <v>7740751.1799999997</v>
      </c>
      <c r="AG6" s="55">
        <v>4314967894</v>
      </c>
      <c r="AH6" s="55">
        <v>5581783035</v>
      </c>
      <c r="AI6" s="55">
        <v>4658234880</v>
      </c>
      <c r="AJ6" s="55">
        <v>422947645</v>
      </c>
      <c r="AK6" s="14"/>
    </row>
    <row r="7" spans="1:37" ht="15.75" customHeight="1" x14ac:dyDescent="0.25">
      <c r="A7" s="13">
        <v>46034</v>
      </c>
      <c r="B7" s="56">
        <v>1465.5</v>
      </c>
      <c r="C7" s="55">
        <v>0</v>
      </c>
      <c r="D7" s="55">
        <v>191195891.53999999</v>
      </c>
      <c r="E7" s="55">
        <v>19902000</v>
      </c>
      <c r="F7" s="55">
        <v>0</v>
      </c>
      <c r="G7" s="55">
        <v>1103000</v>
      </c>
      <c r="H7" s="55">
        <v>309000</v>
      </c>
      <c r="I7" s="55">
        <v>1129839976</v>
      </c>
      <c r="J7" s="55">
        <v>38460000</v>
      </c>
      <c r="K7" s="55">
        <v>0</v>
      </c>
      <c r="L7" s="55">
        <v>23625223</v>
      </c>
      <c r="M7" s="55">
        <v>0</v>
      </c>
      <c r="N7" s="55">
        <v>0</v>
      </c>
      <c r="O7" s="55">
        <v>0</v>
      </c>
      <c r="P7" s="55">
        <v>109006535</v>
      </c>
      <c r="Q7" s="55">
        <v>224149787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717079149</v>
      </c>
      <c r="Y7" s="55">
        <v>944499841</v>
      </c>
      <c r="Z7" s="55">
        <v>220357000</v>
      </c>
      <c r="AA7" s="55">
        <v>4087351389</v>
      </c>
      <c r="AB7" s="56">
        <v>2600000</v>
      </c>
      <c r="AC7" s="56">
        <v>6975000</v>
      </c>
      <c r="AD7" s="56">
        <v>159934</v>
      </c>
      <c r="AE7" s="56">
        <v>2344803</v>
      </c>
      <c r="AF7" s="56">
        <v>8315409</v>
      </c>
      <c r="AG7" s="55">
        <v>4314967894</v>
      </c>
      <c r="AH7" s="55">
        <v>4486855402.5</v>
      </c>
      <c r="AI7" s="55">
        <v>4988005110</v>
      </c>
      <c r="AJ7" s="55">
        <v>423827578</v>
      </c>
      <c r="AK7" s="14"/>
    </row>
    <row r="8" spans="1:37" ht="15.75" customHeight="1" x14ac:dyDescent="0.25">
      <c r="A8" s="13">
        <v>46035</v>
      </c>
      <c r="B8" s="56">
        <v>1462</v>
      </c>
      <c r="C8" s="55">
        <v>0</v>
      </c>
      <c r="D8" s="55">
        <v>191195891</v>
      </c>
      <c r="E8" s="55">
        <v>41915000</v>
      </c>
      <c r="F8" s="55">
        <v>0</v>
      </c>
      <c r="G8" s="55">
        <v>15637889</v>
      </c>
      <c r="H8" s="55">
        <v>0</v>
      </c>
      <c r="I8" s="55">
        <v>1129839976</v>
      </c>
      <c r="J8" s="55">
        <v>167756834</v>
      </c>
      <c r="K8" s="55">
        <v>0</v>
      </c>
      <c r="L8" s="55">
        <v>39116189</v>
      </c>
      <c r="M8" s="55">
        <v>0</v>
      </c>
      <c r="N8" s="55">
        <v>0</v>
      </c>
      <c r="O8" s="55">
        <v>0</v>
      </c>
      <c r="P8" s="55">
        <v>15121860</v>
      </c>
      <c r="Q8" s="55">
        <v>180946598</v>
      </c>
      <c r="R8" s="55">
        <v>0</v>
      </c>
      <c r="S8" s="55">
        <v>0</v>
      </c>
      <c r="T8" s="55">
        <v>0</v>
      </c>
      <c r="U8" s="55">
        <v>0</v>
      </c>
      <c r="V8" s="55">
        <v>0</v>
      </c>
      <c r="W8" s="55">
        <v>0</v>
      </c>
      <c r="X8" s="55">
        <v>828454859</v>
      </c>
      <c r="Y8" s="55">
        <v>705798673</v>
      </c>
      <c r="Z8" s="55">
        <v>220357000</v>
      </c>
      <c r="AA8" s="55">
        <v>3882411723</v>
      </c>
      <c r="AB8" s="56">
        <v>2600000</v>
      </c>
      <c r="AC8" s="56">
        <v>6975000</v>
      </c>
      <c r="AD8" s="56">
        <v>159934</v>
      </c>
      <c r="AE8" s="56">
        <v>2344803</v>
      </c>
      <c r="AF8" s="56">
        <v>8965227.4900000002</v>
      </c>
      <c r="AG8" s="55">
        <v>4314967894</v>
      </c>
      <c r="AH8" s="55">
        <v>4284443632</v>
      </c>
      <c r="AI8" s="55">
        <v>4713813455.8199997</v>
      </c>
      <c r="AJ8" s="55">
        <v>424124427</v>
      </c>
      <c r="AK8" s="14"/>
    </row>
    <row r="9" spans="1:37" ht="15.75" customHeight="1" x14ac:dyDescent="0.25">
      <c r="A9" s="13">
        <v>46036</v>
      </c>
      <c r="B9" s="56">
        <v>1464.5</v>
      </c>
      <c r="C9" s="55">
        <v>0</v>
      </c>
      <c r="D9" s="55">
        <v>62480863.369999997</v>
      </c>
      <c r="E9" s="55">
        <v>60536771</v>
      </c>
      <c r="F9" s="55">
        <v>0</v>
      </c>
      <c r="G9" s="55">
        <v>25159457</v>
      </c>
      <c r="H9" s="55">
        <v>0</v>
      </c>
      <c r="I9" s="55">
        <v>1143603954</v>
      </c>
      <c r="J9" s="55">
        <v>170000000</v>
      </c>
      <c r="K9" s="55">
        <v>0</v>
      </c>
      <c r="L9" s="55">
        <v>0</v>
      </c>
      <c r="M9" s="55">
        <v>0</v>
      </c>
      <c r="N9" s="55">
        <v>0</v>
      </c>
      <c r="O9" s="55">
        <v>0</v>
      </c>
      <c r="P9" s="55">
        <v>0</v>
      </c>
      <c r="Q9" s="55">
        <v>183177718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938129312</v>
      </c>
      <c r="Y9" s="55">
        <v>569683193</v>
      </c>
      <c r="Z9" s="55">
        <v>220357000</v>
      </c>
      <c r="AA9" s="55">
        <v>3764632228</v>
      </c>
      <c r="AB9" s="56">
        <v>2600000</v>
      </c>
      <c r="AC9" s="56">
        <v>6975000</v>
      </c>
      <c r="AD9" s="56">
        <v>159934</v>
      </c>
      <c r="AE9" s="56">
        <v>2344803</v>
      </c>
      <c r="AF9" s="56">
        <v>8783530.5700000003</v>
      </c>
      <c r="AG9" s="55">
        <v>4314967894</v>
      </c>
      <c r="AH9" s="55">
        <v>4092690235.5</v>
      </c>
      <c r="AI9" s="55">
        <v>4672764040.5</v>
      </c>
      <c r="AJ9" s="55">
        <v>424459423</v>
      </c>
      <c r="AK9" s="15"/>
    </row>
    <row r="10" spans="1:37" ht="15.75" customHeight="1" x14ac:dyDescent="0.25">
      <c r="A10" s="13">
        <v>46037</v>
      </c>
      <c r="B10" s="56">
        <v>1450</v>
      </c>
      <c r="C10" s="55">
        <v>0</v>
      </c>
      <c r="D10" s="55">
        <v>62480863.369999997</v>
      </c>
      <c r="E10" s="55">
        <v>74751000</v>
      </c>
      <c r="F10" s="55">
        <v>0</v>
      </c>
      <c r="G10" s="55">
        <v>9758000</v>
      </c>
      <c r="H10" s="55">
        <v>0</v>
      </c>
      <c r="I10" s="55">
        <v>1214275683</v>
      </c>
      <c r="J10" s="55">
        <v>276864200</v>
      </c>
      <c r="K10" s="55">
        <v>0</v>
      </c>
      <c r="L10" s="55">
        <v>1009800</v>
      </c>
      <c r="M10" s="55">
        <v>0</v>
      </c>
      <c r="N10" s="55">
        <v>0</v>
      </c>
      <c r="O10" s="55">
        <v>0</v>
      </c>
      <c r="P10" s="55">
        <v>0</v>
      </c>
      <c r="Q10" s="55">
        <v>10591253.68</v>
      </c>
      <c r="R10" s="55">
        <v>0</v>
      </c>
      <c r="S10" s="55">
        <v>0</v>
      </c>
      <c r="T10" s="55">
        <v>0</v>
      </c>
      <c r="U10" s="55">
        <v>194000000</v>
      </c>
      <c r="V10" s="55">
        <v>0</v>
      </c>
      <c r="W10" s="55">
        <v>0</v>
      </c>
      <c r="X10" s="55">
        <v>764830293.83000004</v>
      </c>
      <c r="Y10" s="55">
        <v>604673438</v>
      </c>
      <c r="Z10" s="55">
        <v>220357000</v>
      </c>
      <c r="AA10" s="55">
        <v>3766894667</v>
      </c>
      <c r="AB10" s="56">
        <v>2600000</v>
      </c>
      <c r="AC10" s="56">
        <v>6975000</v>
      </c>
      <c r="AD10" s="56">
        <v>159934</v>
      </c>
      <c r="AE10" s="56">
        <v>2344803</v>
      </c>
      <c r="AF10" s="56">
        <v>8886136.3100000005</v>
      </c>
      <c r="AG10" s="55">
        <v>4314967894</v>
      </c>
      <c r="AH10" s="55">
        <v>4231934388</v>
      </c>
      <c r="AI10" s="55">
        <v>4759593100</v>
      </c>
      <c r="AJ10" s="55">
        <v>194610289.44</v>
      </c>
      <c r="AK10" s="15"/>
    </row>
    <row r="11" spans="1:37" ht="15.75" customHeight="1" x14ac:dyDescent="0.25">
      <c r="A11" s="13">
        <v>46038</v>
      </c>
      <c r="B11" s="56">
        <v>1440</v>
      </c>
      <c r="C11" s="55">
        <v>0</v>
      </c>
      <c r="D11" s="55">
        <v>170748138</v>
      </c>
      <c r="E11" s="55">
        <v>164880000</v>
      </c>
      <c r="F11" s="55">
        <v>0</v>
      </c>
      <c r="G11" s="55">
        <v>-3450000</v>
      </c>
      <c r="H11" s="55">
        <v>0</v>
      </c>
      <c r="I11" s="55">
        <v>1096607000</v>
      </c>
      <c r="J11" s="55">
        <v>180913832.91999999</v>
      </c>
      <c r="K11" s="55">
        <v>0</v>
      </c>
      <c r="L11" s="55">
        <v>2919605</v>
      </c>
      <c r="M11" s="55">
        <v>0</v>
      </c>
      <c r="N11" s="55">
        <v>0</v>
      </c>
      <c r="O11" s="55">
        <v>0</v>
      </c>
      <c r="P11" s="55">
        <v>7054822</v>
      </c>
      <c r="Q11" s="55">
        <v>3191483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995710009</v>
      </c>
      <c r="Y11" s="55">
        <v>487074663</v>
      </c>
      <c r="Z11" s="55">
        <v>220357000</v>
      </c>
      <c r="AA11" s="55">
        <v>3172758684</v>
      </c>
      <c r="AB11" s="56">
        <v>2600000</v>
      </c>
      <c r="AC11" s="56">
        <v>6975000</v>
      </c>
      <c r="AD11" s="56">
        <v>159934</v>
      </c>
      <c r="AE11" s="56">
        <v>2344803</v>
      </c>
      <c r="AF11" s="56">
        <v>9582201.909</v>
      </c>
      <c r="AG11" s="55">
        <v>4314967894</v>
      </c>
      <c r="AH11" s="55">
        <v>4073068713.5999999</v>
      </c>
      <c r="AI11" s="55">
        <v>4577526720</v>
      </c>
      <c r="AJ11" s="55">
        <v>611311.32999999996</v>
      </c>
      <c r="AK11" s="15"/>
    </row>
    <row r="12" spans="1:37" ht="15.75" customHeight="1" x14ac:dyDescent="0.25">
      <c r="A12" s="13">
        <v>46041</v>
      </c>
      <c r="B12" s="56">
        <v>1428</v>
      </c>
      <c r="C12" s="55">
        <v>0</v>
      </c>
      <c r="D12" s="55">
        <v>170748138</v>
      </c>
      <c r="E12" s="55">
        <v>176500595</v>
      </c>
      <c r="F12" s="55">
        <v>0</v>
      </c>
      <c r="G12" s="55">
        <v>9812921</v>
      </c>
      <c r="H12" s="55">
        <v>0</v>
      </c>
      <c r="I12" s="55">
        <v>1098875342</v>
      </c>
      <c r="J12" s="55">
        <v>93270575</v>
      </c>
      <c r="K12" s="55">
        <v>0</v>
      </c>
      <c r="L12" s="55">
        <v>30686642</v>
      </c>
      <c r="M12" s="55">
        <v>0</v>
      </c>
      <c r="N12" s="55">
        <v>0</v>
      </c>
      <c r="O12" s="55">
        <v>0</v>
      </c>
      <c r="P12" s="55">
        <v>0</v>
      </c>
      <c r="Q12" s="55">
        <v>2786622</v>
      </c>
      <c r="R12" s="55">
        <v>106064322</v>
      </c>
      <c r="S12" s="55">
        <v>0</v>
      </c>
      <c r="T12" s="55">
        <v>0</v>
      </c>
      <c r="U12" s="55">
        <v>0</v>
      </c>
      <c r="V12" s="55">
        <v>0</v>
      </c>
      <c r="W12" s="55">
        <v>0</v>
      </c>
      <c r="X12" s="55">
        <v>727601822</v>
      </c>
      <c r="Y12" s="55">
        <v>55545741</v>
      </c>
      <c r="Z12" s="55">
        <v>220357000</v>
      </c>
      <c r="AA12" s="55">
        <v>3286079509</v>
      </c>
      <c r="AB12" s="56">
        <v>2600000</v>
      </c>
      <c r="AC12" s="56">
        <v>6975000</v>
      </c>
      <c r="AD12" s="56">
        <v>159934</v>
      </c>
      <c r="AE12" s="56">
        <v>2194803</v>
      </c>
      <c r="AF12" s="56">
        <v>10991009.26</v>
      </c>
      <c r="AG12" s="55">
        <v>4314967894</v>
      </c>
      <c r="AH12" s="55">
        <v>3619803342.1199999</v>
      </c>
      <c r="AI12" s="55">
        <v>4647360312</v>
      </c>
      <c r="AJ12" s="55">
        <v>612693</v>
      </c>
      <c r="AK12" s="15"/>
    </row>
    <row r="13" spans="1:37" ht="15.75" customHeight="1" x14ac:dyDescent="0.25">
      <c r="A13" s="13">
        <v>46042</v>
      </c>
      <c r="B13" s="56">
        <v>1428.5</v>
      </c>
      <c r="C13" s="55">
        <v>0</v>
      </c>
      <c r="D13" s="55">
        <v>138310839.40000001</v>
      </c>
      <c r="E13" s="55">
        <v>73444051</v>
      </c>
      <c r="F13" s="55">
        <v>0</v>
      </c>
      <c r="G13" s="55">
        <v>15092051</v>
      </c>
      <c r="H13" s="55">
        <v>0</v>
      </c>
      <c r="I13" s="55">
        <v>1039256943</v>
      </c>
      <c r="J13" s="55">
        <v>173300000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5">
        <v>157286696</v>
      </c>
      <c r="R13" s="55">
        <v>0</v>
      </c>
      <c r="S13" s="55">
        <v>0</v>
      </c>
      <c r="T13" s="55">
        <v>0</v>
      </c>
      <c r="U13" s="55">
        <v>180000000</v>
      </c>
      <c r="V13" s="55">
        <v>0</v>
      </c>
      <c r="W13" s="55">
        <v>0</v>
      </c>
      <c r="X13" s="55">
        <v>763073132</v>
      </c>
      <c r="Y13" s="55">
        <v>801275230</v>
      </c>
      <c r="Z13" s="55">
        <v>220357000</v>
      </c>
      <c r="AA13" s="55">
        <v>3243064886.5</v>
      </c>
      <c r="AB13" s="56">
        <v>2600000</v>
      </c>
      <c r="AC13" s="56">
        <v>6975000</v>
      </c>
      <c r="AD13" s="56">
        <v>159934</v>
      </c>
      <c r="AE13" s="56">
        <v>2194803</v>
      </c>
      <c r="AF13" s="56">
        <v>11490332.2655</v>
      </c>
      <c r="AG13" s="55">
        <v>4314967894</v>
      </c>
      <c r="AH13" s="55">
        <v>3552467067.7649999</v>
      </c>
      <c r="AI13" s="55">
        <v>4648987539</v>
      </c>
      <c r="AJ13" s="55">
        <v>613144.98</v>
      </c>
      <c r="AK13" s="15"/>
    </row>
    <row r="14" spans="1:37" ht="15.75" customHeight="1" x14ac:dyDescent="0.25">
      <c r="A14" s="13">
        <v>46043</v>
      </c>
      <c r="B14" s="56">
        <v>1432</v>
      </c>
      <c r="C14" s="55">
        <v>0</v>
      </c>
      <c r="D14" s="55">
        <v>114890681.03</v>
      </c>
      <c r="E14" s="55">
        <v>84544428.829999998</v>
      </c>
      <c r="F14" s="55">
        <v>0</v>
      </c>
      <c r="G14" s="55">
        <v>8979855</v>
      </c>
      <c r="H14" s="55">
        <v>0</v>
      </c>
      <c r="I14" s="55">
        <v>1039256943</v>
      </c>
      <c r="J14" s="55">
        <v>107253172</v>
      </c>
      <c r="K14" s="55">
        <v>0</v>
      </c>
      <c r="L14" s="55">
        <v>27735508</v>
      </c>
      <c r="M14" s="55">
        <v>0</v>
      </c>
      <c r="N14" s="55">
        <v>0</v>
      </c>
      <c r="O14" s="55">
        <v>43586760</v>
      </c>
      <c r="P14" s="55">
        <v>144447864</v>
      </c>
      <c r="Q14" s="55">
        <v>37176621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759957476</v>
      </c>
      <c r="Y14" s="55">
        <v>624555549</v>
      </c>
      <c r="Z14" s="55">
        <v>220357000</v>
      </c>
      <c r="AA14" s="55">
        <v>3592955206</v>
      </c>
      <c r="AB14" s="56">
        <v>2600000</v>
      </c>
      <c r="AC14" s="56">
        <v>6975000</v>
      </c>
      <c r="AD14" s="56">
        <v>159934</v>
      </c>
      <c r="AE14" s="56">
        <v>2194803</v>
      </c>
      <c r="AF14" s="56">
        <v>12252881</v>
      </c>
      <c r="AG14" s="55">
        <v>4314967894</v>
      </c>
      <c r="AH14" s="55">
        <v>3574347452.0799999</v>
      </c>
      <c r="AI14" s="55">
        <v>4087129912</v>
      </c>
      <c r="AJ14" s="55">
        <v>613592.34</v>
      </c>
      <c r="AK14" s="15"/>
    </row>
    <row r="15" spans="1:37" ht="15.75" customHeight="1" x14ac:dyDescent="0.25">
      <c r="A15" s="13">
        <v>46044</v>
      </c>
      <c r="B15" s="56">
        <v>1427</v>
      </c>
      <c r="C15" s="55">
        <v>0</v>
      </c>
      <c r="D15" s="55">
        <v>61294019</v>
      </c>
      <c r="E15" s="55">
        <v>404952346.39999998</v>
      </c>
      <c r="F15" s="55">
        <v>0</v>
      </c>
      <c r="G15" s="55">
        <v>8492957.3100000005</v>
      </c>
      <c r="H15" s="55">
        <v>4032000</v>
      </c>
      <c r="I15" s="55">
        <v>1039256943</v>
      </c>
      <c r="J15" s="55">
        <v>133501600</v>
      </c>
      <c r="K15" s="55">
        <v>0</v>
      </c>
      <c r="L15" s="55">
        <v>80264892</v>
      </c>
      <c r="M15" s="55">
        <v>0</v>
      </c>
      <c r="N15" s="55">
        <v>0</v>
      </c>
      <c r="O15" s="55">
        <v>0</v>
      </c>
      <c r="P15" s="55">
        <v>19105502</v>
      </c>
      <c r="Q15" s="55">
        <v>1046236</v>
      </c>
      <c r="R15" s="55">
        <v>176000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685317771.53999996</v>
      </c>
      <c r="Y15" s="55">
        <v>570093319</v>
      </c>
      <c r="Z15" s="55">
        <v>220357000</v>
      </c>
      <c r="AA15" s="55">
        <v>3508883840.3200002</v>
      </c>
      <c r="AB15" s="56">
        <v>2600000</v>
      </c>
      <c r="AC15" s="56">
        <v>6975000</v>
      </c>
      <c r="AD15" s="56">
        <v>159934</v>
      </c>
      <c r="AE15" s="56">
        <v>2194803</v>
      </c>
      <c r="AF15" s="56">
        <v>12482991</v>
      </c>
      <c r="AG15" s="55">
        <v>4314967894</v>
      </c>
      <c r="AH15" s="55">
        <v>3428136169.0300002</v>
      </c>
      <c r="AI15" s="55">
        <v>4072859207</v>
      </c>
      <c r="AJ15" s="55">
        <v>614057</v>
      </c>
      <c r="AK15" s="15"/>
    </row>
    <row r="16" spans="1:37" ht="15.75" customHeight="1" x14ac:dyDescent="0.25">
      <c r="A16" s="13">
        <v>46045</v>
      </c>
      <c r="B16" s="56">
        <v>1421</v>
      </c>
      <c r="C16" s="55">
        <v>0</v>
      </c>
      <c r="D16" s="55">
        <v>61294019</v>
      </c>
      <c r="E16" s="55">
        <v>152245000</v>
      </c>
      <c r="F16" s="55">
        <v>0</v>
      </c>
      <c r="G16" s="55">
        <v>107905000</v>
      </c>
      <c r="H16" s="55">
        <v>4032000</v>
      </c>
      <c r="I16" s="55">
        <v>1259696842</v>
      </c>
      <c r="J16" s="55">
        <v>102950586</v>
      </c>
      <c r="K16" s="55">
        <v>0</v>
      </c>
      <c r="L16" s="55">
        <v>0</v>
      </c>
      <c r="M16" s="55">
        <v>0</v>
      </c>
      <c r="N16" s="55">
        <v>0</v>
      </c>
      <c r="O16" s="55">
        <v>1110780</v>
      </c>
      <c r="P16" s="55">
        <v>5821979</v>
      </c>
      <c r="Q16" s="55">
        <v>99080826</v>
      </c>
      <c r="R16" s="55">
        <v>0</v>
      </c>
      <c r="S16" s="55">
        <v>0</v>
      </c>
      <c r="T16" s="55">
        <v>0</v>
      </c>
      <c r="U16" s="55">
        <v>0</v>
      </c>
      <c r="V16" s="55">
        <v>0</v>
      </c>
      <c r="W16" s="55">
        <v>0</v>
      </c>
      <c r="X16" s="55">
        <v>1060139595</v>
      </c>
      <c r="Y16" s="55">
        <v>481474496</v>
      </c>
      <c r="Z16" s="55">
        <v>220357000</v>
      </c>
      <c r="AA16" s="55">
        <v>2923682435.5799999</v>
      </c>
      <c r="AB16" s="56">
        <v>2600000</v>
      </c>
      <c r="AC16" s="56">
        <v>6975000</v>
      </c>
      <c r="AD16" s="56">
        <v>159934</v>
      </c>
      <c r="AE16" s="56">
        <v>2194803</v>
      </c>
      <c r="AF16" s="56">
        <v>13171481</v>
      </c>
      <c r="AG16" s="55">
        <v>4314967894</v>
      </c>
      <c r="AH16" s="55">
        <v>3568680927</v>
      </c>
      <c r="AI16" s="55">
        <v>3804214519</v>
      </c>
      <c r="AJ16" s="55">
        <v>614524</v>
      </c>
      <c r="AK16" s="15"/>
    </row>
    <row r="17" spans="1:37" ht="15.75" customHeight="1" x14ac:dyDescent="0.25">
      <c r="A17" s="13">
        <v>46048</v>
      </c>
      <c r="B17" s="56">
        <v>1428</v>
      </c>
      <c r="C17" s="55">
        <v>0</v>
      </c>
      <c r="D17" s="55">
        <v>16846129</v>
      </c>
      <c r="E17" s="55">
        <v>7882910.9100000001</v>
      </c>
      <c r="F17" s="55">
        <v>0</v>
      </c>
      <c r="G17" s="55">
        <v>7362455.4299999997</v>
      </c>
      <c r="H17" s="55">
        <v>2143000</v>
      </c>
      <c r="I17" s="55">
        <v>1197683340</v>
      </c>
      <c r="J17" s="55">
        <v>135016848.68000001</v>
      </c>
      <c r="K17" s="55">
        <v>0</v>
      </c>
      <c r="L17" s="55">
        <v>0</v>
      </c>
      <c r="M17" s="55">
        <v>0</v>
      </c>
      <c r="N17" s="55">
        <v>0</v>
      </c>
      <c r="O17" s="55">
        <v>0</v>
      </c>
      <c r="P17" s="55">
        <v>0</v>
      </c>
      <c r="Q17" s="55">
        <v>5000000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808925046</v>
      </c>
      <c r="Y17" s="55">
        <v>661985561</v>
      </c>
      <c r="Z17" s="55">
        <v>220357000</v>
      </c>
      <c r="AA17" s="55">
        <v>2946289434.0999999</v>
      </c>
      <c r="AB17" s="56">
        <v>2600000</v>
      </c>
      <c r="AC17" s="56">
        <v>6975000</v>
      </c>
      <c r="AD17" s="56">
        <v>159934</v>
      </c>
      <c r="AE17" s="56">
        <v>2194803</v>
      </c>
      <c r="AF17" s="56">
        <v>14450695</v>
      </c>
      <c r="AG17" s="55">
        <v>4314967894</v>
      </c>
      <c r="AH17" s="55">
        <v>3377708932.9200001</v>
      </c>
      <c r="AI17" s="55">
        <v>3808674492</v>
      </c>
      <c r="AJ17" s="55">
        <v>615840</v>
      </c>
      <c r="AK17" s="15"/>
    </row>
    <row r="18" spans="1:37" ht="15.75" customHeight="1" x14ac:dyDescent="0.25">
      <c r="A18" s="13">
        <v>46049</v>
      </c>
      <c r="B18" s="56">
        <v>1435</v>
      </c>
      <c r="C18" s="55">
        <v>0</v>
      </c>
      <c r="D18" s="55">
        <v>21598493.559999999</v>
      </c>
      <c r="E18" s="55">
        <v>63357361.978</v>
      </c>
      <c r="F18" s="55">
        <v>0</v>
      </c>
      <c r="G18" s="55">
        <v>7831332.1200000001</v>
      </c>
      <c r="H18" s="55">
        <v>2143000</v>
      </c>
      <c r="I18" s="55">
        <v>1192572236</v>
      </c>
      <c r="J18" s="55">
        <v>194500000</v>
      </c>
      <c r="K18" s="55">
        <v>0</v>
      </c>
      <c r="L18" s="55">
        <v>9187620</v>
      </c>
      <c r="M18" s="55">
        <v>0</v>
      </c>
      <c r="N18" s="55">
        <v>0</v>
      </c>
      <c r="O18" s="55">
        <v>0</v>
      </c>
      <c r="P18" s="55">
        <v>0</v>
      </c>
      <c r="Q18" s="55">
        <v>3600000</v>
      </c>
      <c r="R18" s="55">
        <v>0</v>
      </c>
      <c r="S18" s="55">
        <v>0</v>
      </c>
      <c r="T18" s="55">
        <v>14506818</v>
      </c>
      <c r="U18" s="55">
        <v>110000000</v>
      </c>
      <c r="V18" s="55">
        <v>0</v>
      </c>
      <c r="W18" s="55">
        <v>0</v>
      </c>
      <c r="X18" s="55">
        <v>1366580164</v>
      </c>
      <c r="Y18" s="55">
        <v>625397941</v>
      </c>
      <c r="Z18" s="55">
        <v>220357000</v>
      </c>
      <c r="AA18" s="55">
        <v>2348072514</v>
      </c>
      <c r="AB18" s="56">
        <v>2600000</v>
      </c>
      <c r="AC18" s="56">
        <v>8975000</v>
      </c>
      <c r="AD18" s="56">
        <v>159934</v>
      </c>
      <c r="AE18" s="56">
        <v>2194803</v>
      </c>
      <c r="AF18" s="56">
        <v>14131936</v>
      </c>
      <c r="AG18" s="55">
        <v>4314967894</v>
      </c>
      <c r="AH18" s="55">
        <v>3131216981.9000001</v>
      </c>
      <c r="AI18" s="55">
        <v>3827344465</v>
      </c>
      <c r="AJ18" s="55">
        <v>2822528351.6399999</v>
      </c>
      <c r="AK18" s="15"/>
    </row>
    <row r="19" spans="1:37" ht="15.75" customHeight="1" x14ac:dyDescent="0.25">
      <c r="A19" s="13">
        <v>46050</v>
      </c>
      <c r="B19" s="56">
        <v>1437</v>
      </c>
      <c r="C19" s="55">
        <v>0</v>
      </c>
      <c r="D19" s="55">
        <v>223072014.13999999</v>
      </c>
      <c r="E19" s="55">
        <v>98803000</v>
      </c>
      <c r="F19" s="55">
        <v>0</v>
      </c>
      <c r="G19" s="55">
        <v>7648485.5599999996</v>
      </c>
      <c r="H19" s="55">
        <v>2143000</v>
      </c>
      <c r="I19" s="55">
        <v>985649251.25999999</v>
      </c>
      <c r="J19" s="55">
        <v>129244842</v>
      </c>
      <c r="K19" s="55">
        <v>0</v>
      </c>
      <c r="L19" s="55">
        <v>33343638</v>
      </c>
      <c r="M19" s="55">
        <v>0</v>
      </c>
      <c r="N19" s="55">
        <v>0</v>
      </c>
      <c r="O19" s="55">
        <v>0</v>
      </c>
      <c r="P19" s="55">
        <v>0</v>
      </c>
      <c r="Q19" s="55">
        <v>50977092</v>
      </c>
      <c r="R19" s="55">
        <v>0</v>
      </c>
      <c r="S19" s="55">
        <v>0</v>
      </c>
      <c r="T19" s="55">
        <v>3864000</v>
      </c>
      <c r="U19" s="55">
        <v>0</v>
      </c>
      <c r="V19" s="55">
        <v>0</v>
      </c>
      <c r="W19" s="55">
        <v>0</v>
      </c>
      <c r="X19" s="55">
        <v>1292174715.8800001</v>
      </c>
      <c r="Y19" s="55">
        <v>697178747</v>
      </c>
      <c r="Z19" s="55">
        <v>220357000</v>
      </c>
      <c r="AA19" s="55">
        <v>2785575928</v>
      </c>
      <c r="AB19" s="56">
        <v>2600000</v>
      </c>
      <c r="AC19" s="56">
        <v>7975000</v>
      </c>
      <c r="AD19" s="56">
        <v>159934</v>
      </c>
      <c r="AE19" s="56">
        <v>2194803</v>
      </c>
      <c r="AF19" s="56">
        <v>14827729</v>
      </c>
      <c r="AG19" s="55">
        <v>4314967894</v>
      </c>
      <c r="AH19" s="55">
        <v>2799280311</v>
      </c>
      <c r="AI19" s="55">
        <v>4226717076</v>
      </c>
      <c r="AJ19" s="55">
        <v>1487066027.5899999</v>
      </c>
      <c r="AK19" s="15"/>
    </row>
    <row r="20" spans="1:37" ht="15.75" customHeight="1" x14ac:dyDescent="0.25">
      <c r="A20" s="13">
        <v>46051</v>
      </c>
      <c r="B20" s="56">
        <v>1437</v>
      </c>
      <c r="C20" s="55">
        <v>0</v>
      </c>
      <c r="D20" s="55">
        <v>223072014.13999999</v>
      </c>
      <c r="E20" s="55">
        <v>33207000</v>
      </c>
      <c r="F20" s="55">
        <v>0</v>
      </c>
      <c r="G20" s="55">
        <v>7613526.4500000002</v>
      </c>
      <c r="H20" s="55">
        <v>2143000</v>
      </c>
      <c r="I20" s="55">
        <v>964224603.60000002</v>
      </c>
      <c r="J20" s="55">
        <v>73947517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17000000</v>
      </c>
      <c r="R20" s="55">
        <v>260000</v>
      </c>
      <c r="S20" s="55">
        <v>0</v>
      </c>
      <c r="T20" s="55">
        <v>0</v>
      </c>
      <c r="U20" s="55">
        <v>0</v>
      </c>
      <c r="V20" s="55">
        <v>0</v>
      </c>
      <c r="W20" s="55">
        <v>0</v>
      </c>
      <c r="X20" s="55">
        <v>1094847541</v>
      </c>
      <c r="Y20" s="55">
        <v>690113410</v>
      </c>
      <c r="Z20" s="55">
        <v>220357000</v>
      </c>
      <c r="AA20" s="55">
        <v>2876937776.6199999</v>
      </c>
      <c r="AB20" s="56">
        <v>2600000</v>
      </c>
      <c r="AC20" s="56">
        <v>7975000</v>
      </c>
      <c r="AD20" s="56">
        <v>159934</v>
      </c>
      <c r="AE20" s="56">
        <v>2194803</v>
      </c>
      <c r="AF20" s="56">
        <v>17819584.093499999</v>
      </c>
      <c r="AG20" s="55">
        <v>4314967894</v>
      </c>
      <c r="AH20" s="55">
        <v>3067941831</v>
      </c>
      <c r="AI20" s="55">
        <v>5846274993</v>
      </c>
      <c r="AJ20" s="55">
        <v>1379229325.1900001</v>
      </c>
      <c r="AK20" s="15"/>
    </row>
    <row r="21" spans="1:37" ht="15.75" customHeight="1" x14ac:dyDescent="0.25">
      <c r="A21" s="13">
        <v>46052</v>
      </c>
      <c r="B21" s="56">
        <v>1443</v>
      </c>
      <c r="C21" s="55">
        <v>0</v>
      </c>
      <c r="D21" s="55">
        <v>223072014</v>
      </c>
      <c r="E21" s="55">
        <v>380315000</v>
      </c>
      <c r="F21" s="55">
        <v>0</v>
      </c>
      <c r="G21" s="55">
        <v>6785000</v>
      </c>
      <c r="H21" s="55">
        <v>1553000</v>
      </c>
      <c r="I21" s="55">
        <v>810455502</v>
      </c>
      <c r="J21" s="55">
        <v>291486000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2433260</v>
      </c>
      <c r="Q21" s="55">
        <v>99600000</v>
      </c>
      <c r="R21" s="55">
        <v>0</v>
      </c>
      <c r="S21" s="55">
        <v>0</v>
      </c>
      <c r="T21" s="55">
        <v>14346000</v>
      </c>
      <c r="U21" s="55">
        <v>0</v>
      </c>
      <c r="V21" s="55">
        <v>0</v>
      </c>
      <c r="W21" s="55">
        <v>0</v>
      </c>
      <c r="X21" s="55">
        <v>962573839.13999999</v>
      </c>
      <c r="Y21" s="55">
        <v>3536632120</v>
      </c>
      <c r="Z21" s="55">
        <v>220357000</v>
      </c>
      <c r="AA21" s="55">
        <v>2957288505</v>
      </c>
      <c r="AB21" s="56">
        <v>2600000</v>
      </c>
      <c r="AC21" s="56">
        <v>7000000</v>
      </c>
      <c r="AD21" s="56">
        <v>159934</v>
      </c>
      <c r="AE21" s="56">
        <v>340000</v>
      </c>
      <c r="AF21" s="56">
        <v>18426332</v>
      </c>
      <c r="AG21" s="55">
        <v>4314967894</v>
      </c>
      <c r="AH21" s="55">
        <v>2981995708</v>
      </c>
      <c r="AI21" s="55">
        <v>4017095550</v>
      </c>
      <c r="AJ21" s="55">
        <v>0</v>
      </c>
      <c r="AK21" s="15"/>
    </row>
    <row r="22" spans="1:37" ht="15.75" customHeight="1" x14ac:dyDescent="0.25">
      <c r="A22" s="13">
        <v>46055</v>
      </c>
      <c r="B22" s="56">
        <v>1444</v>
      </c>
      <c r="C22" s="55">
        <v>0</v>
      </c>
      <c r="D22" s="55">
        <v>252012755</v>
      </c>
      <c r="E22" s="55">
        <v>113034969</v>
      </c>
      <c r="F22" s="55">
        <v>0</v>
      </c>
      <c r="G22" s="55">
        <v>5059607</v>
      </c>
      <c r="H22" s="55">
        <v>1551000</v>
      </c>
      <c r="I22" s="55">
        <v>885303260</v>
      </c>
      <c r="J22" s="55">
        <v>130714631</v>
      </c>
      <c r="K22" s="55">
        <v>0</v>
      </c>
      <c r="L22" s="55">
        <v>55360166</v>
      </c>
      <c r="M22" s="55">
        <v>0</v>
      </c>
      <c r="N22" s="55">
        <v>0</v>
      </c>
      <c r="O22" s="55">
        <v>0</v>
      </c>
      <c r="P22" s="55">
        <v>0</v>
      </c>
      <c r="Q22" s="55">
        <v>46139128</v>
      </c>
      <c r="R22" s="55">
        <v>0</v>
      </c>
      <c r="S22" s="55">
        <v>0</v>
      </c>
      <c r="T22" s="55">
        <v>0</v>
      </c>
      <c r="U22" s="55">
        <v>0</v>
      </c>
      <c r="V22" s="55">
        <v>0</v>
      </c>
      <c r="W22" s="55">
        <v>0</v>
      </c>
      <c r="X22" s="55">
        <v>706893555</v>
      </c>
      <c r="Y22" s="55">
        <v>3524579436</v>
      </c>
      <c r="Z22" s="55">
        <v>214477560.11614999</v>
      </c>
      <c r="AA22" s="55">
        <v>3133277362</v>
      </c>
      <c r="AB22" s="56">
        <v>2600000</v>
      </c>
      <c r="AC22" s="56">
        <v>7000000</v>
      </c>
      <c r="AD22" s="56">
        <v>159934</v>
      </c>
      <c r="AE22" s="56">
        <v>2194803</v>
      </c>
      <c r="AF22" s="56">
        <v>20143331</v>
      </c>
      <c r="AG22" s="55">
        <v>4314967894</v>
      </c>
      <c r="AH22" s="55">
        <v>4342932524</v>
      </c>
      <c r="AI22" s="55">
        <v>4476960272</v>
      </c>
      <c r="AJ22" s="55">
        <v>0</v>
      </c>
      <c r="AK22" s="15"/>
    </row>
    <row r="23" spans="1:37" ht="15.75" customHeight="1" x14ac:dyDescent="0.25">
      <c r="A23" s="13">
        <v>46056</v>
      </c>
      <c r="B23" s="56">
        <v>1447</v>
      </c>
      <c r="C23" s="55">
        <v>0</v>
      </c>
      <c r="D23" s="55">
        <v>289560308.57999998</v>
      </c>
      <c r="E23" s="55">
        <v>56664237.909999996</v>
      </c>
      <c r="F23" s="55">
        <v>0</v>
      </c>
      <c r="G23" s="55">
        <v>5023804</v>
      </c>
      <c r="H23" s="55">
        <v>1551000</v>
      </c>
      <c r="I23" s="55">
        <v>1011518184</v>
      </c>
      <c r="J23" s="55">
        <v>152811655</v>
      </c>
      <c r="K23" s="55">
        <v>0</v>
      </c>
      <c r="L23" s="55">
        <v>5216923</v>
      </c>
      <c r="M23" s="55">
        <v>0</v>
      </c>
      <c r="N23" s="55">
        <v>0</v>
      </c>
      <c r="O23" s="55">
        <v>0</v>
      </c>
      <c r="P23" s="55">
        <v>12273664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416780127</v>
      </c>
      <c r="Y23" s="55">
        <v>3522362513</v>
      </c>
      <c r="Z23" s="55">
        <v>214477560.11614999</v>
      </c>
      <c r="AA23" s="55">
        <v>3116732200</v>
      </c>
      <c r="AB23" s="56">
        <v>2600000</v>
      </c>
      <c r="AC23" s="56">
        <v>7000000</v>
      </c>
      <c r="AD23" s="56">
        <v>159934</v>
      </c>
      <c r="AE23" s="56">
        <v>2194803</v>
      </c>
      <c r="AF23" s="56">
        <v>18381717</v>
      </c>
      <c r="AG23" s="55">
        <v>4314967894</v>
      </c>
      <c r="AH23" s="55">
        <v>4202886744</v>
      </c>
      <c r="AI23" s="55">
        <v>4486261436</v>
      </c>
      <c r="AJ23" s="55">
        <v>0</v>
      </c>
      <c r="AK23" s="15"/>
    </row>
    <row r="24" spans="1:37" ht="15.75" customHeight="1" x14ac:dyDescent="0.25">
      <c r="A24" s="13">
        <v>46057</v>
      </c>
      <c r="B24" s="56">
        <v>1444</v>
      </c>
      <c r="C24" s="55">
        <v>0</v>
      </c>
      <c r="D24" s="55">
        <v>256839729</v>
      </c>
      <c r="E24" s="55">
        <v>51206465</v>
      </c>
      <c r="F24" s="55">
        <v>0</v>
      </c>
      <c r="G24" s="55">
        <v>7177357</v>
      </c>
      <c r="H24" s="55">
        <v>1551000</v>
      </c>
      <c r="I24" s="55">
        <v>992210152</v>
      </c>
      <c r="J24" s="55">
        <v>5345000</v>
      </c>
      <c r="K24" s="55">
        <v>0</v>
      </c>
      <c r="L24" s="55">
        <v>33970959</v>
      </c>
      <c r="M24" s="55">
        <v>0</v>
      </c>
      <c r="N24" s="55">
        <v>0</v>
      </c>
      <c r="O24" s="55">
        <v>0</v>
      </c>
      <c r="P24" s="55">
        <v>0</v>
      </c>
      <c r="Q24" s="55">
        <v>26200000</v>
      </c>
      <c r="R24" s="55">
        <v>0</v>
      </c>
      <c r="S24" s="55">
        <v>0</v>
      </c>
      <c r="T24" s="55">
        <v>0</v>
      </c>
      <c r="U24" s="55">
        <v>160000000</v>
      </c>
      <c r="V24" s="55">
        <v>0</v>
      </c>
      <c r="W24" s="55">
        <v>0</v>
      </c>
      <c r="X24" s="55">
        <v>438934452</v>
      </c>
      <c r="Y24" s="55">
        <v>3447658413</v>
      </c>
      <c r="Z24" s="55">
        <v>214477560.11614999</v>
      </c>
      <c r="AA24" s="55">
        <v>3165176592</v>
      </c>
      <c r="AB24" s="56">
        <v>2600000</v>
      </c>
      <c r="AC24" s="56">
        <v>7000000</v>
      </c>
      <c r="AD24" s="56">
        <v>159934</v>
      </c>
      <c r="AE24" s="56">
        <v>2194803</v>
      </c>
      <c r="AF24" s="56">
        <v>15968160</v>
      </c>
      <c r="AG24" s="55">
        <v>4314967894</v>
      </c>
      <c r="AH24" s="55">
        <v>4914658332</v>
      </c>
      <c r="AI24" s="55">
        <v>4173773700</v>
      </c>
      <c r="AJ24" s="55">
        <v>0</v>
      </c>
      <c r="AK24" s="15"/>
    </row>
    <row r="25" spans="1:37" ht="15.75" customHeight="1" x14ac:dyDescent="0.25">
      <c r="A25" s="13">
        <v>46058</v>
      </c>
      <c r="B25" s="56">
        <v>1444.5</v>
      </c>
      <c r="C25" s="55">
        <v>0</v>
      </c>
      <c r="D25" s="55">
        <v>320945719.27999997</v>
      </c>
      <c r="E25" s="55">
        <v>11279310.41</v>
      </c>
      <c r="F25" s="55">
        <v>0</v>
      </c>
      <c r="G25" s="55">
        <v>7035000</v>
      </c>
      <c r="H25" s="55">
        <v>0</v>
      </c>
      <c r="I25" s="55">
        <v>927364812</v>
      </c>
      <c r="J25" s="55">
        <v>39500000</v>
      </c>
      <c r="K25" s="55">
        <v>0</v>
      </c>
      <c r="L25" s="55">
        <v>1370000</v>
      </c>
      <c r="M25" s="55">
        <v>0</v>
      </c>
      <c r="N25" s="55">
        <v>0</v>
      </c>
      <c r="O25" s="55">
        <v>0</v>
      </c>
      <c r="P25" s="55">
        <v>4485303</v>
      </c>
      <c r="Q25" s="55">
        <v>324204358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454796478</v>
      </c>
      <c r="Y25" s="55">
        <v>3020651934</v>
      </c>
      <c r="Z25" s="55">
        <v>214477560.11614999</v>
      </c>
      <c r="AA25" s="55">
        <v>3207730808.8299999</v>
      </c>
      <c r="AB25" s="56">
        <v>2600000</v>
      </c>
      <c r="AC25" s="56">
        <v>7000000</v>
      </c>
      <c r="AD25" s="56">
        <v>159934</v>
      </c>
      <c r="AE25" s="56">
        <v>2194803</v>
      </c>
      <c r="AF25" s="56">
        <v>17519790.008900002</v>
      </c>
      <c r="AG25" s="55">
        <v>4314967894</v>
      </c>
      <c r="AH25" s="55">
        <v>5096658066.6599998</v>
      </c>
      <c r="AI25" s="55">
        <v>4040751852</v>
      </c>
      <c r="AJ25" s="55">
        <v>0</v>
      </c>
      <c r="AK25" s="15"/>
    </row>
    <row r="26" spans="1:37" ht="15.75" customHeight="1" x14ac:dyDescent="0.25">
      <c r="A26" s="13">
        <v>46059</v>
      </c>
      <c r="B26" s="56">
        <v>1444.5</v>
      </c>
      <c r="C26" s="55">
        <v>0</v>
      </c>
      <c r="D26" s="55">
        <v>367721375</v>
      </c>
      <c r="E26" s="55">
        <v>91488275.230000004</v>
      </c>
      <c r="F26" s="55">
        <v>0</v>
      </c>
      <c r="G26" s="55">
        <v>5023000</v>
      </c>
      <c r="H26" s="55">
        <v>0</v>
      </c>
      <c r="I26" s="55">
        <v>936468481.95000005</v>
      </c>
      <c r="J26" s="55">
        <v>180790748.56</v>
      </c>
      <c r="K26" s="55">
        <v>0</v>
      </c>
      <c r="L26" s="55">
        <v>910000</v>
      </c>
      <c r="M26" s="55">
        <v>0</v>
      </c>
      <c r="N26" s="55">
        <v>0</v>
      </c>
      <c r="O26" s="55">
        <v>0</v>
      </c>
      <c r="P26" s="55">
        <v>0</v>
      </c>
      <c r="Q26" s="55">
        <v>234774657</v>
      </c>
      <c r="R26" s="55">
        <v>0</v>
      </c>
      <c r="S26" s="55">
        <v>820000</v>
      </c>
      <c r="T26" s="55">
        <v>0</v>
      </c>
      <c r="U26" s="55">
        <v>0</v>
      </c>
      <c r="V26" s="55">
        <v>0</v>
      </c>
      <c r="W26" s="55">
        <v>0</v>
      </c>
      <c r="X26" s="55">
        <v>674592454.94000006</v>
      </c>
      <c r="Y26" s="55">
        <v>2784376363</v>
      </c>
      <c r="Z26" s="55">
        <v>214477560.11614999</v>
      </c>
      <c r="AA26" s="55">
        <v>2925341786</v>
      </c>
      <c r="AB26" s="56">
        <v>2600000</v>
      </c>
      <c r="AC26" s="56">
        <v>7000000</v>
      </c>
      <c r="AD26" s="56">
        <v>159934</v>
      </c>
      <c r="AE26" s="56">
        <v>2194803</v>
      </c>
      <c r="AF26" s="56">
        <v>18502771.1349</v>
      </c>
      <c r="AG26" s="55">
        <v>4314967894</v>
      </c>
      <c r="AH26" s="55">
        <v>5435993073.0600004</v>
      </c>
      <c r="AI26" s="55">
        <v>4040751852</v>
      </c>
      <c r="AJ26" s="55">
        <v>0</v>
      </c>
      <c r="AK26" s="15"/>
    </row>
    <row r="27" spans="1:37" ht="15.75" customHeight="1" x14ac:dyDescent="0.25">
      <c r="A27" s="13">
        <v>46062</v>
      </c>
      <c r="B27" s="56">
        <v>1420</v>
      </c>
      <c r="C27" s="55">
        <v>0</v>
      </c>
      <c r="D27" s="55">
        <v>367721375.77999997</v>
      </c>
      <c r="E27" s="55">
        <v>131584000</v>
      </c>
      <c r="F27" s="55">
        <v>0</v>
      </c>
      <c r="G27" s="55">
        <v>7870000</v>
      </c>
      <c r="H27" s="55">
        <v>3162000</v>
      </c>
      <c r="I27" s="55">
        <v>936468481.95000005</v>
      </c>
      <c r="J27" s="55">
        <v>57538516.460000001</v>
      </c>
      <c r="K27" s="55">
        <v>0</v>
      </c>
      <c r="L27" s="55">
        <v>2011060</v>
      </c>
      <c r="M27" s="55">
        <v>0</v>
      </c>
      <c r="N27" s="55">
        <v>0</v>
      </c>
      <c r="O27" s="55">
        <v>5208938</v>
      </c>
      <c r="P27" s="55">
        <v>80444176</v>
      </c>
      <c r="Q27" s="55">
        <v>8740000</v>
      </c>
      <c r="R27" s="55">
        <v>0</v>
      </c>
      <c r="S27" s="55">
        <v>0</v>
      </c>
      <c r="T27" s="55">
        <v>0</v>
      </c>
      <c r="U27" s="55">
        <v>0</v>
      </c>
      <c r="V27" s="55">
        <v>0</v>
      </c>
      <c r="W27" s="55">
        <v>0</v>
      </c>
      <c r="X27" s="55">
        <v>721916440</v>
      </c>
      <c r="Y27" s="55">
        <v>2024911920</v>
      </c>
      <c r="Z27" s="55">
        <v>214477560.11614999</v>
      </c>
      <c r="AA27" s="55">
        <v>2876463440</v>
      </c>
      <c r="AB27" s="56">
        <v>2600000</v>
      </c>
      <c r="AC27" s="56">
        <v>7000000</v>
      </c>
      <c r="AD27" s="56">
        <v>159934</v>
      </c>
      <c r="AE27" s="56">
        <v>340000</v>
      </c>
      <c r="AF27" s="56">
        <v>17415153.775899999</v>
      </c>
      <c r="AG27" s="55">
        <v>4314967894</v>
      </c>
      <c r="AH27" s="55">
        <v>5576187293.1999998</v>
      </c>
      <c r="AI27" s="55">
        <v>4754093260</v>
      </c>
      <c r="AJ27" s="55">
        <v>0</v>
      </c>
      <c r="AK27" s="15"/>
    </row>
    <row r="28" spans="1:37" ht="15.75" customHeight="1" x14ac:dyDescent="0.25">
      <c r="A28" s="13">
        <v>46063</v>
      </c>
      <c r="B28" s="56">
        <v>1424</v>
      </c>
      <c r="C28" s="55">
        <v>0</v>
      </c>
      <c r="D28" s="55">
        <v>250860342.03</v>
      </c>
      <c r="E28" s="55">
        <v>148910080</v>
      </c>
      <c r="F28" s="55">
        <v>0</v>
      </c>
      <c r="G28" s="55">
        <v>7870000</v>
      </c>
      <c r="H28" s="55">
        <v>1837000</v>
      </c>
      <c r="I28" s="55">
        <v>1085878106</v>
      </c>
      <c r="J28" s="55">
        <v>53000000</v>
      </c>
      <c r="K28" s="55">
        <v>86098436</v>
      </c>
      <c r="L28" s="55">
        <v>10562189</v>
      </c>
      <c r="M28" s="55">
        <v>0</v>
      </c>
      <c r="N28" s="55">
        <v>0</v>
      </c>
      <c r="O28" s="55">
        <v>0</v>
      </c>
      <c r="P28" s="55">
        <v>39373808</v>
      </c>
      <c r="Q28" s="55">
        <v>144828097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</v>
      </c>
      <c r="X28" s="55">
        <v>720500835</v>
      </c>
      <c r="Y28" s="55">
        <v>1737786590</v>
      </c>
      <c r="Z28" s="55">
        <v>214477560.11614999</v>
      </c>
      <c r="AA28" s="55">
        <v>2876463440</v>
      </c>
      <c r="AB28" s="56">
        <v>2600000</v>
      </c>
      <c r="AC28" s="56">
        <v>7000000</v>
      </c>
      <c r="AD28" s="56">
        <v>159934</v>
      </c>
      <c r="AE28" s="56">
        <v>340000</v>
      </c>
      <c r="AF28" s="56">
        <v>16586630.9059</v>
      </c>
      <c r="AG28" s="55">
        <v>4314967894</v>
      </c>
      <c r="AH28" s="55">
        <v>5145348427.5200005</v>
      </c>
      <c r="AI28" s="55">
        <v>4487293136</v>
      </c>
      <c r="AJ28" s="55">
        <v>0</v>
      </c>
      <c r="AK28" s="15"/>
    </row>
    <row r="29" spans="1:37" ht="15.75" customHeight="1" x14ac:dyDescent="0.25">
      <c r="A29" s="13">
        <v>46064</v>
      </c>
      <c r="B29" s="56">
        <v>1401</v>
      </c>
      <c r="C29" s="55">
        <v>0</v>
      </c>
      <c r="D29" s="55">
        <v>412962529.63</v>
      </c>
      <c r="E29" s="55">
        <v>75857335.900000006</v>
      </c>
      <c r="F29" s="55">
        <v>0</v>
      </c>
      <c r="G29" s="55">
        <v>25974420</v>
      </c>
      <c r="H29" s="55">
        <v>1837000</v>
      </c>
      <c r="I29" s="55">
        <v>1085878106</v>
      </c>
      <c r="J29" s="55">
        <v>36252671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303297684</v>
      </c>
      <c r="R29" s="55">
        <v>0</v>
      </c>
      <c r="S29" s="55">
        <v>0</v>
      </c>
      <c r="T29" s="55">
        <v>6357800</v>
      </c>
      <c r="U29" s="55">
        <v>0</v>
      </c>
      <c r="V29" s="55">
        <v>0</v>
      </c>
      <c r="W29" s="55">
        <v>0</v>
      </c>
      <c r="X29" s="55">
        <v>757496514</v>
      </c>
      <c r="Y29" s="55">
        <v>1431349255</v>
      </c>
      <c r="Z29" s="55">
        <v>214477560.11614999</v>
      </c>
      <c r="AA29" s="55">
        <v>2711962132.23</v>
      </c>
      <c r="AB29" s="56">
        <v>1891000</v>
      </c>
      <c r="AC29" s="56">
        <v>7000000</v>
      </c>
      <c r="AD29" s="56">
        <v>159934</v>
      </c>
      <c r="AE29" s="56">
        <v>340000</v>
      </c>
      <c r="AF29" s="56">
        <v>19341120.947900001</v>
      </c>
      <c r="AG29" s="55">
        <v>4314967894</v>
      </c>
      <c r="AH29" s="55">
        <v>5182685087.5799999</v>
      </c>
      <c r="AI29" s="55">
        <v>4414815789</v>
      </c>
      <c r="AJ29" s="55">
        <v>0</v>
      </c>
      <c r="AK29" s="15"/>
    </row>
    <row r="30" spans="1:37" ht="15.75" customHeight="1" x14ac:dyDescent="0.25">
      <c r="A30" s="13">
        <v>46065</v>
      </c>
      <c r="B30" s="56">
        <v>1397</v>
      </c>
      <c r="C30" s="55">
        <v>0</v>
      </c>
      <c r="D30" s="55">
        <v>293776490</v>
      </c>
      <c r="E30" s="55">
        <v>14988736.300000001</v>
      </c>
      <c r="F30" s="55">
        <v>0</v>
      </c>
      <c r="G30" s="55">
        <v>84253263</v>
      </c>
      <c r="H30" s="55">
        <v>3592000</v>
      </c>
      <c r="I30" s="55">
        <v>1044507436.3</v>
      </c>
      <c r="J30" s="55">
        <v>121070139</v>
      </c>
      <c r="K30" s="55">
        <v>0</v>
      </c>
      <c r="L30" s="55">
        <v>0</v>
      </c>
      <c r="M30" s="55">
        <v>0</v>
      </c>
      <c r="N30" s="55">
        <v>0</v>
      </c>
      <c r="O30" s="55">
        <v>0</v>
      </c>
      <c r="P30" s="55">
        <v>0</v>
      </c>
      <c r="Q30" s="55">
        <v>163646918</v>
      </c>
      <c r="R30" s="55">
        <v>196000</v>
      </c>
      <c r="S30" s="55">
        <v>0</v>
      </c>
      <c r="T30" s="55">
        <v>44183000</v>
      </c>
      <c r="U30" s="55">
        <v>217500000</v>
      </c>
      <c r="V30" s="55">
        <v>0</v>
      </c>
      <c r="W30" s="55">
        <v>0</v>
      </c>
      <c r="X30" s="55">
        <v>876190197</v>
      </c>
      <c r="Y30" s="55">
        <v>1326635250</v>
      </c>
      <c r="Z30" s="55">
        <v>214477560.11614999</v>
      </c>
      <c r="AA30" s="55">
        <v>3033457515</v>
      </c>
      <c r="AB30" s="56">
        <v>1891000</v>
      </c>
      <c r="AC30" s="56">
        <v>7000000</v>
      </c>
      <c r="AD30" s="56">
        <v>159934</v>
      </c>
      <c r="AE30" s="56">
        <v>340000</v>
      </c>
      <c r="AF30" s="56">
        <v>20968249.771899998</v>
      </c>
      <c r="AG30" s="55">
        <v>4314967894</v>
      </c>
      <c r="AH30" s="55">
        <v>5060995622.21</v>
      </c>
      <c r="AI30" s="55">
        <v>4871410247</v>
      </c>
      <c r="AJ30" s="55">
        <v>0</v>
      </c>
      <c r="AK30" s="15"/>
    </row>
    <row r="31" spans="1:37" ht="15.75" customHeight="1" x14ac:dyDescent="0.25">
      <c r="A31" s="13">
        <v>46066</v>
      </c>
      <c r="B31" s="56">
        <v>1390</v>
      </c>
      <c r="C31" s="55">
        <v>0</v>
      </c>
      <c r="D31" s="55">
        <v>370086639</v>
      </c>
      <c r="E31" s="55">
        <v>303102290.5</v>
      </c>
      <c r="F31" s="55">
        <v>0</v>
      </c>
      <c r="G31" s="55">
        <v>13209512</v>
      </c>
      <c r="H31" s="55">
        <v>3592000</v>
      </c>
      <c r="I31" s="55">
        <v>1029555798.8</v>
      </c>
      <c r="J31" s="55">
        <v>253863807</v>
      </c>
      <c r="K31" s="55">
        <v>0</v>
      </c>
      <c r="L31" s="55">
        <v>15597130</v>
      </c>
      <c r="M31" s="55">
        <v>0</v>
      </c>
      <c r="N31" s="55">
        <v>0</v>
      </c>
      <c r="O31" s="55">
        <v>0</v>
      </c>
      <c r="P31" s="55">
        <v>2695066</v>
      </c>
      <c r="Q31" s="55">
        <v>296267289</v>
      </c>
      <c r="R31" s="55">
        <v>0</v>
      </c>
      <c r="S31" s="55">
        <v>0</v>
      </c>
      <c r="T31" s="55">
        <v>3407600</v>
      </c>
      <c r="U31" s="55">
        <v>0</v>
      </c>
      <c r="V31" s="55">
        <v>0</v>
      </c>
      <c r="W31" s="55">
        <v>0</v>
      </c>
      <c r="X31" s="55">
        <v>619794022</v>
      </c>
      <c r="Y31" s="55">
        <v>890074006</v>
      </c>
      <c r="Z31" s="55">
        <v>214477560.11614999</v>
      </c>
      <c r="AA31" s="55">
        <v>3377991458</v>
      </c>
      <c r="AB31" s="56">
        <v>1891000</v>
      </c>
      <c r="AC31" s="56">
        <v>7000000</v>
      </c>
      <c r="AD31" s="56">
        <v>159934</v>
      </c>
      <c r="AE31" s="56">
        <v>340000</v>
      </c>
      <c r="AF31" s="56">
        <v>21569863.229899999</v>
      </c>
      <c r="AG31" s="55">
        <v>4314967894</v>
      </c>
      <c r="AH31" s="55">
        <v>4400949862.1999998</v>
      </c>
      <c r="AI31" s="55">
        <v>4847000890</v>
      </c>
      <c r="AJ31" s="55">
        <v>0</v>
      </c>
      <c r="AK31" s="15"/>
    </row>
    <row r="32" spans="1:37" ht="15.75" customHeight="1" x14ac:dyDescent="0.25">
      <c r="A32" s="13">
        <v>46071</v>
      </c>
      <c r="B32" s="56">
        <v>1392</v>
      </c>
      <c r="C32" s="55">
        <v>0</v>
      </c>
      <c r="D32" s="55">
        <v>199109312.43000001</v>
      </c>
      <c r="E32" s="55">
        <v>144835038</v>
      </c>
      <c r="F32" s="55">
        <v>0</v>
      </c>
      <c r="G32" s="55">
        <v>0</v>
      </c>
      <c r="H32" s="55">
        <v>8738000</v>
      </c>
      <c r="I32" s="55">
        <v>948986533</v>
      </c>
      <c r="J32" s="55">
        <v>186793349</v>
      </c>
      <c r="K32" s="55">
        <v>0</v>
      </c>
      <c r="L32" s="55">
        <v>86625124</v>
      </c>
      <c r="M32" s="55">
        <v>0</v>
      </c>
      <c r="N32" s="55">
        <v>0</v>
      </c>
      <c r="O32" s="55">
        <v>0</v>
      </c>
      <c r="P32" s="55">
        <v>161197972</v>
      </c>
      <c r="Q32" s="55">
        <v>33591907</v>
      </c>
      <c r="R32" s="55">
        <v>0</v>
      </c>
      <c r="S32" s="55">
        <v>0</v>
      </c>
      <c r="T32" s="55">
        <v>0</v>
      </c>
      <c r="U32" s="55">
        <v>0</v>
      </c>
      <c r="V32" s="55">
        <v>0</v>
      </c>
      <c r="W32" s="55">
        <v>0</v>
      </c>
      <c r="X32" s="55">
        <v>835051875</v>
      </c>
      <c r="Y32" s="55">
        <v>867784665</v>
      </c>
      <c r="Z32" s="55">
        <v>214477560.11614999</v>
      </c>
      <c r="AA32" s="55">
        <v>3005364474</v>
      </c>
      <c r="AB32" s="56">
        <v>2069775.5603799999</v>
      </c>
      <c r="AC32" s="56">
        <v>7000000</v>
      </c>
      <c r="AD32" s="56">
        <v>159934</v>
      </c>
      <c r="AE32" s="56">
        <v>160000</v>
      </c>
      <c r="AF32" s="56">
        <v>25001268.1459</v>
      </c>
      <c r="AG32" s="55">
        <v>4314967894</v>
      </c>
      <c r="AH32" s="55">
        <v>4176337671.3600001</v>
      </c>
      <c r="AI32" s="55">
        <v>4780591536</v>
      </c>
      <c r="AJ32" s="55">
        <v>0</v>
      </c>
      <c r="AK32" s="15"/>
    </row>
    <row r="33" spans="1:37" ht="15.75" customHeight="1" x14ac:dyDescent="0.25">
      <c r="A33" s="13">
        <v>46072</v>
      </c>
      <c r="B33" s="56">
        <v>1400</v>
      </c>
      <c r="C33" s="55">
        <v>0</v>
      </c>
      <c r="D33" s="55">
        <v>199109312.43000001</v>
      </c>
      <c r="E33" s="55">
        <v>432170063.72000003</v>
      </c>
      <c r="F33" s="55">
        <v>0</v>
      </c>
      <c r="G33" s="55">
        <v>9203904</v>
      </c>
      <c r="H33" s="55">
        <v>8027000</v>
      </c>
      <c r="I33" s="55">
        <v>948986533</v>
      </c>
      <c r="J33" s="55">
        <v>206806634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2851083</v>
      </c>
      <c r="Q33" s="55">
        <v>169606421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680394629</v>
      </c>
      <c r="Y33" s="55">
        <v>828444868</v>
      </c>
      <c r="Z33" s="55">
        <v>214477560.11614999</v>
      </c>
      <c r="AA33" s="55">
        <v>3088402474</v>
      </c>
      <c r="AB33" s="56">
        <v>2069775.5603799999</v>
      </c>
      <c r="AC33" s="56">
        <v>7000000</v>
      </c>
      <c r="AD33" s="56">
        <v>159934</v>
      </c>
      <c r="AE33" s="56">
        <v>160000</v>
      </c>
      <c r="AF33" s="56">
        <v>24517322.505899999</v>
      </c>
      <c r="AG33" s="55">
        <v>4314967894</v>
      </c>
      <c r="AH33" s="55">
        <v>5044274592</v>
      </c>
      <c r="AI33" s="55">
        <v>4299401400</v>
      </c>
      <c r="AJ33" s="55">
        <v>0</v>
      </c>
      <c r="AK33" s="15"/>
    </row>
    <row r="34" spans="1:37" ht="15.75" customHeight="1" x14ac:dyDescent="0.25">
      <c r="A34" s="13">
        <v>46073</v>
      </c>
      <c r="B34" s="56">
        <v>1400</v>
      </c>
      <c r="C34" s="55">
        <v>0</v>
      </c>
      <c r="D34" s="55">
        <v>237801783</v>
      </c>
      <c r="E34" s="55">
        <v>100111404</v>
      </c>
      <c r="F34" s="55">
        <v>0</v>
      </c>
      <c r="G34" s="55">
        <v>9063066</v>
      </c>
      <c r="H34" s="55">
        <v>8027000</v>
      </c>
      <c r="I34" s="55">
        <v>1072996073</v>
      </c>
      <c r="J34" s="55">
        <v>311844291.68000001</v>
      </c>
      <c r="K34" s="55">
        <v>0</v>
      </c>
      <c r="L34" s="55">
        <v>3414402</v>
      </c>
      <c r="M34" s="55">
        <v>0</v>
      </c>
      <c r="N34" s="55">
        <v>0</v>
      </c>
      <c r="O34" s="55">
        <v>0</v>
      </c>
      <c r="P34" s="55">
        <v>31673245</v>
      </c>
      <c r="Q34" s="55">
        <v>225992533</v>
      </c>
      <c r="R34" s="55">
        <v>99212211</v>
      </c>
      <c r="S34" s="55">
        <v>0</v>
      </c>
      <c r="T34" s="55">
        <v>0</v>
      </c>
      <c r="U34" s="55">
        <v>0</v>
      </c>
      <c r="V34" s="55">
        <v>0</v>
      </c>
      <c r="W34" s="55">
        <v>0</v>
      </c>
      <c r="X34" s="55">
        <v>581961431.82000005</v>
      </c>
      <c r="Y34" s="55">
        <v>508533057</v>
      </c>
      <c r="Z34" s="55">
        <v>214477560.11614999</v>
      </c>
      <c r="AA34" s="55">
        <v>3164986661</v>
      </c>
      <c r="AB34" s="56">
        <v>2069775.5603799999</v>
      </c>
      <c r="AC34" s="56">
        <v>7000000</v>
      </c>
      <c r="AD34" s="56">
        <v>159934</v>
      </c>
      <c r="AE34" s="56">
        <v>160000</v>
      </c>
      <c r="AF34" s="56">
        <v>23952278.835900001</v>
      </c>
      <c r="AG34" s="55">
        <v>4314967894</v>
      </c>
      <c r="AH34" s="55">
        <v>5063733332</v>
      </c>
      <c r="AI34" s="55">
        <v>4299402800</v>
      </c>
      <c r="AJ34" s="55">
        <v>0</v>
      </c>
      <c r="AK34" s="15"/>
    </row>
    <row r="35" spans="1:37" ht="15.75" customHeight="1" x14ac:dyDescent="0.25">
      <c r="A35" s="13">
        <v>46076</v>
      </c>
      <c r="B35" s="56">
        <v>1381</v>
      </c>
      <c r="C35" s="55">
        <v>0</v>
      </c>
      <c r="D35" s="55">
        <v>271127724.37</v>
      </c>
      <c r="E35" s="55">
        <v>109253469</v>
      </c>
      <c r="F35" s="55">
        <v>0</v>
      </c>
      <c r="G35" s="55">
        <v>8330094.5599999996</v>
      </c>
      <c r="H35" s="55">
        <v>1789000</v>
      </c>
      <c r="I35" s="55">
        <v>969499641</v>
      </c>
      <c r="J35" s="55">
        <v>126135705.5</v>
      </c>
      <c r="K35" s="55">
        <v>0</v>
      </c>
      <c r="L35" s="55">
        <v>5088637</v>
      </c>
      <c r="M35" s="55">
        <v>0</v>
      </c>
      <c r="N35" s="55">
        <v>0</v>
      </c>
      <c r="O35" s="55">
        <v>74920045</v>
      </c>
      <c r="P35" s="55">
        <v>10247874</v>
      </c>
      <c r="Q35" s="55">
        <v>1001203</v>
      </c>
      <c r="R35" s="55">
        <v>169473</v>
      </c>
      <c r="S35" s="55">
        <v>0</v>
      </c>
      <c r="T35" s="55">
        <v>0</v>
      </c>
      <c r="U35" s="55">
        <v>0</v>
      </c>
      <c r="V35" s="55">
        <v>0</v>
      </c>
      <c r="W35" s="55">
        <v>0</v>
      </c>
      <c r="X35" s="55">
        <v>573391030</v>
      </c>
      <c r="Y35" s="55">
        <v>531590280</v>
      </c>
      <c r="Z35" s="55">
        <v>214477560.11614999</v>
      </c>
      <c r="AA35" s="55">
        <v>3108514290</v>
      </c>
      <c r="AB35" s="56">
        <v>2069775.5603799999</v>
      </c>
      <c r="AC35" s="56">
        <v>7000000</v>
      </c>
      <c r="AD35" s="56">
        <v>159934</v>
      </c>
      <c r="AE35" s="56">
        <v>160000</v>
      </c>
      <c r="AF35" s="56">
        <v>27925531.285399999</v>
      </c>
      <c r="AG35" s="55">
        <v>5449654020.2399998</v>
      </c>
      <c r="AH35" s="55">
        <v>4300010557.7799997</v>
      </c>
      <c r="AI35" s="55">
        <v>4241053762</v>
      </c>
      <c r="AJ35" s="55">
        <v>0</v>
      </c>
      <c r="AK35" s="15"/>
    </row>
    <row r="36" spans="1:37" ht="15.75" customHeight="1" x14ac:dyDescent="0.25">
      <c r="A36" s="13">
        <v>46077</v>
      </c>
      <c r="B36" s="56">
        <v>1360.5</v>
      </c>
      <c r="C36" s="55">
        <v>0</v>
      </c>
      <c r="D36" s="55">
        <v>327480214</v>
      </c>
      <c r="E36" s="55">
        <v>57330000</v>
      </c>
      <c r="F36" s="55">
        <v>0</v>
      </c>
      <c r="G36" s="55">
        <v>8189000</v>
      </c>
      <c r="H36" s="55">
        <v>20047000</v>
      </c>
      <c r="I36" s="55">
        <v>923362814</v>
      </c>
      <c r="J36" s="55">
        <v>137500000</v>
      </c>
      <c r="K36" s="55">
        <v>0</v>
      </c>
      <c r="L36" s="55">
        <v>0</v>
      </c>
      <c r="M36" s="55">
        <v>0</v>
      </c>
      <c r="N36" s="55">
        <v>0</v>
      </c>
      <c r="O36" s="55">
        <v>19226592</v>
      </c>
      <c r="P36" s="55">
        <v>0</v>
      </c>
      <c r="Q36" s="55">
        <v>47848812</v>
      </c>
      <c r="R36" s="55">
        <v>0</v>
      </c>
      <c r="S36" s="55">
        <v>0</v>
      </c>
      <c r="T36" s="55">
        <v>0</v>
      </c>
      <c r="U36" s="55">
        <v>0</v>
      </c>
      <c r="V36" s="55">
        <v>0</v>
      </c>
      <c r="W36" s="55">
        <v>0</v>
      </c>
      <c r="X36" s="55">
        <v>676639022.63999999</v>
      </c>
      <c r="Y36" s="55">
        <v>673637824</v>
      </c>
      <c r="Z36" s="55">
        <v>214477560.11614999</v>
      </c>
      <c r="AA36" s="55">
        <v>3377260148</v>
      </c>
      <c r="AB36" s="56">
        <v>2069775.5603799999</v>
      </c>
      <c r="AC36" s="56">
        <v>7000000</v>
      </c>
      <c r="AD36" s="56">
        <v>91766.133942161294</v>
      </c>
      <c r="AE36" s="56">
        <v>160000</v>
      </c>
      <c r="AF36" s="56">
        <v>29064269.106400002</v>
      </c>
      <c r="AG36" s="55">
        <v>5449654020.2399998</v>
      </c>
      <c r="AH36" s="55">
        <v>4370822117</v>
      </c>
      <c r="AI36" s="55">
        <v>3971432697</v>
      </c>
      <c r="AJ36" s="55">
        <v>0</v>
      </c>
      <c r="AK36" s="15"/>
    </row>
    <row r="37" spans="1:37" ht="15.75" customHeight="1" x14ac:dyDescent="0.25">
      <c r="A37" s="13">
        <v>46078</v>
      </c>
      <c r="B37" s="56">
        <v>1373.5</v>
      </c>
      <c r="C37" s="55">
        <v>0</v>
      </c>
      <c r="D37" s="55">
        <v>334068220</v>
      </c>
      <c r="E37" s="55">
        <v>72223559</v>
      </c>
      <c r="F37" s="55">
        <v>0</v>
      </c>
      <c r="G37" s="55">
        <v>8330094</v>
      </c>
      <c r="H37" s="55">
        <v>18349000</v>
      </c>
      <c r="I37" s="55">
        <v>1085019063</v>
      </c>
      <c r="J37" s="55">
        <v>151271830.47999999</v>
      </c>
      <c r="K37" s="55">
        <v>0</v>
      </c>
      <c r="L37" s="55">
        <v>6906450</v>
      </c>
      <c r="M37" s="55">
        <v>0</v>
      </c>
      <c r="N37" s="55">
        <v>0</v>
      </c>
      <c r="O37" s="55">
        <v>0</v>
      </c>
      <c r="P37" s="55">
        <v>0</v>
      </c>
      <c r="Q37" s="55">
        <v>101005178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520316940.91000003</v>
      </c>
      <c r="Y37" s="55">
        <v>661826703</v>
      </c>
      <c r="Z37" s="55">
        <v>214477560.11614999</v>
      </c>
      <c r="AA37" s="55">
        <v>3423061266</v>
      </c>
      <c r="AB37" s="56">
        <v>2069775.5603799999</v>
      </c>
      <c r="AC37" s="56">
        <v>7000000</v>
      </c>
      <c r="AD37" s="56">
        <v>91766.133942161294</v>
      </c>
      <c r="AE37" s="56">
        <v>160000</v>
      </c>
      <c r="AF37" s="56">
        <v>23422686.356400002</v>
      </c>
      <c r="AG37" s="55">
        <v>5449654020.2399998</v>
      </c>
      <c r="AH37" s="55">
        <v>4254339169.1799998</v>
      </c>
      <c r="AI37" s="55">
        <v>3950371422.5</v>
      </c>
      <c r="AJ37" s="55">
        <v>0</v>
      </c>
      <c r="AK37" s="15"/>
    </row>
    <row r="38" spans="1:37" ht="15.75" customHeight="1" x14ac:dyDescent="0.25">
      <c r="A38" s="13">
        <v>46079</v>
      </c>
      <c r="B38" s="56">
        <v>1383.5</v>
      </c>
      <c r="C38" s="55">
        <v>0</v>
      </c>
      <c r="D38" s="55">
        <v>351573427</v>
      </c>
      <c r="E38" s="55">
        <v>71669169</v>
      </c>
      <c r="F38" s="55">
        <v>0</v>
      </c>
      <c r="G38" s="55">
        <v>7843397</v>
      </c>
      <c r="H38" s="55">
        <v>13132000</v>
      </c>
      <c r="I38" s="55">
        <v>1179025403</v>
      </c>
      <c r="J38" s="55">
        <v>204642170</v>
      </c>
      <c r="K38" s="55">
        <v>0</v>
      </c>
      <c r="L38" s="55">
        <v>76598976</v>
      </c>
      <c r="M38" s="55">
        <v>0</v>
      </c>
      <c r="N38" s="55">
        <v>0</v>
      </c>
      <c r="O38" s="55">
        <v>0</v>
      </c>
      <c r="P38" s="55">
        <v>0</v>
      </c>
      <c r="Q38" s="55">
        <v>89512252</v>
      </c>
      <c r="R38" s="55">
        <v>0</v>
      </c>
      <c r="S38" s="55">
        <v>0</v>
      </c>
      <c r="T38" s="55">
        <v>0</v>
      </c>
      <c r="U38" s="55">
        <v>0</v>
      </c>
      <c r="V38" s="55">
        <v>0</v>
      </c>
      <c r="W38" s="55">
        <v>0</v>
      </c>
      <c r="X38" s="55">
        <v>483343000.49000001</v>
      </c>
      <c r="Y38" s="55">
        <v>576973938</v>
      </c>
      <c r="Z38" s="55">
        <v>214477560.11614999</v>
      </c>
      <c r="AA38" s="55">
        <v>3737477951</v>
      </c>
      <c r="AB38" s="56">
        <v>2069775.5603799999</v>
      </c>
      <c r="AC38" s="56">
        <v>7000000</v>
      </c>
      <c r="AD38" s="56">
        <v>91766.133942161294</v>
      </c>
      <c r="AE38" s="56">
        <v>160000</v>
      </c>
      <c r="AF38" s="56">
        <v>23733137.106400002</v>
      </c>
      <c r="AG38" s="55">
        <v>5449654020.2399998</v>
      </c>
      <c r="AH38" s="55">
        <v>4437541773.1800003</v>
      </c>
      <c r="AI38" s="55">
        <v>3979132772.5</v>
      </c>
      <c r="AJ38" s="55">
        <v>0</v>
      </c>
      <c r="AK38" s="15"/>
    </row>
    <row r="39" spans="1:37" ht="15.75" customHeight="1" x14ac:dyDescent="0.25">
      <c r="A39" s="13">
        <v>46080</v>
      </c>
      <c r="B39" s="56">
        <v>1401</v>
      </c>
      <c r="C39" s="55">
        <v>0</v>
      </c>
      <c r="D39" s="55">
        <v>183330106</v>
      </c>
      <c r="E39" s="55">
        <v>84920362.920000002</v>
      </c>
      <c r="F39" s="55">
        <v>0</v>
      </c>
      <c r="G39" s="55">
        <v>5730085</v>
      </c>
      <c r="H39" s="55">
        <v>13132000</v>
      </c>
      <c r="I39" s="55">
        <v>1179025403</v>
      </c>
      <c r="J39" s="55">
        <v>172297523</v>
      </c>
      <c r="K39" s="55">
        <v>0</v>
      </c>
      <c r="L39" s="55">
        <v>16268450</v>
      </c>
      <c r="M39" s="55">
        <v>0</v>
      </c>
      <c r="N39" s="55">
        <v>0</v>
      </c>
      <c r="O39" s="55">
        <v>2577030</v>
      </c>
      <c r="P39" s="55">
        <v>2105000</v>
      </c>
      <c r="Q39" s="55">
        <v>41967151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366919093</v>
      </c>
      <c r="Y39" s="55">
        <v>806671433</v>
      </c>
      <c r="Z39" s="55">
        <v>214477560.11614999</v>
      </c>
      <c r="AA39" s="55">
        <v>3339538712</v>
      </c>
      <c r="AB39" s="56">
        <v>2069775.5603799999</v>
      </c>
      <c r="AC39" s="56">
        <v>7000000</v>
      </c>
      <c r="AD39" s="56">
        <v>91766.133942161294</v>
      </c>
      <c r="AE39" s="56">
        <v>160000</v>
      </c>
      <c r="AF39" s="56">
        <v>19134326.856400002</v>
      </c>
      <c r="AG39" s="55">
        <v>5449654020.2399998</v>
      </c>
      <c r="AH39" s="55">
        <v>5427743020.0200005</v>
      </c>
      <c r="AI39" s="55">
        <v>4029465135</v>
      </c>
      <c r="AJ39" s="55">
        <v>0</v>
      </c>
      <c r="AK39" s="15"/>
    </row>
    <row r="40" spans="1:37" ht="15.75" customHeight="1" x14ac:dyDescent="0.25">
      <c r="A40" s="13">
        <v>46083</v>
      </c>
      <c r="B40" s="56">
        <v>1407</v>
      </c>
      <c r="C40" s="55">
        <v>0</v>
      </c>
      <c r="D40" s="55">
        <v>306435931</v>
      </c>
      <c r="E40" s="55">
        <v>150556000</v>
      </c>
      <c r="F40" s="55">
        <v>0</v>
      </c>
      <c r="G40" s="55">
        <v>2454000</v>
      </c>
      <c r="H40" s="55">
        <v>7836000</v>
      </c>
      <c r="I40" s="55">
        <v>884827301</v>
      </c>
      <c r="J40" s="55">
        <v>71036107</v>
      </c>
      <c r="K40" s="55">
        <v>0</v>
      </c>
      <c r="L40" s="55">
        <v>120145994</v>
      </c>
      <c r="M40" s="55">
        <v>0</v>
      </c>
      <c r="N40" s="55">
        <v>0</v>
      </c>
      <c r="O40" s="55">
        <v>0</v>
      </c>
      <c r="P40" s="55">
        <v>0</v>
      </c>
      <c r="Q40" s="55">
        <v>218398243</v>
      </c>
      <c r="R40" s="55">
        <v>0</v>
      </c>
      <c r="S40" s="55">
        <v>0</v>
      </c>
      <c r="T40" s="55">
        <v>0</v>
      </c>
      <c r="U40" s="55">
        <v>300000000</v>
      </c>
      <c r="V40" s="55">
        <v>0</v>
      </c>
      <c r="W40" s="55">
        <v>0</v>
      </c>
      <c r="X40" s="55">
        <v>835950369.23000002</v>
      </c>
      <c r="Y40" s="55">
        <v>4912915306</v>
      </c>
      <c r="Z40" s="55">
        <v>208603111.9149</v>
      </c>
      <c r="AA40" s="55">
        <v>3680992093</v>
      </c>
      <c r="AB40" s="56">
        <v>2069775.5603799999</v>
      </c>
      <c r="AC40" s="56">
        <v>8000000</v>
      </c>
      <c r="AD40" s="56">
        <v>121516.133942161</v>
      </c>
      <c r="AE40" s="56">
        <v>160000</v>
      </c>
      <c r="AF40" s="56">
        <v>20540711.7064</v>
      </c>
      <c r="AG40" s="55">
        <v>5449654020.2399998</v>
      </c>
      <c r="AH40" s="55">
        <v>6279791343</v>
      </c>
      <c r="AI40" s="55">
        <v>5798480562</v>
      </c>
      <c r="AJ40" s="55">
        <v>534521439.73000002</v>
      </c>
      <c r="AK40" s="15"/>
    </row>
    <row r="41" spans="1:37" ht="15.75" customHeight="1" x14ac:dyDescent="0.25">
      <c r="A41" s="13">
        <v>46084</v>
      </c>
      <c r="B41" s="56">
        <v>1403</v>
      </c>
      <c r="C41" s="55">
        <v>0</v>
      </c>
      <c r="D41" s="55">
        <v>356734583.68000001</v>
      </c>
      <c r="E41" s="55">
        <v>-19705000</v>
      </c>
      <c r="F41" s="55">
        <v>0</v>
      </c>
      <c r="G41" s="55">
        <v>5648339</v>
      </c>
      <c r="H41" s="55">
        <v>7836000</v>
      </c>
      <c r="I41" s="55">
        <v>834315279</v>
      </c>
      <c r="J41" s="55">
        <v>199849164</v>
      </c>
      <c r="K41" s="55">
        <v>0</v>
      </c>
      <c r="L41" s="55">
        <v>31790070</v>
      </c>
      <c r="M41" s="55">
        <v>0</v>
      </c>
      <c r="N41" s="55">
        <v>0</v>
      </c>
      <c r="O41" s="55">
        <v>0</v>
      </c>
      <c r="P41" s="55">
        <v>0</v>
      </c>
      <c r="Q41" s="55">
        <v>163566887</v>
      </c>
      <c r="R41" s="55">
        <v>0</v>
      </c>
      <c r="S41" s="55">
        <v>0</v>
      </c>
      <c r="T41" s="55">
        <v>0</v>
      </c>
      <c r="U41" s="55">
        <v>40000000</v>
      </c>
      <c r="V41" s="55">
        <v>0</v>
      </c>
      <c r="W41" s="55">
        <v>0</v>
      </c>
      <c r="X41" s="55">
        <v>585291899</v>
      </c>
      <c r="Y41" s="55">
        <v>4741020562</v>
      </c>
      <c r="Z41" s="55">
        <v>208603111.9149</v>
      </c>
      <c r="AA41" s="55">
        <v>3684822493</v>
      </c>
      <c r="AB41" s="56">
        <v>2069775.5603799999</v>
      </c>
      <c r="AC41" s="56">
        <v>8000000</v>
      </c>
      <c r="AD41" s="56">
        <v>121516.133942161</v>
      </c>
      <c r="AE41" s="56">
        <v>160000</v>
      </c>
      <c r="AF41" s="56">
        <v>20789326.056400001</v>
      </c>
      <c r="AG41" s="55">
        <v>5449654020.2399998</v>
      </c>
      <c r="AH41" s="55">
        <v>6199819175.1199999</v>
      </c>
      <c r="AI41" s="55">
        <v>5781995898</v>
      </c>
      <c r="AJ41" s="55">
        <v>39992216</v>
      </c>
      <c r="AK41" s="15"/>
    </row>
    <row r="42" spans="1:37" ht="15.75" customHeight="1" x14ac:dyDescent="0.25">
      <c r="A42" s="13">
        <v>46085</v>
      </c>
      <c r="B42" s="56">
        <v>1407</v>
      </c>
      <c r="C42" s="55">
        <v>0</v>
      </c>
      <c r="D42" s="55">
        <v>393222849.68000001</v>
      </c>
      <c r="E42" s="55">
        <v>90636589.129999995</v>
      </c>
      <c r="F42" s="55">
        <v>0</v>
      </c>
      <c r="G42" s="55">
        <v>5357000</v>
      </c>
      <c r="H42" s="55">
        <v>4507000</v>
      </c>
      <c r="I42" s="55">
        <v>872621589</v>
      </c>
      <c r="J42" s="55">
        <v>104843862</v>
      </c>
      <c r="K42" s="55">
        <v>0</v>
      </c>
      <c r="L42" s="55">
        <v>14678610</v>
      </c>
      <c r="M42" s="55">
        <v>0</v>
      </c>
      <c r="N42" s="55">
        <v>0</v>
      </c>
      <c r="O42" s="55">
        <v>0</v>
      </c>
      <c r="P42" s="55">
        <v>7753901</v>
      </c>
      <c r="Q42" s="55">
        <v>67696843</v>
      </c>
      <c r="R42" s="55">
        <v>0</v>
      </c>
      <c r="S42" s="55">
        <v>0</v>
      </c>
      <c r="T42" s="55">
        <v>0</v>
      </c>
      <c r="U42" s="55">
        <v>300000000</v>
      </c>
      <c r="V42" s="55">
        <v>0</v>
      </c>
      <c r="W42" s="55">
        <v>0</v>
      </c>
      <c r="X42" s="55">
        <v>1325376841.9200001</v>
      </c>
      <c r="Y42" s="55">
        <v>4648463632</v>
      </c>
      <c r="Z42" s="55">
        <v>208603111.9149</v>
      </c>
      <c r="AA42" s="55">
        <v>4651050912</v>
      </c>
      <c r="AB42" s="56">
        <v>2069775.5603799999</v>
      </c>
      <c r="AC42" s="56">
        <v>8000000</v>
      </c>
      <c r="AD42" s="56">
        <v>121516.133942161</v>
      </c>
      <c r="AE42" s="56">
        <v>160000</v>
      </c>
      <c r="AF42" s="56">
        <v>15795731.806399999</v>
      </c>
      <c r="AG42" s="55">
        <v>5449654020.2399998</v>
      </c>
      <c r="AH42" s="55">
        <v>5551402920</v>
      </c>
      <c r="AI42" s="55">
        <v>5685934632</v>
      </c>
      <c r="AJ42" s="55">
        <v>298040764</v>
      </c>
      <c r="AK42" s="15"/>
    </row>
    <row r="43" spans="1:37" ht="15.75" customHeight="1" x14ac:dyDescent="0.25">
      <c r="A43" s="13">
        <v>46086</v>
      </c>
      <c r="B43" s="56">
        <v>1400.5</v>
      </c>
      <c r="C43" s="55">
        <v>0</v>
      </c>
      <c r="D43" s="55">
        <v>412879299</v>
      </c>
      <c r="E43" s="55">
        <v>137297000</v>
      </c>
      <c r="F43" s="55">
        <v>0</v>
      </c>
      <c r="G43" s="55">
        <v>13802000</v>
      </c>
      <c r="H43" s="55">
        <v>2072000</v>
      </c>
      <c r="I43" s="55">
        <v>894699296</v>
      </c>
      <c r="J43" s="55">
        <v>69280210</v>
      </c>
      <c r="K43" s="55">
        <v>0</v>
      </c>
      <c r="L43" s="55">
        <v>8400000</v>
      </c>
      <c r="M43" s="55">
        <v>0</v>
      </c>
      <c r="N43" s="55">
        <v>0</v>
      </c>
      <c r="O43" s="55">
        <v>0</v>
      </c>
      <c r="P43" s="55">
        <v>0</v>
      </c>
      <c r="Q43" s="55">
        <v>496982362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870700115</v>
      </c>
      <c r="Y43" s="55">
        <v>3956419857</v>
      </c>
      <c r="Z43" s="55">
        <v>208603111.9149</v>
      </c>
      <c r="AA43" s="55">
        <v>4662476319</v>
      </c>
      <c r="AB43" s="56">
        <v>2069775.5603799999</v>
      </c>
      <c r="AC43" s="56">
        <v>8000000</v>
      </c>
      <c r="AD43" s="56">
        <v>121807.80060882799</v>
      </c>
      <c r="AE43" s="56">
        <v>160000</v>
      </c>
      <c r="AF43" s="56">
        <v>15828196.7064</v>
      </c>
      <c r="AG43" s="55">
        <v>5449654020.2399998</v>
      </c>
      <c r="AH43" s="55">
        <v>5722690888.5</v>
      </c>
      <c r="AI43" s="55">
        <v>6727934776</v>
      </c>
      <c r="AJ43" s="55">
        <v>840</v>
      </c>
      <c r="AK43" s="15"/>
    </row>
    <row r="44" spans="1:37" ht="15.75" customHeight="1" x14ac:dyDescent="0.25">
      <c r="A44" s="13">
        <v>46087</v>
      </c>
      <c r="B44" s="56">
        <v>1405</v>
      </c>
      <c r="C44" s="55">
        <v>0</v>
      </c>
      <c r="D44" s="55">
        <v>412879299</v>
      </c>
      <c r="E44" s="55">
        <v>158495000</v>
      </c>
      <c r="F44" s="55">
        <v>0</v>
      </c>
      <c r="G44" s="55">
        <v>12795000</v>
      </c>
      <c r="H44" s="55">
        <v>8048000</v>
      </c>
      <c r="I44" s="55">
        <v>1105369336</v>
      </c>
      <c r="J44" s="55">
        <v>138205000</v>
      </c>
      <c r="K44" s="55">
        <v>0</v>
      </c>
      <c r="L44" s="55">
        <v>2644096</v>
      </c>
      <c r="M44" s="55">
        <v>0</v>
      </c>
      <c r="N44" s="55">
        <v>0</v>
      </c>
      <c r="O44" s="55">
        <v>0</v>
      </c>
      <c r="P44" s="55">
        <v>0</v>
      </c>
      <c r="Q44" s="55">
        <v>165132703</v>
      </c>
      <c r="R44" s="55">
        <v>0</v>
      </c>
      <c r="S44" s="55">
        <v>0</v>
      </c>
      <c r="T44" s="55">
        <v>0</v>
      </c>
      <c r="U44" s="55">
        <v>300000000</v>
      </c>
      <c r="V44" s="55">
        <v>0</v>
      </c>
      <c r="W44" s="55">
        <v>0</v>
      </c>
      <c r="X44" s="55">
        <v>547535196</v>
      </c>
      <c r="Y44" s="55">
        <v>3952725761</v>
      </c>
      <c r="Z44" s="55">
        <v>208603111.9149</v>
      </c>
      <c r="AA44" s="55">
        <v>4660238685</v>
      </c>
      <c r="AB44" s="56">
        <v>2069775.5603799999</v>
      </c>
      <c r="AC44" s="56">
        <v>8000000</v>
      </c>
      <c r="AD44" s="56">
        <v>121807.80060882799</v>
      </c>
      <c r="AE44" s="56">
        <v>160000</v>
      </c>
      <c r="AF44" s="56">
        <v>15828196.7064</v>
      </c>
      <c r="AG44" s="55">
        <v>5449654020.2399998</v>
      </c>
      <c r="AH44" s="55">
        <v>5669231298.3500004</v>
      </c>
      <c r="AI44" s="55">
        <v>5790238230</v>
      </c>
      <c r="AJ44" s="55">
        <v>840</v>
      </c>
      <c r="AK44" s="15"/>
    </row>
    <row r="45" spans="1:37" ht="15.75" customHeight="1" x14ac:dyDescent="0.25">
      <c r="A45" s="13">
        <v>46090</v>
      </c>
      <c r="B45" s="56">
        <v>1405</v>
      </c>
      <c r="C45" s="55">
        <v>0</v>
      </c>
      <c r="D45" s="55">
        <v>445688779.68000001</v>
      </c>
      <c r="E45" s="55">
        <v>107811032</v>
      </c>
      <c r="F45" s="55">
        <v>0</v>
      </c>
      <c r="G45" s="55">
        <v>18663717</v>
      </c>
      <c r="H45" s="55">
        <v>8048000</v>
      </c>
      <c r="I45" s="55">
        <v>1249156888</v>
      </c>
      <c r="J45" s="55">
        <v>844639.62</v>
      </c>
      <c r="K45" s="55">
        <v>0</v>
      </c>
      <c r="L45" s="55">
        <v>88098086</v>
      </c>
      <c r="M45" s="55">
        <v>0</v>
      </c>
      <c r="N45" s="55">
        <v>0</v>
      </c>
      <c r="O45" s="55">
        <v>2118950</v>
      </c>
      <c r="P45" s="55">
        <v>40110389</v>
      </c>
      <c r="Q45" s="55">
        <v>1356016293.2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621207239</v>
      </c>
      <c r="Y45" s="55">
        <v>2772139921</v>
      </c>
      <c r="Z45" s="55">
        <v>208603111.9149</v>
      </c>
      <c r="AA45" s="55">
        <v>5451953419</v>
      </c>
      <c r="AB45" s="56">
        <v>2069775.5603799999</v>
      </c>
      <c r="AC45" s="56">
        <v>8000000</v>
      </c>
      <c r="AD45" s="56">
        <v>121807.80060882799</v>
      </c>
      <c r="AE45" s="56">
        <v>160000</v>
      </c>
      <c r="AF45" s="56">
        <v>16845041.739999998</v>
      </c>
      <c r="AG45" s="55">
        <v>5449654020.2399998</v>
      </c>
      <c r="AH45" s="55">
        <v>5713197710.4499998</v>
      </c>
      <c r="AI45" s="55">
        <v>8674829680</v>
      </c>
      <c r="AJ45" s="55">
        <v>840</v>
      </c>
      <c r="AK45" s="15"/>
    </row>
    <row r="46" spans="1:37" ht="15.75" customHeight="1" x14ac:dyDescent="0.25">
      <c r="A46" s="13">
        <v>46091</v>
      </c>
      <c r="B46" s="56">
        <v>1417</v>
      </c>
      <c r="C46" s="55">
        <v>0</v>
      </c>
      <c r="D46" s="55">
        <v>445688779</v>
      </c>
      <c r="E46" s="55">
        <v>-39984000</v>
      </c>
      <c r="F46" s="55">
        <v>0</v>
      </c>
      <c r="G46" s="55">
        <v>9298000</v>
      </c>
      <c r="H46" s="55">
        <v>8048000</v>
      </c>
      <c r="I46" s="55">
        <v>1595762118</v>
      </c>
      <c r="J46" s="55">
        <v>19280660</v>
      </c>
      <c r="K46" s="55">
        <v>86098436</v>
      </c>
      <c r="L46" s="55">
        <v>114305640</v>
      </c>
      <c r="M46" s="55">
        <v>0</v>
      </c>
      <c r="N46" s="55">
        <v>0</v>
      </c>
      <c r="O46" s="55">
        <v>0</v>
      </c>
      <c r="P46" s="55">
        <v>16800700</v>
      </c>
      <c r="Q46" s="55">
        <v>234494885</v>
      </c>
      <c r="R46" s="55">
        <v>0</v>
      </c>
      <c r="S46" s="55">
        <v>0</v>
      </c>
      <c r="T46" s="55">
        <v>0</v>
      </c>
      <c r="U46" s="55">
        <v>0</v>
      </c>
      <c r="V46" s="55">
        <v>0</v>
      </c>
      <c r="W46" s="55">
        <v>0</v>
      </c>
      <c r="X46" s="55">
        <v>743364933</v>
      </c>
      <c r="Y46" s="55">
        <v>2278604381</v>
      </c>
      <c r="Z46" s="55">
        <v>208603111.9149</v>
      </c>
      <c r="AA46" s="55">
        <v>5438640665.6700001</v>
      </c>
      <c r="AB46" s="56">
        <v>2069775.5603799999</v>
      </c>
      <c r="AC46" s="56">
        <v>9000000</v>
      </c>
      <c r="AD46" s="56">
        <v>121807.80060882799</v>
      </c>
      <c r="AE46" s="56">
        <v>160000</v>
      </c>
      <c r="AF46" s="56">
        <v>14197400.124</v>
      </c>
      <c r="AG46" s="55">
        <v>5449654020.2399998</v>
      </c>
      <c r="AH46" s="55">
        <v>4859179616.5900002</v>
      </c>
      <c r="AI46" s="55">
        <v>8533988775</v>
      </c>
      <c r="AJ46" s="55">
        <v>1420000840</v>
      </c>
      <c r="AK46" s="15"/>
    </row>
    <row r="47" spans="1:37" ht="15.75" customHeight="1" x14ac:dyDescent="0.25">
      <c r="A47" s="13">
        <v>46092</v>
      </c>
      <c r="B47" s="56">
        <v>1401</v>
      </c>
      <c r="C47" s="55">
        <v>0</v>
      </c>
      <c r="D47" s="55">
        <v>496406750.56</v>
      </c>
      <c r="E47" s="55">
        <v>59736452</v>
      </c>
      <c r="F47" s="55">
        <v>0</v>
      </c>
      <c r="G47" s="55">
        <v>9298113</v>
      </c>
      <c r="H47" s="55">
        <v>7867000</v>
      </c>
      <c r="I47" s="55">
        <v>1579975629</v>
      </c>
      <c r="J47" s="55">
        <v>84800000</v>
      </c>
      <c r="K47" s="55">
        <v>0</v>
      </c>
      <c r="L47" s="55">
        <v>12400000</v>
      </c>
      <c r="M47" s="55">
        <v>0</v>
      </c>
      <c r="N47" s="55">
        <v>0</v>
      </c>
      <c r="O47" s="55">
        <v>0</v>
      </c>
      <c r="P47" s="55">
        <v>2195000</v>
      </c>
      <c r="Q47" s="55">
        <v>278397543</v>
      </c>
      <c r="R47" s="55">
        <v>0</v>
      </c>
      <c r="S47" s="55">
        <v>0</v>
      </c>
      <c r="T47" s="55">
        <v>0</v>
      </c>
      <c r="U47" s="55">
        <v>235000000</v>
      </c>
      <c r="V47" s="55">
        <v>0</v>
      </c>
      <c r="W47" s="55">
        <v>0</v>
      </c>
      <c r="X47" s="55">
        <v>2295766389.98</v>
      </c>
      <c r="Y47" s="55">
        <v>2142458235</v>
      </c>
      <c r="Z47" s="55">
        <v>208603111.9149</v>
      </c>
      <c r="AA47" s="55">
        <v>5136570401</v>
      </c>
      <c r="AB47" s="56">
        <v>2069775.5603799999</v>
      </c>
      <c r="AC47" s="56">
        <v>9000000</v>
      </c>
      <c r="AD47" s="56">
        <v>141199.467275495</v>
      </c>
      <c r="AE47" s="56">
        <v>160000</v>
      </c>
      <c r="AF47" s="56">
        <v>14246092.524</v>
      </c>
      <c r="AG47" s="55">
        <v>5449654020.2399998</v>
      </c>
      <c r="AH47" s="55">
        <v>4426491442.8000002</v>
      </c>
      <c r="AI47" s="55">
        <v>8437627575</v>
      </c>
      <c r="AJ47" s="55">
        <v>1653153603</v>
      </c>
      <c r="AK47" s="15"/>
    </row>
    <row r="48" spans="1:37" ht="15.75" customHeight="1" x14ac:dyDescent="0.25">
      <c r="A48" s="13">
        <v>46093</v>
      </c>
      <c r="B48" s="56">
        <v>1393</v>
      </c>
      <c r="C48" s="55">
        <v>0</v>
      </c>
      <c r="D48" s="55">
        <v>494096752</v>
      </c>
      <c r="E48" s="55">
        <v>64814000</v>
      </c>
      <c r="F48" s="55">
        <v>17746000</v>
      </c>
      <c r="G48" s="55">
        <v>16790000</v>
      </c>
      <c r="H48" s="55">
        <v>6108000</v>
      </c>
      <c r="I48" s="55">
        <v>1458063964</v>
      </c>
      <c r="J48" s="55">
        <v>176366449</v>
      </c>
      <c r="K48" s="55">
        <v>0</v>
      </c>
      <c r="L48" s="55">
        <v>6629023</v>
      </c>
      <c r="M48" s="55">
        <v>0</v>
      </c>
      <c r="N48" s="55">
        <v>0</v>
      </c>
      <c r="O48" s="55">
        <v>0</v>
      </c>
      <c r="P48" s="55">
        <v>0</v>
      </c>
      <c r="Q48" s="55">
        <v>469916271</v>
      </c>
      <c r="R48" s="55">
        <v>0</v>
      </c>
      <c r="S48" s="55">
        <v>0</v>
      </c>
      <c r="T48" s="55">
        <v>0</v>
      </c>
      <c r="U48" s="55">
        <v>200000000</v>
      </c>
      <c r="V48" s="55">
        <v>0</v>
      </c>
      <c r="W48" s="55">
        <v>0</v>
      </c>
      <c r="X48" s="55">
        <v>1638571298</v>
      </c>
      <c r="Y48" s="55">
        <v>1738903689</v>
      </c>
      <c r="Z48" s="55">
        <v>208603111.9149</v>
      </c>
      <c r="AA48" s="55">
        <v>5135688097</v>
      </c>
      <c r="AB48" s="56">
        <v>2069775.5603799999</v>
      </c>
      <c r="AC48" s="56">
        <v>9000000</v>
      </c>
      <c r="AD48" s="56">
        <v>141199.467275495</v>
      </c>
      <c r="AE48" s="56">
        <v>160000</v>
      </c>
      <c r="AF48" s="56">
        <v>13740489.874</v>
      </c>
      <c r="AG48" s="55">
        <v>5449654020.2399998</v>
      </c>
      <c r="AH48" s="55">
        <v>4651580822</v>
      </c>
      <c r="AI48" s="55">
        <v>8624032354</v>
      </c>
      <c r="AJ48" s="55">
        <v>1619790359.95</v>
      </c>
      <c r="AK48" s="15"/>
    </row>
    <row r="49" spans="1:37" ht="15.75" customHeight="1" x14ac:dyDescent="0.25">
      <c r="A49" s="13">
        <v>46094</v>
      </c>
      <c r="B49" s="56">
        <v>1397</v>
      </c>
      <c r="C49" s="55">
        <v>0</v>
      </c>
      <c r="D49" s="55">
        <v>776624900</v>
      </c>
      <c r="E49" s="55">
        <v>48288000</v>
      </c>
      <c r="F49" s="55">
        <v>21849000</v>
      </c>
      <c r="G49" s="55">
        <v>7750000</v>
      </c>
      <c r="H49" s="55">
        <v>2381000</v>
      </c>
      <c r="I49" s="55">
        <v>1171499857</v>
      </c>
      <c r="J49" s="55">
        <v>284416095</v>
      </c>
      <c r="K49" s="55">
        <v>0</v>
      </c>
      <c r="L49" s="55">
        <v>0</v>
      </c>
      <c r="M49" s="55">
        <v>0</v>
      </c>
      <c r="N49" s="55">
        <v>0</v>
      </c>
      <c r="O49" s="55">
        <v>5192799</v>
      </c>
      <c r="P49" s="55">
        <v>2899508</v>
      </c>
      <c r="Q49" s="55">
        <v>64291510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1297943637</v>
      </c>
      <c r="Y49" s="55">
        <v>1632533382</v>
      </c>
      <c r="Z49" s="55">
        <v>208603111.9149</v>
      </c>
      <c r="AA49" s="55">
        <v>5165195285</v>
      </c>
      <c r="AB49" s="56">
        <v>1250975</v>
      </c>
      <c r="AC49" s="56">
        <v>9000000</v>
      </c>
      <c r="AD49" s="56">
        <v>141199.467275495</v>
      </c>
      <c r="AE49" s="56">
        <v>160000</v>
      </c>
      <c r="AF49" s="56">
        <v>12820143.101</v>
      </c>
      <c r="AG49" s="55">
        <v>5449654020.2399998</v>
      </c>
      <c r="AH49" s="55">
        <v>4006602985</v>
      </c>
      <c r="AI49" s="55">
        <v>8648796266</v>
      </c>
      <c r="AJ49" s="55">
        <v>1620034443.6600001</v>
      </c>
      <c r="AK49" s="15"/>
    </row>
    <row r="50" spans="1:37" ht="15.75" customHeight="1" x14ac:dyDescent="0.25">
      <c r="A50" s="13">
        <v>46097</v>
      </c>
      <c r="B50" s="56">
        <v>1386</v>
      </c>
      <c r="C50" s="55">
        <v>0</v>
      </c>
      <c r="D50" s="55">
        <v>496041968.31</v>
      </c>
      <c r="E50" s="55">
        <v>78696000</v>
      </c>
      <c r="F50" s="55">
        <v>3849000</v>
      </c>
      <c r="G50" s="55">
        <v>4113000</v>
      </c>
      <c r="H50" s="55">
        <v>2381000</v>
      </c>
      <c r="I50" s="55">
        <v>1313630359</v>
      </c>
      <c r="J50" s="55">
        <v>175013626</v>
      </c>
      <c r="K50" s="55">
        <v>0</v>
      </c>
      <c r="L50" s="55">
        <v>93376144</v>
      </c>
      <c r="M50" s="55">
        <v>0</v>
      </c>
      <c r="N50" s="55">
        <v>0</v>
      </c>
      <c r="O50" s="55">
        <v>0</v>
      </c>
      <c r="P50" s="55">
        <v>7115202</v>
      </c>
      <c r="Q50" s="55">
        <v>7999270</v>
      </c>
      <c r="R50" s="55">
        <v>0</v>
      </c>
      <c r="S50" s="55">
        <v>0</v>
      </c>
      <c r="T50" s="55">
        <v>0</v>
      </c>
      <c r="U50" s="55">
        <v>0</v>
      </c>
      <c r="V50" s="55">
        <v>0</v>
      </c>
      <c r="W50" s="55">
        <v>0</v>
      </c>
      <c r="X50" s="55">
        <v>1059874987</v>
      </c>
      <c r="Y50" s="55">
        <v>1751061941</v>
      </c>
      <c r="Z50" s="55">
        <v>208603111.9149</v>
      </c>
      <c r="AA50" s="55">
        <v>4945026674</v>
      </c>
      <c r="AB50" s="56">
        <v>1250975</v>
      </c>
      <c r="AC50" s="56">
        <v>9000000</v>
      </c>
      <c r="AD50" s="56">
        <v>141199.467275495</v>
      </c>
      <c r="AE50" s="56">
        <v>160000</v>
      </c>
      <c r="AF50" s="56">
        <v>14290777.001</v>
      </c>
      <c r="AG50" s="55">
        <v>5449654020.2399998</v>
      </c>
      <c r="AH50" s="55">
        <v>3440491694.6399999</v>
      </c>
      <c r="AI50" s="55">
        <v>9209146716</v>
      </c>
      <c r="AJ50" s="55">
        <v>1425244303.3499999</v>
      </c>
      <c r="AK50" s="15"/>
    </row>
    <row r="51" spans="1:37" ht="15.75" customHeight="1" x14ac:dyDescent="0.25">
      <c r="A51" s="13">
        <v>46098</v>
      </c>
      <c r="B51" s="56">
        <v>1390</v>
      </c>
      <c r="C51" s="55">
        <v>0</v>
      </c>
      <c r="D51" s="55">
        <v>475044247</v>
      </c>
      <c r="E51" s="55">
        <v>116518922</v>
      </c>
      <c r="F51" s="55">
        <v>5205905</v>
      </c>
      <c r="G51" s="55">
        <v>10432992.640000001</v>
      </c>
      <c r="H51" s="55">
        <v>2381000</v>
      </c>
      <c r="I51" s="55">
        <v>1469409002</v>
      </c>
      <c r="J51" s="55">
        <v>174057809</v>
      </c>
      <c r="K51" s="55">
        <v>0</v>
      </c>
      <c r="L51" s="55">
        <v>0</v>
      </c>
      <c r="M51" s="55">
        <v>0</v>
      </c>
      <c r="N51" s="55">
        <v>0</v>
      </c>
      <c r="O51" s="55">
        <v>0</v>
      </c>
      <c r="P51" s="55">
        <v>10492117</v>
      </c>
      <c r="Q51" s="55">
        <v>97995171</v>
      </c>
      <c r="R51" s="55">
        <v>141034158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861327456</v>
      </c>
      <c r="Y51" s="55">
        <v>1731117568</v>
      </c>
      <c r="Z51" s="55">
        <v>208603111.9149</v>
      </c>
      <c r="AA51" s="55">
        <v>5259320043</v>
      </c>
      <c r="AB51" s="56">
        <v>1228556.9603800001</v>
      </c>
      <c r="AC51" s="56">
        <v>9000000</v>
      </c>
      <c r="AD51" s="56">
        <v>141199.467275495</v>
      </c>
      <c r="AE51" s="56">
        <v>160000</v>
      </c>
      <c r="AF51" s="56">
        <v>14867224.501</v>
      </c>
      <c r="AG51" s="55">
        <v>5449654020.2399998</v>
      </c>
      <c r="AH51" s="55">
        <v>2938927373.5999999</v>
      </c>
      <c r="AI51" s="55">
        <v>9189021730</v>
      </c>
      <c r="AJ51" s="55">
        <v>1574225880.5799999</v>
      </c>
      <c r="AK51" s="15"/>
    </row>
    <row r="52" spans="1:37" ht="15.75" customHeight="1" x14ac:dyDescent="0.25">
      <c r="A52" s="13">
        <v>46099</v>
      </c>
      <c r="B52" s="56">
        <v>1394</v>
      </c>
      <c r="C52" s="55">
        <v>0</v>
      </c>
      <c r="D52" s="55">
        <v>538099582</v>
      </c>
      <c r="E52" s="55">
        <v>201265012</v>
      </c>
      <c r="F52" s="55">
        <v>4500000</v>
      </c>
      <c r="G52" s="55">
        <v>10432696</v>
      </c>
      <c r="H52" s="55">
        <v>3800000</v>
      </c>
      <c r="I52" s="55">
        <v>1590332187</v>
      </c>
      <c r="J52" s="55">
        <v>188091983</v>
      </c>
      <c r="K52" s="55">
        <v>0</v>
      </c>
      <c r="L52" s="55">
        <v>38908506</v>
      </c>
      <c r="M52" s="55">
        <v>0</v>
      </c>
      <c r="N52" s="55">
        <v>0</v>
      </c>
      <c r="O52" s="55">
        <v>0</v>
      </c>
      <c r="P52" s="55">
        <v>0</v>
      </c>
      <c r="Q52" s="55">
        <v>117971240</v>
      </c>
      <c r="R52" s="55">
        <v>0</v>
      </c>
      <c r="S52" s="55">
        <v>0</v>
      </c>
      <c r="T52" s="55">
        <v>0</v>
      </c>
      <c r="U52" s="55">
        <v>0</v>
      </c>
      <c r="V52" s="55">
        <v>0</v>
      </c>
      <c r="W52" s="55">
        <v>0</v>
      </c>
      <c r="X52" s="55">
        <v>751509509</v>
      </c>
      <c r="Y52" s="55">
        <v>1693875769</v>
      </c>
      <c r="Z52" s="55">
        <v>208603111.9149</v>
      </c>
      <c r="AA52" s="55">
        <v>5461024896</v>
      </c>
      <c r="AB52" s="56">
        <v>1228556.9603800001</v>
      </c>
      <c r="AC52" s="56">
        <v>9000000</v>
      </c>
      <c r="AD52" s="56">
        <v>141199.467275495</v>
      </c>
      <c r="AE52" s="56">
        <v>160000</v>
      </c>
      <c r="AF52" s="56">
        <v>14554407.215</v>
      </c>
      <c r="AG52" s="55">
        <v>5449654020.2399998</v>
      </c>
      <c r="AH52" s="55">
        <v>2669906230.5599999</v>
      </c>
      <c r="AI52" s="55">
        <v>9211918622</v>
      </c>
      <c r="AJ52" s="55">
        <v>1691358076</v>
      </c>
      <c r="AK52" s="15"/>
    </row>
    <row r="53" spans="1:37" ht="15.75" customHeight="1" x14ac:dyDescent="0.25">
      <c r="A53" s="13">
        <v>46100</v>
      </c>
      <c r="B53" s="56">
        <v>1397</v>
      </c>
      <c r="C53" s="55">
        <v>0</v>
      </c>
      <c r="D53" s="55">
        <v>542935582</v>
      </c>
      <c r="E53" s="55">
        <v>60469000</v>
      </c>
      <c r="F53" s="55">
        <v>5164000</v>
      </c>
      <c r="G53" s="55">
        <v>9993772.9100000001</v>
      </c>
      <c r="H53" s="55">
        <v>3800000</v>
      </c>
      <c r="I53" s="55">
        <v>1660165654</v>
      </c>
      <c r="J53" s="55">
        <v>133869939</v>
      </c>
      <c r="K53" s="55">
        <v>0</v>
      </c>
      <c r="L53" s="55">
        <v>9156035</v>
      </c>
      <c r="M53" s="55">
        <v>0</v>
      </c>
      <c r="N53" s="55">
        <v>0</v>
      </c>
      <c r="O53" s="55">
        <v>0</v>
      </c>
      <c r="P53" s="55">
        <v>0</v>
      </c>
      <c r="Q53" s="55">
        <v>47379354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1638081318</v>
      </c>
      <c r="Y53" s="55">
        <v>1601091447</v>
      </c>
      <c r="Z53" s="55">
        <v>208603111.9149</v>
      </c>
      <c r="AA53" s="55">
        <v>4607813786.4399996</v>
      </c>
      <c r="AB53" s="56">
        <v>1228556.9603800001</v>
      </c>
      <c r="AC53" s="56">
        <v>9000000</v>
      </c>
      <c r="AD53" s="56">
        <v>141199.467275495</v>
      </c>
      <c r="AE53" s="56">
        <v>160000</v>
      </c>
      <c r="AF53" s="56">
        <v>13902830.249</v>
      </c>
      <c r="AG53" s="55">
        <v>5449654020.2399998</v>
      </c>
      <c r="AH53" s="55">
        <v>2382337963.2800002</v>
      </c>
      <c r="AI53" s="55">
        <v>9231743411</v>
      </c>
      <c r="AJ53" s="55">
        <v>1691358076</v>
      </c>
      <c r="AK53" s="15"/>
    </row>
    <row r="54" spans="1:37" ht="15.75" customHeight="1" x14ac:dyDescent="0.25">
      <c r="A54" s="13">
        <v>46101</v>
      </c>
      <c r="B54" s="56">
        <v>1391</v>
      </c>
      <c r="C54" s="55">
        <v>0</v>
      </c>
      <c r="D54" s="55">
        <v>657838152</v>
      </c>
      <c r="E54" s="55">
        <v>225017000</v>
      </c>
      <c r="F54" s="55">
        <v>2600000</v>
      </c>
      <c r="G54" s="55">
        <v>9993772.9100000001</v>
      </c>
      <c r="H54" s="55">
        <v>3800000</v>
      </c>
      <c r="I54" s="55">
        <v>1658651333</v>
      </c>
      <c r="J54" s="55">
        <v>211047561</v>
      </c>
      <c r="K54" s="55">
        <v>0</v>
      </c>
      <c r="L54" s="55">
        <v>178622803</v>
      </c>
      <c r="M54" s="55">
        <v>0</v>
      </c>
      <c r="N54" s="55">
        <v>0</v>
      </c>
      <c r="O54" s="55">
        <v>336600</v>
      </c>
      <c r="P54" s="55">
        <v>0</v>
      </c>
      <c r="Q54" s="55">
        <v>91189797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5">
        <v>0</v>
      </c>
      <c r="X54" s="55">
        <v>1448972679</v>
      </c>
      <c r="Y54" s="55">
        <v>1357212772</v>
      </c>
      <c r="Z54" s="55">
        <v>208603111.9149</v>
      </c>
      <c r="AA54" s="55">
        <v>5127082976</v>
      </c>
      <c r="AB54" s="56">
        <v>1228556.9603800001</v>
      </c>
      <c r="AC54" s="56">
        <v>9000000</v>
      </c>
      <c r="AD54" s="56">
        <v>141199.467275495</v>
      </c>
      <c r="AE54" s="56">
        <v>160000</v>
      </c>
      <c r="AF54" s="56">
        <v>14578331.668</v>
      </c>
      <c r="AG54" s="55">
        <v>5449654020.2399998</v>
      </c>
      <c r="AH54" s="55">
        <v>2981715106.2399998</v>
      </c>
      <c r="AI54" s="55">
        <v>9192093833</v>
      </c>
      <c r="AJ54" s="55">
        <v>1691358076</v>
      </c>
      <c r="AK54" s="15"/>
    </row>
    <row r="55" spans="1:37" ht="15.75" customHeight="1" x14ac:dyDescent="0.25">
      <c r="A55" s="13">
        <v>46106</v>
      </c>
      <c r="B55" s="56">
        <v>1392</v>
      </c>
      <c r="C55" s="55">
        <v>0</v>
      </c>
      <c r="D55" s="55">
        <v>752903080</v>
      </c>
      <c r="E55" s="55">
        <v>26119000</v>
      </c>
      <c r="F55" s="55">
        <v>2162000</v>
      </c>
      <c r="G55" s="55">
        <v>15791000</v>
      </c>
      <c r="H55" s="55">
        <v>3207000</v>
      </c>
      <c r="I55" s="55">
        <v>1610115708</v>
      </c>
      <c r="J55" s="55">
        <v>135527709</v>
      </c>
      <c r="K55" s="55">
        <v>0</v>
      </c>
      <c r="L55" s="55">
        <v>69163617</v>
      </c>
      <c r="M55" s="55">
        <v>0</v>
      </c>
      <c r="N55" s="55">
        <v>0</v>
      </c>
      <c r="O55" s="55">
        <v>1009800</v>
      </c>
      <c r="P55" s="55">
        <v>200629151</v>
      </c>
      <c r="Q55" s="55">
        <v>47630937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1180253141</v>
      </c>
      <c r="Y55" s="55">
        <v>710103092</v>
      </c>
      <c r="Z55" s="55">
        <v>208603111.9149</v>
      </c>
      <c r="AA55" s="55">
        <v>5481497772</v>
      </c>
      <c r="AB55" s="56">
        <v>1228556.9603800001</v>
      </c>
      <c r="AC55" s="56">
        <v>9000000</v>
      </c>
      <c r="AD55" s="56">
        <v>141199.467275495</v>
      </c>
      <c r="AE55" s="56">
        <v>160000</v>
      </c>
      <c r="AF55" s="56">
        <v>14669820.595000001</v>
      </c>
      <c r="AG55" s="55">
        <v>5449654020.2399998</v>
      </c>
      <c r="AH55" s="55">
        <v>3126846816</v>
      </c>
      <c r="AI55" s="55">
        <v>10956290016</v>
      </c>
      <c r="AJ55" s="55">
        <v>1692912381</v>
      </c>
      <c r="AK55" s="15"/>
    </row>
    <row r="56" spans="1:37" ht="15.75" customHeight="1" x14ac:dyDescent="0.25">
      <c r="A56" s="13">
        <v>46107</v>
      </c>
      <c r="B56" s="56">
        <v>1375</v>
      </c>
      <c r="C56" s="55">
        <v>0</v>
      </c>
      <c r="D56" s="55">
        <v>941322312</v>
      </c>
      <c r="E56" s="55">
        <v>-34900000</v>
      </c>
      <c r="F56" s="55">
        <v>90520000</v>
      </c>
      <c r="G56" s="55">
        <v>15791000</v>
      </c>
      <c r="H56" s="55">
        <v>3207000</v>
      </c>
      <c r="I56" s="55">
        <v>1560973000</v>
      </c>
      <c r="J56" s="55">
        <v>218255439</v>
      </c>
      <c r="K56" s="55">
        <v>0</v>
      </c>
      <c r="L56" s="55">
        <v>64598704</v>
      </c>
      <c r="M56" s="55">
        <v>0</v>
      </c>
      <c r="N56" s="55">
        <v>0</v>
      </c>
      <c r="O56" s="55">
        <v>4634982</v>
      </c>
      <c r="P56" s="55">
        <v>0</v>
      </c>
      <c r="Q56" s="55">
        <v>67600000</v>
      </c>
      <c r="R56" s="55">
        <v>0</v>
      </c>
      <c r="S56" s="55">
        <v>0</v>
      </c>
      <c r="T56" s="55">
        <v>0</v>
      </c>
      <c r="U56" s="55">
        <v>150000000</v>
      </c>
      <c r="V56" s="55">
        <v>0</v>
      </c>
      <c r="W56" s="55">
        <v>0</v>
      </c>
      <c r="X56" s="55">
        <v>1264387796</v>
      </c>
      <c r="Y56" s="55">
        <v>773190886</v>
      </c>
      <c r="Z56" s="55">
        <v>208603111.9149</v>
      </c>
      <c r="AA56" s="55">
        <v>5381776094</v>
      </c>
      <c r="AB56" s="56">
        <v>1186423.85038</v>
      </c>
      <c r="AC56" s="56">
        <v>9000000</v>
      </c>
      <c r="AD56" s="56">
        <v>141199.467275495</v>
      </c>
      <c r="AE56" s="56">
        <v>160000</v>
      </c>
      <c r="AF56" s="56">
        <v>14618622.710999999</v>
      </c>
      <c r="AG56" s="55">
        <v>5449654020.2399998</v>
      </c>
      <c r="AH56" s="55">
        <v>3368501207.5</v>
      </c>
      <c r="AI56" s="55">
        <v>10308834250</v>
      </c>
      <c r="AJ56" s="55">
        <v>1692912381</v>
      </c>
      <c r="AK56" s="15"/>
    </row>
    <row r="57" spans="1:37" ht="15.75" customHeight="1" x14ac:dyDescent="0.25">
      <c r="A57" s="13">
        <v>46108</v>
      </c>
      <c r="B57" s="56">
        <v>1366</v>
      </c>
      <c r="C57" s="55">
        <v>0</v>
      </c>
      <c r="D57" s="55">
        <v>827701000</v>
      </c>
      <c r="E57" s="55">
        <v>44961000</v>
      </c>
      <c r="F57" s="55">
        <v>181000000</v>
      </c>
      <c r="G57" s="55">
        <v>13532000</v>
      </c>
      <c r="H57" s="55">
        <v>3207000</v>
      </c>
      <c r="I57" s="55">
        <v>1511985003</v>
      </c>
      <c r="J57" s="55">
        <v>141809269</v>
      </c>
      <c r="K57" s="55">
        <v>0</v>
      </c>
      <c r="L57" s="55">
        <v>111489207</v>
      </c>
      <c r="M57" s="55">
        <v>0</v>
      </c>
      <c r="N57" s="55">
        <v>0</v>
      </c>
      <c r="O57" s="55">
        <v>104346000</v>
      </c>
      <c r="P57" s="55">
        <v>0</v>
      </c>
      <c r="Q57" s="55">
        <v>32757200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1212579961</v>
      </c>
      <c r="Y57" s="55">
        <v>764659987</v>
      </c>
      <c r="Z57" s="55">
        <v>208603111.9149</v>
      </c>
      <c r="AA57" s="55">
        <v>5314929980</v>
      </c>
      <c r="AB57" s="56">
        <v>1186423.85038</v>
      </c>
      <c r="AC57" s="56">
        <v>9000000</v>
      </c>
      <c r="AD57" s="56">
        <v>141199.467275495</v>
      </c>
      <c r="AE57" s="56">
        <v>160000</v>
      </c>
      <c r="AF57" s="56">
        <v>14554143.091</v>
      </c>
      <c r="AG57" s="55">
        <v>5449654020.2399998</v>
      </c>
      <c r="AH57" s="55">
        <v>3605178563.3600001</v>
      </c>
      <c r="AI57" s="55">
        <v>9881450028</v>
      </c>
      <c r="AJ57" s="55">
        <v>1657306981</v>
      </c>
      <c r="AK57" s="15"/>
    </row>
    <row r="58" spans="1:37" ht="15.75" customHeight="1" x14ac:dyDescent="0.25">
      <c r="A58" s="13">
        <v>46111</v>
      </c>
      <c r="B58" s="56">
        <v>1371.5</v>
      </c>
      <c r="C58" s="55">
        <v>0</v>
      </c>
      <c r="D58" s="55">
        <v>832701000</v>
      </c>
      <c r="E58" s="55">
        <v>975542000</v>
      </c>
      <c r="F58" s="55">
        <v>1442000</v>
      </c>
      <c r="G58" s="55">
        <v>14842000</v>
      </c>
      <c r="H58" s="55">
        <v>2800000</v>
      </c>
      <c r="I58" s="55">
        <v>935692970</v>
      </c>
      <c r="J58" s="55">
        <v>336145864</v>
      </c>
      <c r="K58" s="55">
        <v>0</v>
      </c>
      <c r="L58" s="55">
        <v>86897738</v>
      </c>
      <c r="M58" s="55">
        <v>0</v>
      </c>
      <c r="N58" s="55">
        <v>0</v>
      </c>
      <c r="O58" s="55">
        <v>0</v>
      </c>
      <c r="P58" s="55">
        <v>445000</v>
      </c>
      <c r="Q58" s="55">
        <v>25600000</v>
      </c>
      <c r="R58" s="55">
        <v>0</v>
      </c>
      <c r="S58" s="55">
        <v>0</v>
      </c>
      <c r="T58" s="55">
        <v>0</v>
      </c>
      <c r="U58" s="55">
        <v>300000000</v>
      </c>
      <c r="V58" s="55">
        <v>0</v>
      </c>
      <c r="W58" s="55">
        <v>0</v>
      </c>
      <c r="X58" s="55">
        <v>1016347490</v>
      </c>
      <c r="Y58" s="55">
        <v>962035178</v>
      </c>
      <c r="Z58" s="55">
        <v>208603111.9149</v>
      </c>
      <c r="AA58" s="55">
        <v>5546363032</v>
      </c>
      <c r="AB58" s="56">
        <v>1261501.4325300001</v>
      </c>
      <c r="AC58" s="56">
        <v>9000000</v>
      </c>
      <c r="AD58" s="56">
        <v>141199.467275495</v>
      </c>
      <c r="AE58" s="56">
        <v>160000</v>
      </c>
      <c r="AF58" s="56">
        <v>14623486.5525</v>
      </c>
      <c r="AG58" s="55">
        <v>5449654020.2399998</v>
      </c>
      <c r="AH58" s="55">
        <v>3282208636</v>
      </c>
      <c r="AI58" s="55">
        <v>10251360411.5</v>
      </c>
      <c r="AJ58" s="55">
        <v>1678236596</v>
      </c>
      <c r="AK58" s="15"/>
    </row>
    <row r="59" spans="1:37" ht="15.75" customHeight="1" x14ac:dyDescent="0.25">
      <c r="A59" s="13">
        <v>46112</v>
      </c>
      <c r="B59" s="56">
        <v>1371.5</v>
      </c>
      <c r="C59" s="55">
        <v>0</v>
      </c>
      <c r="D59" s="55">
        <v>1020478576.9299999</v>
      </c>
      <c r="E59" s="55">
        <v>96180000</v>
      </c>
      <c r="F59" s="55">
        <v>56816000</v>
      </c>
      <c r="G59" s="55">
        <v>10024326</v>
      </c>
      <c r="H59" s="55">
        <v>2800000</v>
      </c>
      <c r="I59" s="55">
        <v>1225007012</v>
      </c>
      <c r="J59" s="55">
        <v>485176000</v>
      </c>
      <c r="K59" s="55">
        <v>0</v>
      </c>
      <c r="L59" s="55">
        <v>655000</v>
      </c>
      <c r="M59" s="55">
        <v>0</v>
      </c>
      <c r="N59" s="55">
        <v>0</v>
      </c>
      <c r="O59" s="55">
        <v>14591610</v>
      </c>
      <c r="P59" s="55">
        <v>0</v>
      </c>
      <c r="Q59" s="55">
        <v>127954559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W59" s="55">
        <v>0</v>
      </c>
      <c r="X59" s="55">
        <v>1001318794</v>
      </c>
      <c r="Y59" s="55">
        <v>873946433</v>
      </c>
      <c r="Z59" s="55">
        <v>208603111.9149</v>
      </c>
      <c r="AA59" s="55">
        <v>5009764245</v>
      </c>
      <c r="AB59" s="56">
        <v>1173173.7125299999</v>
      </c>
      <c r="AC59" s="56">
        <v>9000000</v>
      </c>
      <c r="AD59" s="56">
        <v>141199.467275495</v>
      </c>
      <c r="AE59" s="56">
        <v>160000</v>
      </c>
      <c r="AF59" s="56">
        <v>10642274.986</v>
      </c>
      <c r="AG59" s="55">
        <v>5582721359</v>
      </c>
      <c r="AH59" s="55">
        <v>3998648215.5100002</v>
      </c>
      <c r="AI59" s="55">
        <v>10251360411.5</v>
      </c>
      <c r="AJ59" s="55">
        <v>1678236596</v>
      </c>
      <c r="AK59" s="15"/>
    </row>
    <row r="60" spans="1:37" ht="15.75" customHeight="1" x14ac:dyDescent="0.25">
      <c r="A60" s="13">
        <v>46118</v>
      </c>
      <c r="B60" s="56">
        <v>1383</v>
      </c>
      <c r="C60" s="55">
        <v>0</v>
      </c>
      <c r="D60" s="55">
        <v>906680076</v>
      </c>
      <c r="E60" s="55">
        <v>87527408</v>
      </c>
      <c r="F60" s="55">
        <v>164533000</v>
      </c>
      <c r="G60" s="55">
        <v>9691000</v>
      </c>
      <c r="H60" s="55">
        <v>2500000</v>
      </c>
      <c r="I60" s="55">
        <v>1424949749</v>
      </c>
      <c r="J60" s="55">
        <v>168305085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66378278</v>
      </c>
      <c r="Q60" s="55">
        <v>244819590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5">
        <v>0</v>
      </c>
      <c r="X60" s="55">
        <v>1217405688</v>
      </c>
      <c r="Y60" s="55">
        <v>4192506916</v>
      </c>
      <c r="Z60" s="55">
        <v>202734656.16865</v>
      </c>
      <c r="AA60" s="55">
        <v>5070299230</v>
      </c>
      <c r="AB60" s="56">
        <v>1043837.65169</v>
      </c>
      <c r="AC60" s="56">
        <v>9000000</v>
      </c>
      <c r="AD60" s="56">
        <v>141199.467275495</v>
      </c>
      <c r="AE60" s="56">
        <v>160000</v>
      </c>
      <c r="AF60" s="56">
        <v>11964450.0055</v>
      </c>
      <c r="AG60" s="55">
        <v>5582721359</v>
      </c>
      <c r="AH60" s="55">
        <v>4335886957.9200001</v>
      </c>
      <c r="AI60" s="55">
        <v>10537028595</v>
      </c>
      <c r="AJ60" s="55">
        <v>1639971486</v>
      </c>
      <c r="AK60" s="15"/>
    </row>
    <row r="61" spans="1:37" ht="15.75" customHeight="1" x14ac:dyDescent="0.25">
      <c r="A61" s="13">
        <v>46119</v>
      </c>
      <c r="B61" s="56">
        <v>1382</v>
      </c>
      <c r="C61" s="55">
        <v>0</v>
      </c>
      <c r="D61" s="55">
        <v>976450190</v>
      </c>
      <c r="E61" s="55">
        <v>-276711000</v>
      </c>
      <c r="F61" s="55">
        <v>114129000</v>
      </c>
      <c r="G61" s="55">
        <v>9690000</v>
      </c>
      <c r="H61" s="55">
        <v>2500000</v>
      </c>
      <c r="I61" s="55">
        <v>1550678134</v>
      </c>
      <c r="J61" s="55">
        <v>228205027</v>
      </c>
      <c r="K61" s="55">
        <v>0</v>
      </c>
      <c r="L61" s="55">
        <v>13908000</v>
      </c>
      <c r="M61" s="55">
        <v>0</v>
      </c>
      <c r="N61" s="55">
        <v>0</v>
      </c>
      <c r="O61" s="55">
        <v>0</v>
      </c>
      <c r="P61" s="55">
        <v>1099000</v>
      </c>
      <c r="Q61" s="55">
        <v>448716641</v>
      </c>
      <c r="R61" s="55">
        <v>0</v>
      </c>
      <c r="S61" s="55">
        <v>0</v>
      </c>
      <c r="T61" s="55">
        <v>0</v>
      </c>
      <c r="U61" s="55">
        <v>0</v>
      </c>
      <c r="V61" s="55">
        <v>0</v>
      </c>
      <c r="W61" s="55">
        <v>0</v>
      </c>
      <c r="X61" s="55">
        <v>1570067713</v>
      </c>
      <c r="Y61" s="55">
        <v>3719608294</v>
      </c>
      <c r="Z61" s="55">
        <v>202734656.16865</v>
      </c>
      <c r="AA61" s="55">
        <v>5205859918</v>
      </c>
      <c r="AB61" s="56">
        <v>1043837.65169</v>
      </c>
      <c r="AC61" s="56">
        <v>9000000</v>
      </c>
      <c r="AD61" s="56">
        <v>141199.467275495</v>
      </c>
      <c r="AE61" s="56">
        <v>160000</v>
      </c>
      <c r="AF61" s="56">
        <v>11612685.6785</v>
      </c>
      <c r="AG61" s="55">
        <v>5582721359</v>
      </c>
      <c r="AH61" s="55">
        <v>4809318318.8800001</v>
      </c>
      <c r="AI61" s="55">
        <v>10529409630</v>
      </c>
      <c r="AJ61" s="55">
        <v>1674297146</v>
      </c>
      <c r="AK61" s="15"/>
    </row>
    <row r="62" spans="1:37" ht="15.75" customHeight="1" x14ac:dyDescent="0.25">
      <c r="A62" s="13">
        <v>46120</v>
      </c>
      <c r="B62" s="56">
        <v>1382.5</v>
      </c>
      <c r="C62" s="55">
        <v>0</v>
      </c>
      <c r="D62" s="55">
        <v>1017149904</v>
      </c>
      <c r="E62" s="55">
        <v>12670000</v>
      </c>
      <c r="F62" s="55">
        <v>120419000</v>
      </c>
      <c r="G62" s="55">
        <v>314757</v>
      </c>
      <c r="H62" s="55">
        <v>2500000</v>
      </c>
      <c r="I62" s="55">
        <v>1601244716</v>
      </c>
      <c r="J62" s="55">
        <v>398655000</v>
      </c>
      <c r="K62" s="55">
        <v>0</v>
      </c>
      <c r="L62" s="55">
        <v>23306385</v>
      </c>
      <c r="M62" s="55">
        <v>0</v>
      </c>
      <c r="N62" s="55">
        <v>0</v>
      </c>
      <c r="O62" s="55">
        <v>0</v>
      </c>
      <c r="P62" s="55">
        <v>0</v>
      </c>
      <c r="Q62" s="55">
        <v>199614538</v>
      </c>
      <c r="R62" s="55">
        <v>0</v>
      </c>
      <c r="S62" s="55">
        <v>0</v>
      </c>
      <c r="T62" s="55">
        <v>0</v>
      </c>
      <c r="U62" s="55">
        <v>0</v>
      </c>
      <c r="V62" s="55">
        <v>0</v>
      </c>
      <c r="W62" s="55">
        <v>0</v>
      </c>
      <c r="X62" s="55">
        <v>1287374179</v>
      </c>
      <c r="Y62" s="55">
        <v>3746628000</v>
      </c>
      <c r="Z62" s="55">
        <v>202734656.16865</v>
      </c>
      <c r="AA62" s="55">
        <v>5443486561</v>
      </c>
      <c r="AB62" s="56">
        <v>1043837.65169</v>
      </c>
      <c r="AC62" s="56">
        <v>9000000</v>
      </c>
      <c r="AD62" s="56">
        <v>141199.467275495</v>
      </c>
      <c r="AE62" s="56">
        <v>160000</v>
      </c>
      <c r="AF62" s="56">
        <v>11790325.294500001</v>
      </c>
      <c r="AG62" s="55">
        <v>5582721359</v>
      </c>
      <c r="AH62" s="55">
        <v>4140256031.8000002</v>
      </c>
      <c r="AI62" s="55">
        <v>10533219112.5</v>
      </c>
      <c r="AJ62" s="55">
        <v>1674902898</v>
      </c>
      <c r="AK62" s="15"/>
    </row>
    <row r="63" spans="1:37" ht="15.75" customHeight="1" x14ac:dyDescent="0.25">
      <c r="A63" s="13">
        <v>46121</v>
      </c>
      <c r="B63" s="56">
        <v>1382.5</v>
      </c>
      <c r="C63" s="55">
        <v>0</v>
      </c>
      <c r="D63" s="55">
        <v>1175631886</v>
      </c>
      <c r="E63" s="55">
        <v>123676000</v>
      </c>
      <c r="F63" s="55">
        <v>65535000</v>
      </c>
      <c r="G63" s="55">
        <v>1601901</v>
      </c>
      <c r="H63" s="55">
        <v>2500000</v>
      </c>
      <c r="I63" s="55">
        <v>1576163559</v>
      </c>
      <c r="J63" s="55">
        <v>42810000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5">
        <v>1134776419</v>
      </c>
      <c r="R63" s="55">
        <v>0</v>
      </c>
      <c r="S63" s="55">
        <v>0</v>
      </c>
      <c r="T63" s="55">
        <v>0</v>
      </c>
      <c r="U63" s="55">
        <v>0</v>
      </c>
      <c r="V63" s="55">
        <v>0</v>
      </c>
      <c r="W63" s="55">
        <v>0</v>
      </c>
      <c r="X63" s="55">
        <v>1686304226</v>
      </c>
      <c r="Y63" s="55">
        <v>2366743698</v>
      </c>
      <c r="Z63" s="55">
        <v>202734656.16865</v>
      </c>
      <c r="AA63" s="55">
        <v>5260055414</v>
      </c>
      <c r="AB63" s="56">
        <v>1043837.65169</v>
      </c>
      <c r="AC63" s="56">
        <v>9000000</v>
      </c>
      <c r="AD63" s="56">
        <v>141199.467275495</v>
      </c>
      <c r="AE63" s="56">
        <v>160000</v>
      </c>
      <c r="AF63" s="56">
        <v>12461597.5765</v>
      </c>
      <c r="AG63" s="55">
        <v>5582721359</v>
      </c>
      <c r="AH63" s="55">
        <v>5314070090</v>
      </c>
      <c r="AI63" s="55">
        <v>10533219112.5</v>
      </c>
      <c r="AJ63" s="55">
        <v>1674902898</v>
      </c>
      <c r="AK63" s="15"/>
    </row>
    <row r="64" spans="1:37" ht="15.75" customHeight="1" x14ac:dyDescent="0.25">
      <c r="A64" s="13">
        <v>46122</v>
      </c>
      <c r="B64" s="56">
        <v>1382</v>
      </c>
      <c r="C64" s="55">
        <v>0</v>
      </c>
      <c r="D64" s="55">
        <v>1094067815</v>
      </c>
      <c r="E64" s="55">
        <v>-24741000</v>
      </c>
      <c r="F64" s="55">
        <v>50432000</v>
      </c>
      <c r="G64" s="55">
        <v>-47296000</v>
      </c>
      <c r="H64" s="55">
        <v>-12432000</v>
      </c>
      <c r="I64" s="55">
        <v>1608021539</v>
      </c>
      <c r="J64" s="55">
        <v>151448140</v>
      </c>
      <c r="K64" s="55">
        <v>0</v>
      </c>
      <c r="L64" s="55">
        <v>280819495</v>
      </c>
      <c r="M64" s="55">
        <v>0</v>
      </c>
      <c r="N64" s="55">
        <v>0</v>
      </c>
      <c r="O64" s="55">
        <v>0</v>
      </c>
      <c r="P64" s="55">
        <v>121038032</v>
      </c>
      <c r="Q64" s="55">
        <v>348167135</v>
      </c>
      <c r="R64" s="55">
        <v>0</v>
      </c>
      <c r="S64" s="55">
        <v>0</v>
      </c>
      <c r="T64" s="55">
        <v>0</v>
      </c>
      <c r="U64" s="55">
        <v>0</v>
      </c>
      <c r="V64" s="55">
        <v>0</v>
      </c>
      <c r="W64" s="55">
        <v>0</v>
      </c>
      <c r="X64" s="55">
        <v>2103842933</v>
      </c>
      <c r="Y64" s="55">
        <v>2027049642</v>
      </c>
      <c r="Z64" s="55">
        <v>202734656.16865</v>
      </c>
      <c r="AA64" s="55">
        <v>5682562836</v>
      </c>
      <c r="AB64" s="56">
        <v>1043837.65169</v>
      </c>
      <c r="AC64" s="56">
        <v>9000000</v>
      </c>
      <c r="AD64" s="56">
        <v>141199.467275495</v>
      </c>
      <c r="AE64" s="56">
        <v>160000</v>
      </c>
      <c r="AF64" s="56">
        <v>14538528.596999999</v>
      </c>
      <c r="AG64" s="55">
        <v>5582721359</v>
      </c>
      <c r="AH64" s="55">
        <v>5504015514.3800001</v>
      </c>
      <c r="AI64" s="55">
        <v>10529409630</v>
      </c>
      <c r="AJ64" s="55">
        <v>1674902898</v>
      </c>
      <c r="AK64" s="15"/>
    </row>
    <row r="65" spans="1:37" ht="15.75" customHeight="1" x14ac:dyDescent="0.25">
      <c r="A65" s="13">
        <v>46125</v>
      </c>
      <c r="B65" s="56">
        <v>1371.5</v>
      </c>
      <c r="C65" s="55">
        <v>0</v>
      </c>
      <c r="D65" s="55">
        <v>1175319480</v>
      </c>
      <c r="E65" s="55">
        <v>-14800000</v>
      </c>
      <c r="F65" s="55">
        <v>80000000</v>
      </c>
      <c r="G65" s="55">
        <v>-47296000</v>
      </c>
      <c r="H65" s="55">
        <v>2500000</v>
      </c>
      <c r="I65" s="55">
        <v>1542847285</v>
      </c>
      <c r="J65" s="55">
        <v>351202908</v>
      </c>
      <c r="K65" s="55">
        <v>0</v>
      </c>
      <c r="L65" s="55">
        <v>218300000</v>
      </c>
      <c r="M65" s="55">
        <v>0</v>
      </c>
      <c r="N65" s="55">
        <v>0</v>
      </c>
      <c r="O65" s="55">
        <v>0</v>
      </c>
      <c r="P65" s="55">
        <v>6971504</v>
      </c>
      <c r="Q65" s="55">
        <v>111568478</v>
      </c>
      <c r="R65" s="55">
        <v>0</v>
      </c>
      <c r="S65" s="55">
        <v>0</v>
      </c>
      <c r="T65" s="55">
        <v>0</v>
      </c>
      <c r="U65" s="55">
        <v>0</v>
      </c>
      <c r="V65" s="55">
        <v>0</v>
      </c>
      <c r="W65" s="55">
        <v>0</v>
      </c>
      <c r="X65" s="55">
        <v>1932169958</v>
      </c>
      <c r="Y65" s="55">
        <v>1746864264</v>
      </c>
      <c r="Z65" s="55">
        <v>202734656.16865</v>
      </c>
      <c r="AA65" s="55">
        <v>5567248779</v>
      </c>
      <c r="AB65" s="56">
        <v>1043837.65169</v>
      </c>
      <c r="AC65" s="56">
        <v>9000000</v>
      </c>
      <c r="AD65" s="56">
        <v>141199.467275495</v>
      </c>
      <c r="AE65" s="56">
        <v>160000</v>
      </c>
      <c r="AF65" s="56">
        <v>15414085.287</v>
      </c>
      <c r="AG65" s="55">
        <v>5582721359</v>
      </c>
      <c r="AH65" s="55">
        <v>4662286275.335</v>
      </c>
      <c r="AI65" s="55">
        <v>8655009844</v>
      </c>
      <c r="AJ65" s="55">
        <v>1525590577</v>
      </c>
      <c r="AK65" s="15"/>
    </row>
    <row r="66" spans="1:37" ht="15.75" customHeight="1" x14ac:dyDescent="0.25">
      <c r="A66" s="13">
        <v>46126</v>
      </c>
      <c r="B66" s="56">
        <v>1360</v>
      </c>
      <c r="C66" s="55">
        <v>0</v>
      </c>
      <c r="D66" s="55">
        <v>1403445482</v>
      </c>
      <c r="E66" s="55">
        <v>101354000</v>
      </c>
      <c r="F66" s="55">
        <v>85648232</v>
      </c>
      <c r="G66" s="55">
        <v>2698000</v>
      </c>
      <c r="H66" s="55">
        <v>3456000</v>
      </c>
      <c r="I66" s="55">
        <v>1310322293</v>
      </c>
      <c r="J66" s="55">
        <v>369655847</v>
      </c>
      <c r="K66" s="55">
        <v>0</v>
      </c>
      <c r="L66" s="55">
        <v>11005220</v>
      </c>
      <c r="M66" s="55">
        <v>0</v>
      </c>
      <c r="N66" s="55">
        <v>0</v>
      </c>
      <c r="O66" s="55">
        <v>0</v>
      </c>
      <c r="P66" s="55">
        <v>170686877</v>
      </c>
      <c r="Q66" s="55">
        <v>194410416</v>
      </c>
      <c r="R66" s="55">
        <v>0</v>
      </c>
      <c r="S66" s="55">
        <v>0</v>
      </c>
      <c r="T66" s="55">
        <v>0</v>
      </c>
      <c r="U66" s="55">
        <v>0</v>
      </c>
      <c r="V66" s="55">
        <v>0</v>
      </c>
      <c r="W66" s="55">
        <v>0</v>
      </c>
      <c r="X66" s="55">
        <v>2839096283</v>
      </c>
      <c r="Y66" s="55">
        <v>1459313632</v>
      </c>
      <c r="Z66" s="55">
        <v>202734656.16865</v>
      </c>
      <c r="AA66" s="56">
        <v>5323936474</v>
      </c>
      <c r="AB66" s="56">
        <v>1043837.65169</v>
      </c>
      <c r="AC66" s="56">
        <v>9000000</v>
      </c>
      <c r="AD66" s="56">
        <v>141199.467275495</v>
      </c>
      <c r="AE66" s="56">
        <v>160000</v>
      </c>
      <c r="AF66" s="56">
        <v>15805699.747</v>
      </c>
      <c r="AG66" s="56">
        <v>5582721359</v>
      </c>
      <c r="AH66" s="55">
        <v>3817389440</v>
      </c>
      <c r="AI66" s="55">
        <v>8988796240</v>
      </c>
      <c r="AJ66" s="55">
        <v>0</v>
      </c>
      <c r="AK66" s="15"/>
    </row>
    <row r="67" spans="1:37" ht="15.75" customHeight="1" x14ac:dyDescent="0.25">
      <c r="A67" s="13">
        <v>46127</v>
      </c>
      <c r="B67" s="56">
        <v>1352</v>
      </c>
      <c r="C67" s="55">
        <v>0</v>
      </c>
      <c r="D67" s="55">
        <v>1403445482</v>
      </c>
      <c r="E67" s="55">
        <v>206593000</v>
      </c>
      <c r="F67" s="55">
        <v>85648232</v>
      </c>
      <c r="G67" s="55">
        <v>2611000</v>
      </c>
      <c r="H67" s="55">
        <v>3456000</v>
      </c>
      <c r="I67" s="55">
        <v>1310322293</v>
      </c>
      <c r="J67" s="55">
        <v>337214711</v>
      </c>
      <c r="K67" s="55">
        <v>0</v>
      </c>
      <c r="L67" s="55">
        <v>17878000</v>
      </c>
      <c r="M67" s="55">
        <v>0</v>
      </c>
      <c r="N67" s="55">
        <v>0</v>
      </c>
      <c r="O67" s="55">
        <v>0</v>
      </c>
      <c r="P67" s="55">
        <v>10914176</v>
      </c>
      <c r="Q67" s="55">
        <v>135510630</v>
      </c>
      <c r="R67" s="55">
        <v>0</v>
      </c>
      <c r="S67" s="55">
        <v>0</v>
      </c>
      <c r="T67" s="55">
        <v>0</v>
      </c>
      <c r="U67" s="55">
        <v>0</v>
      </c>
      <c r="V67" s="55">
        <v>0</v>
      </c>
      <c r="W67" s="55">
        <v>0</v>
      </c>
      <c r="X67" s="55">
        <v>2495481224</v>
      </c>
      <c r="Y67" s="55">
        <v>1377700645</v>
      </c>
      <c r="Z67" s="55">
        <v>202734656.16865</v>
      </c>
      <c r="AA67" s="56">
        <v>5326477214</v>
      </c>
      <c r="AB67" s="56">
        <v>1043837.65169</v>
      </c>
      <c r="AC67" s="56">
        <v>9000000</v>
      </c>
      <c r="AD67" s="56">
        <v>141199.467275495</v>
      </c>
      <c r="AE67" s="56">
        <v>160000</v>
      </c>
      <c r="AF67" s="56">
        <v>14987064.137</v>
      </c>
      <c r="AG67" s="56">
        <v>5582721359</v>
      </c>
      <c r="AH67" s="55">
        <v>3567315544</v>
      </c>
      <c r="AI67" s="55">
        <v>8935920968</v>
      </c>
      <c r="AJ67" s="55">
        <v>0</v>
      </c>
      <c r="AK67" s="15"/>
    </row>
    <row r="68" spans="1:37" ht="15.75" customHeight="1" x14ac:dyDescent="0.25">
      <c r="A68" s="13">
        <v>46128</v>
      </c>
      <c r="B68" s="56">
        <v>1360</v>
      </c>
      <c r="C68" s="55">
        <v>0</v>
      </c>
      <c r="D68" s="55">
        <v>1210218285</v>
      </c>
      <c r="E68" s="55">
        <v>154506000</v>
      </c>
      <c r="F68" s="55">
        <v>206414000</v>
      </c>
      <c r="G68" s="55">
        <v>2669000</v>
      </c>
      <c r="H68" s="55">
        <v>3456000</v>
      </c>
      <c r="I68" s="55">
        <v>1265122000</v>
      </c>
      <c r="J68" s="55">
        <v>192956961</v>
      </c>
      <c r="K68" s="55">
        <v>0</v>
      </c>
      <c r="L68" s="55">
        <v>3652167</v>
      </c>
      <c r="M68" s="55">
        <v>0</v>
      </c>
      <c r="N68" s="55">
        <v>0</v>
      </c>
      <c r="O68" s="55">
        <v>0</v>
      </c>
      <c r="P68" s="55">
        <v>0</v>
      </c>
      <c r="Q68" s="55">
        <v>5532358</v>
      </c>
      <c r="R68" s="55">
        <v>0</v>
      </c>
      <c r="S68" s="55">
        <v>0</v>
      </c>
      <c r="T68" s="55">
        <v>27315764</v>
      </c>
      <c r="U68" s="55">
        <v>60000000</v>
      </c>
      <c r="V68" s="55">
        <v>0</v>
      </c>
      <c r="W68" s="55">
        <v>0</v>
      </c>
      <c r="X68" s="55">
        <v>2893419877</v>
      </c>
      <c r="Y68" s="55">
        <v>1329325329</v>
      </c>
      <c r="Z68" s="55">
        <v>202734656.16865</v>
      </c>
      <c r="AA68" s="56">
        <v>5326477214</v>
      </c>
      <c r="AB68" s="56">
        <v>1073356.5716899999</v>
      </c>
      <c r="AC68" s="56">
        <v>9000000</v>
      </c>
      <c r="AD68" s="56">
        <v>141199.467275495</v>
      </c>
      <c r="AE68" s="56">
        <v>160000</v>
      </c>
      <c r="AF68" s="56">
        <v>15105321.484999999</v>
      </c>
      <c r="AG68" s="56">
        <v>5582721359</v>
      </c>
      <c r="AH68" s="55">
        <v>3627743288</v>
      </c>
      <c r="AI68" s="55">
        <v>8756902640</v>
      </c>
      <c r="AJ68" s="55">
        <v>0</v>
      </c>
      <c r="AK68" s="15"/>
    </row>
    <row r="69" spans="1:37" ht="15.75" customHeight="1" x14ac:dyDescent="0.25">
      <c r="A69" s="13">
        <v>46129</v>
      </c>
      <c r="B69" s="56">
        <v>1350.5</v>
      </c>
      <c r="C69" s="55">
        <v>0</v>
      </c>
      <c r="D69" s="55">
        <v>1267593265</v>
      </c>
      <c r="E69" s="55">
        <v>76372453</v>
      </c>
      <c r="F69" s="55">
        <v>74285000</v>
      </c>
      <c r="G69" s="55">
        <v>9854000</v>
      </c>
      <c r="H69" s="55">
        <v>5000000</v>
      </c>
      <c r="I69" s="55">
        <v>1123224296</v>
      </c>
      <c r="J69" s="55">
        <v>469448182</v>
      </c>
      <c r="K69" s="55">
        <v>0</v>
      </c>
      <c r="L69" s="55">
        <v>29391431</v>
      </c>
      <c r="M69" s="55">
        <v>0</v>
      </c>
      <c r="N69" s="55">
        <v>0</v>
      </c>
      <c r="O69" s="55">
        <v>0</v>
      </c>
      <c r="P69" s="55">
        <v>0</v>
      </c>
      <c r="Q69" s="55">
        <v>5316363</v>
      </c>
      <c r="R69" s="55">
        <v>0</v>
      </c>
      <c r="S69" s="55">
        <v>0</v>
      </c>
      <c r="T69" s="55">
        <v>0</v>
      </c>
      <c r="U69" s="55">
        <v>0</v>
      </c>
      <c r="V69" s="55">
        <v>0</v>
      </c>
      <c r="W69" s="55">
        <v>0</v>
      </c>
      <c r="X69" s="55">
        <v>2690024375</v>
      </c>
      <c r="Y69" s="55">
        <v>1324212687</v>
      </c>
      <c r="Z69" s="55">
        <v>202734656.16865</v>
      </c>
      <c r="AA69" s="56">
        <v>4452570427</v>
      </c>
      <c r="AB69" s="56">
        <v>1073356.5716899999</v>
      </c>
      <c r="AC69" s="56">
        <v>9000000</v>
      </c>
      <c r="AD69" s="56">
        <v>141199.467275495</v>
      </c>
      <c r="AE69" s="56">
        <v>160000</v>
      </c>
      <c r="AF69" s="56">
        <v>15276296.839</v>
      </c>
      <c r="AG69" s="56">
        <v>5582721359</v>
      </c>
      <c r="AH69" s="55">
        <v>3303933250.4349999</v>
      </c>
      <c r="AI69" s="55">
        <v>8165952205</v>
      </c>
      <c r="AJ69" s="55">
        <v>0</v>
      </c>
      <c r="AK69" s="15"/>
    </row>
    <row r="70" spans="1:37" ht="15.75" customHeight="1" x14ac:dyDescent="0.25">
      <c r="A70" s="13">
        <v>46132</v>
      </c>
      <c r="B70" s="56">
        <v>1355.5</v>
      </c>
      <c r="C70" s="55">
        <v>0</v>
      </c>
      <c r="D70" s="55">
        <v>1267593265</v>
      </c>
      <c r="E70" s="55">
        <v>-116067000</v>
      </c>
      <c r="F70" s="55">
        <v>52600000</v>
      </c>
      <c r="G70" s="55">
        <v>4790000</v>
      </c>
      <c r="H70" s="55">
        <v>5000000</v>
      </c>
      <c r="I70" s="55">
        <v>1240572794</v>
      </c>
      <c r="J70" s="55">
        <v>300914150</v>
      </c>
      <c r="K70" s="55">
        <v>0</v>
      </c>
      <c r="L70" s="55">
        <v>77682307</v>
      </c>
      <c r="M70" s="55">
        <v>0</v>
      </c>
      <c r="N70" s="55">
        <v>0</v>
      </c>
      <c r="O70" s="55">
        <v>0</v>
      </c>
      <c r="P70" s="55">
        <v>14964634</v>
      </c>
      <c r="Q70" s="55">
        <v>158411799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55">
        <v>0</v>
      </c>
      <c r="X70" s="55">
        <v>2626877814</v>
      </c>
      <c r="Y70" s="55">
        <v>1210621552</v>
      </c>
      <c r="Z70" s="55">
        <v>202734656.16865</v>
      </c>
      <c r="AA70" s="56">
        <v>4251587803</v>
      </c>
      <c r="AB70" s="56">
        <v>1073356.5716899999</v>
      </c>
      <c r="AC70" s="56">
        <v>9000000</v>
      </c>
      <c r="AD70" s="56">
        <v>141199.467275495</v>
      </c>
      <c r="AE70" s="56">
        <v>160000</v>
      </c>
      <c r="AF70" s="56">
        <v>15276296.839</v>
      </c>
      <c r="AG70" s="56">
        <v>5582721359</v>
      </c>
      <c r="AH70" s="55">
        <v>2711482923.9850001</v>
      </c>
      <c r="AI70" s="55">
        <v>9988148144</v>
      </c>
      <c r="AJ70" s="55">
        <v>80200000</v>
      </c>
      <c r="AK70" s="15"/>
    </row>
    <row r="71" spans="1:37" ht="15.75" customHeight="1" x14ac:dyDescent="0.25">
      <c r="A71" s="13">
        <v>46133</v>
      </c>
      <c r="B71" s="56">
        <v>1372</v>
      </c>
      <c r="C71" s="55">
        <v>0</v>
      </c>
      <c r="D71" s="55">
        <v>1338654892</v>
      </c>
      <c r="E71" s="55">
        <v>-35371000</v>
      </c>
      <c r="F71" s="55">
        <v>163000000</v>
      </c>
      <c r="G71" s="55">
        <v>4790000</v>
      </c>
      <c r="H71" s="55">
        <v>5000000</v>
      </c>
      <c r="I71" s="55">
        <v>1110138054</v>
      </c>
      <c r="J71" s="55">
        <v>292098764</v>
      </c>
      <c r="K71" s="55">
        <v>0</v>
      </c>
      <c r="L71" s="55">
        <v>0</v>
      </c>
      <c r="M71" s="55">
        <v>0</v>
      </c>
      <c r="N71" s="55">
        <v>0</v>
      </c>
      <c r="O71" s="55">
        <v>0</v>
      </c>
      <c r="P71" s="55">
        <v>201453922</v>
      </c>
      <c r="Q71" s="55">
        <v>133001436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2169131172</v>
      </c>
      <c r="Y71" s="55">
        <v>765562959</v>
      </c>
      <c r="Z71" s="55">
        <v>202734656.16865</v>
      </c>
      <c r="AA71" s="56">
        <v>4290166643</v>
      </c>
      <c r="AB71" s="56">
        <v>1146353.5376899999</v>
      </c>
      <c r="AC71" s="56">
        <v>9000000</v>
      </c>
      <c r="AD71" s="56">
        <v>141199.467275495</v>
      </c>
      <c r="AE71" s="56">
        <v>160000</v>
      </c>
      <c r="AF71" s="56">
        <v>16078914.694499999</v>
      </c>
      <c r="AG71" s="56">
        <v>5582721359</v>
      </c>
      <c r="AH71" s="55">
        <v>2560829452.4400001</v>
      </c>
      <c r="AI71" s="55">
        <v>10109730176</v>
      </c>
      <c r="AJ71" s="55">
        <v>80265000</v>
      </c>
      <c r="AK71" s="15"/>
    </row>
    <row r="72" spans="1:37" ht="15.75" customHeight="1" x14ac:dyDescent="0.25">
      <c r="A72" s="13">
        <v>46134</v>
      </c>
      <c r="B72" s="56">
        <v>1377</v>
      </c>
      <c r="C72" s="55">
        <v>0</v>
      </c>
      <c r="D72" s="55">
        <v>1391899942</v>
      </c>
      <c r="E72" s="55">
        <v>295000000</v>
      </c>
      <c r="F72" s="55">
        <v>143000000</v>
      </c>
      <c r="G72" s="55">
        <v>9743000</v>
      </c>
      <c r="H72" s="55">
        <v>5000000</v>
      </c>
      <c r="I72" s="55">
        <v>1055697748</v>
      </c>
      <c r="J72" s="55">
        <v>211947173</v>
      </c>
      <c r="K72" s="55">
        <v>0</v>
      </c>
      <c r="L72" s="55">
        <v>842000</v>
      </c>
      <c r="M72" s="55">
        <v>0</v>
      </c>
      <c r="N72" s="55">
        <v>0</v>
      </c>
      <c r="O72" s="55">
        <v>141952080</v>
      </c>
      <c r="P72" s="55">
        <v>0</v>
      </c>
      <c r="Q72" s="55">
        <v>89500000</v>
      </c>
      <c r="R72" s="55">
        <v>0</v>
      </c>
      <c r="S72" s="55">
        <v>0</v>
      </c>
      <c r="T72" s="55">
        <v>0</v>
      </c>
      <c r="U72" s="55">
        <v>80000000</v>
      </c>
      <c r="V72" s="55">
        <v>0</v>
      </c>
      <c r="W72" s="55">
        <v>0</v>
      </c>
      <c r="X72" s="55">
        <v>1992139178</v>
      </c>
      <c r="Y72" s="55">
        <v>560117810</v>
      </c>
      <c r="Z72" s="55">
        <v>202734656.16865</v>
      </c>
      <c r="AA72" s="56">
        <v>4379298833</v>
      </c>
      <c r="AB72" s="56">
        <v>1146353.5376899999</v>
      </c>
      <c r="AC72" s="56">
        <v>9000000</v>
      </c>
      <c r="AD72" s="56">
        <v>141199.467275495</v>
      </c>
      <c r="AE72" s="56">
        <v>160000</v>
      </c>
      <c r="AF72" s="56">
        <v>16224100.4625</v>
      </c>
      <c r="AG72" s="56">
        <v>5582721359</v>
      </c>
      <c r="AH72" s="55">
        <v>2313985529.79</v>
      </c>
      <c r="AI72" s="55">
        <v>9900817272</v>
      </c>
      <c r="AJ72" s="55">
        <v>80300000</v>
      </c>
      <c r="AK72" s="15"/>
    </row>
    <row r="73" spans="1:37" ht="15.75" customHeight="1" x14ac:dyDescent="0.25">
      <c r="A73" s="13">
        <v>46135</v>
      </c>
      <c r="B73" s="56">
        <v>1373.5</v>
      </c>
      <c r="C73" s="55">
        <v>0</v>
      </c>
      <c r="D73" s="55">
        <v>1414433742</v>
      </c>
      <c r="E73" s="55">
        <v>27566000</v>
      </c>
      <c r="F73" s="55">
        <v>17046000</v>
      </c>
      <c r="G73" s="55">
        <v>2895000</v>
      </c>
      <c r="H73" s="55">
        <v>5000000</v>
      </c>
      <c r="I73" s="55">
        <v>1206468829</v>
      </c>
      <c r="J73" s="55">
        <v>255556200</v>
      </c>
      <c r="K73" s="55">
        <v>0</v>
      </c>
      <c r="L73" s="55">
        <v>33242998</v>
      </c>
      <c r="M73" s="55">
        <v>0</v>
      </c>
      <c r="N73" s="55">
        <v>0</v>
      </c>
      <c r="O73" s="55">
        <v>0</v>
      </c>
      <c r="P73" s="55">
        <v>21014869</v>
      </c>
      <c r="Q73" s="55">
        <v>15400000</v>
      </c>
      <c r="R73" s="55">
        <v>0</v>
      </c>
      <c r="S73" s="55">
        <v>0</v>
      </c>
      <c r="T73" s="55">
        <v>22900000</v>
      </c>
      <c r="U73" s="55">
        <v>0</v>
      </c>
      <c r="V73" s="55">
        <v>0</v>
      </c>
      <c r="W73" s="55">
        <v>0</v>
      </c>
      <c r="X73" s="55">
        <v>1519394912</v>
      </c>
      <c r="Y73" s="55">
        <v>551752466</v>
      </c>
      <c r="Z73" s="55">
        <v>202734656.16865</v>
      </c>
      <c r="AA73" s="56">
        <v>4712030319</v>
      </c>
      <c r="AB73" s="56">
        <v>1146353.5376899999</v>
      </c>
      <c r="AC73" s="56">
        <v>9000000</v>
      </c>
      <c r="AD73" s="56">
        <v>141199.467275495</v>
      </c>
      <c r="AE73" s="56">
        <v>160000</v>
      </c>
      <c r="AF73" s="56">
        <v>16778257.956500001</v>
      </c>
      <c r="AG73" s="56">
        <v>5582721359</v>
      </c>
      <c r="AH73" s="55">
        <v>1753393164.7449999</v>
      </c>
      <c r="AI73" s="55">
        <v>9875651796</v>
      </c>
      <c r="AJ73" s="55">
        <v>15309000</v>
      </c>
      <c r="AK73" s="15"/>
    </row>
    <row r="74" spans="1:37" ht="15.75" customHeight="1" x14ac:dyDescent="0.25">
      <c r="A74" s="13">
        <v>46136</v>
      </c>
      <c r="B74" s="56">
        <v>1382</v>
      </c>
      <c r="C74" s="55">
        <v>0</v>
      </c>
      <c r="D74" s="55">
        <v>1597175171</v>
      </c>
      <c r="E74" s="55">
        <v>75000000</v>
      </c>
      <c r="F74" s="55">
        <v>43802000</v>
      </c>
      <c r="G74" s="55">
        <v>9793000</v>
      </c>
      <c r="H74" s="55">
        <v>5000000</v>
      </c>
      <c r="I74" s="55">
        <v>1077543013</v>
      </c>
      <c r="J74" s="55">
        <v>234611000</v>
      </c>
      <c r="K74" s="55">
        <v>0</v>
      </c>
      <c r="L74" s="55">
        <v>5400000</v>
      </c>
      <c r="M74" s="55">
        <v>0</v>
      </c>
      <c r="N74" s="55">
        <v>0</v>
      </c>
      <c r="O74" s="55">
        <v>2056026</v>
      </c>
      <c r="P74" s="55">
        <v>0</v>
      </c>
      <c r="Q74" s="55">
        <v>15684872</v>
      </c>
      <c r="R74" s="55">
        <v>0</v>
      </c>
      <c r="S74" s="55">
        <v>0</v>
      </c>
      <c r="T74" s="55">
        <v>0</v>
      </c>
      <c r="U74" s="55">
        <v>0</v>
      </c>
      <c r="V74" s="55">
        <v>0</v>
      </c>
      <c r="W74" s="55">
        <v>0</v>
      </c>
      <c r="X74" s="55">
        <v>1585276144</v>
      </c>
      <c r="Y74" s="55">
        <v>881125903</v>
      </c>
      <c r="Z74" s="55">
        <v>202734656.16865</v>
      </c>
      <c r="AA74" s="56">
        <v>4694734694</v>
      </c>
      <c r="AB74" s="56">
        <v>1197403.0916899999</v>
      </c>
      <c r="AC74" s="56">
        <v>9000000</v>
      </c>
      <c r="AD74" s="56">
        <v>141199.467275495</v>
      </c>
      <c r="AE74" s="56">
        <v>160000</v>
      </c>
      <c r="AF74" s="56">
        <v>17866546.067499999</v>
      </c>
      <c r="AG74" s="56">
        <v>5582721359</v>
      </c>
      <c r="AH74" s="55">
        <v>1415845622.24</v>
      </c>
      <c r="AI74" s="55">
        <v>9936767952</v>
      </c>
      <c r="AJ74" s="55">
        <v>15316000</v>
      </c>
      <c r="AK74" s="15"/>
    </row>
    <row r="75" spans="1:37" ht="15.75" customHeight="1" x14ac:dyDescent="0.25">
      <c r="A75" s="13">
        <v>46139</v>
      </c>
      <c r="B75" s="56">
        <v>1392</v>
      </c>
      <c r="C75" s="55">
        <v>0</v>
      </c>
      <c r="D75" s="55">
        <v>1175405558</v>
      </c>
      <c r="E75" s="55">
        <v>60784000</v>
      </c>
      <c r="F75" s="55">
        <v>52904000</v>
      </c>
      <c r="G75" s="55">
        <v>-850000</v>
      </c>
      <c r="H75" s="55">
        <v>5000000</v>
      </c>
      <c r="I75" s="55">
        <v>1508308609</v>
      </c>
      <c r="J75" s="55">
        <v>252767155</v>
      </c>
      <c r="K75" s="55">
        <v>0</v>
      </c>
      <c r="L75" s="55">
        <v>4233335</v>
      </c>
      <c r="M75" s="55">
        <v>0</v>
      </c>
      <c r="N75" s="55">
        <v>0</v>
      </c>
      <c r="O75" s="55">
        <v>13501112</v>
      </c>
      <c r="P75" s="55">
        <v>0</v>
      </c>
      <c r="Q75" s="55">
        <v>0</v>
      </c>
      <c r="R75" s="55">
        <v>0</v>
      </c>
      <c r="S75" s="55">
        <v>0</v>
      </c>
      <c r="T75" s="55">
        <v>0</v>
      </c>
      <c r="U75" s="55">
        <v>0</v>
      </c>
      <c r="V75" s="55">
        <v>0</v>
      </c>
      <c r="W75" s="55">
        <v>0</v>
      </c>
      <c r="X75" s="55">
        <v>1343741521</v>
      </c>
      <c r="Y75" s="55">
        <v>864331855</v>
      </c>
      <c r="Z75" s="55">
        <v>202734656.16865</v>
      </c>
      <c r="AA75" s="56">
        <v>5547195047</v>
      </c>
      <c r="AB75" s="56">
        <v>1197403.0916899999</v>
      </c>
      <c r="AC75" s="56">
        <v>9000000</v>
      </c>
      <c r="AD75" s="56">
        <v>141199.467275495</v>
      </c>
      <c r="AE75" s="56">
        <v>160000</v>
      </c>
      <c r="AF75" s="56">
        <v>19735952.995499998</v>
      </c>
      <c r="AG75" s="56">
        <v>5582721359</v>
      </c>
      <c r="AH75" s="55">
        <v>1255812844.8</v>
      </c>
      <c r="AI75" s="55">
        <v>10846823136</v>
      </c>
      <c r="AJ75" s="55">
        <v>15337000</v>
      </c>
      <c r="AK75" s="15"/>
    </row>
    <row r="76" spans="1:37" ht="15.75" customHeight="1" x14ac:dyDescent="0.25">
      <c r="A76" s="13">
        <v>46140</v>
      </c>
      <c r="B76" s="56">
        <v>1406</v>
      </c>
      <c r="C76" s="55">
        <v>0</v>
      </c>
      <c r="D76" s="55">
        <v>1246590848</v>
      </c>
      <c r="E76" s="55">
        <v>155954000</v>
      </c>
      <c r="F76" s="55">
        <v>168196000</v>
      </c>
      <c r="G76" s="55">
        <v>1889000</v>
      </c>
      <c r="H76" s="55">
        <v>2000000</v>
      </c>
      <c r="I76" s="55">
        <v>988265645</v>
      </c>
      <c r="J76" s="55">
        <v>253969477</v>
      </c>
      <c r="K76" s="55">
        <v>0</v>
      </c>
      <c r="L76" s="55">
        <v>2400000</v>
      </c>
      <c r="M76" s="55">
        <v>0</v>
      </c>
      <c r="N76" s="55">
        <v>0</v>
      </c>
      <c r="O76" s="55">
        <v>0</v>
      </c>
      <c r="P76" s="55">
        <v>0</v>
      </c>
      <c r="Q76" s="55">
        <v>29500000</v>
      </c>
      <c r="R76" s="55">
        <v>0</v>
      </c>
      <c r="S76" s="55">
        <v>0</v>
      </c>
      <c r="T76" s="55">
        <v>0</v>
      </c>
      <c r="U76" s="55">
        <v>0</v>
      </c>
      <c r="V76" s="55">
        <v>0</v>
      </c>
      <c r="W76" s="55">
        <v>0</v>
      </c>
      <c r="X76" s="55">
        <v>1095625975</v>
      </c>
      <c r="Y76" s="55">
        <v>847059423</v>
      </c>
      <c r="Z76" s="55">
        <v>202734656.16865</v>
      </c>
      <c r="AA76" s="56">
        <v>5696016937</v>
      </c>
      <c r="AB76" s="56">
        <v>1197403.0916899999</v>
      </c>
      <c r="AC76" s="56">
        <v>9000000</v>
      </c>
      <c r="AD76" s="56">
        <v>141199.467275495</v>
      </c>
      <c r="AE76" s="56">
        <v>160000</v>
      </c>
      <c r="AF76" s="56">
        <v>20113367.468499999</v>
      </c>
      <c r="AG76" s="56">
        <v>5582721359</v>
      </c>
      <c r="AH76" s="55">
        <v>1000314869</v>
      </c>
      <c r="AI76" s="55">
        <v>10886710022</v>
      </c>
      <c r="AJ76" s="55">
        <v>15344000</v>
      </c>
      <c r="AK76" s="15"/>
    </row>
    <row r="77" spans="1:37" ht="15.75" customHeight="1" x14ac:dyDescent="0.25">
      <c r="A77" s="13">
        <v>46141</v>
      </c>
      <c r="B77" s="56">
        <v>1400</v>
      </c>
      <c r="C77" s="55">
        <v>0</v>
      </c>
      <c r="D77" s="55">
        <v>957101202</v>
      </c>
      <c r="E77" s="55">
        <v>-105615000</v>
      </c>
      <c r="F77" s="55">
        <v>183500000</v>
      </c>
      <c r="G77" s="55">
        <v>1946000</v>
      </c>
      <c r="H77" s="55">
        <v>2000000</v>
      </c>
      <c r="I77" s="55">
        <v>955153045</v>
      </c>
      <c r="J77" s="55">
        <v>387161334</v>
      </c>
      <c r="K77" s="55">
        <v>0</v>
      </c>
      <c r="L77" s="55">
        <v>4086149</v>
      </c>
      <c r="M77" s="55">
        <v>0</v>
      </c>
      <c r="N77" s="55">
        <v>0</v>
      </c>
      <c r="O77" s="55">
        <v>7328761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870640000</v>
      </c>
      <c r="Y77" s="55">
        <v>1020219535</v>
      </c>
      <c r="Z77" s="55">
        <v>202734656.16865</v>
      </c>
      <c r="AA77" s="56">
        <v>6059237792</v>
      </c>
      <c r="AB77" s="56">
        <v>1197403.0916899999</v>
      </c>
      <c r="AC77" s="56">
        <v>9000000</v>
      </c>
      <c r="AD77" s="56">
        <v>141199.467275495</v>
      </c>
      <c r="AE77" s="56">
        <v>160000</v>
      </c>
      <c r="AF77" s="56">
        <v>20113367.468499999</v>
      </c>
      <c r="AG77" s="56">
        <v>5582721359</v>
      </c>
      <c r="AH77" s="55">
        <v>1440833100</v>
      </c>
      <c r="AI77" s="55">
        <v>10870927200</v>
      </c>
      <c r="AJ77" s="55">
        <v>15351000</v>
      </c>
      <c r="AK77" s="15"/>
    </row>
    <row r="78" spans="1:37" ht="15.75" customHeight="1" x14ac:dyDescent="0.25">
      <c r="A78" s="13">
        <v>46142</v>
      </c>
      <c r="B78" s="56">
        <v>1400</v>
      </c>
      <c r="C78" s="55">
        <v>0</v>
      </c>
      <c r="D78" s="55">
        <v>1116981335</v>
      </c>
      <c r="E78" s="55">
        <v>21500000</v>
      </c>
      <c r="F78" s="55">
        <v>324500000</v>
      </c>
      <c r="G78" s="55">
        <v>1946000</v>
      </c>
      <c r="H78" s="55">
        <v>2000000</v>
      </c>
      <c r="I78" s="55">
        <v>1013495558</v>
      </c>
      <c r="J78" s="55">
        <v>419782337</v>
      </c>
      <c r="K78" s="55">
        <v>0</v>
      </c>
      <c r="L78" s="55">
        <v>115404377</v>
      </c>
      <c r="M78" s="55">
        <v>0</v>
      </c>
      <c r="N78" s="55">
        <v>0</v>
      </c>
      <c r="O78" s="55">
        <v>0</v>
      </c>
      <c r="P78" s="55">
        <v>0</v>
      </c>
      <c r="Q78" s="55">
        <v>4527200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5">
        <v>0</v>
      </c>
      <c r="X78" s="55">
        <v>949484713</v>
      </c>
      <c r="Y78" s="55">
        <v>1574004295</v>
      </c>
      <c r="Z78" s="55">
        <v>202734656.16865</v>
      </c>
      <c r="AA78" s="56">
        <v>6734890193</v>
      </c>
      <c r="AB78" s="56">
        <v>1197403.0916899999</v>
      </c>
      <c r="AC78" s="56">
        <v>9000000</v>
      </c>
      <c r="AD78" s="56">
        <v>141199.467275495</v>
      </c>
      <c r="AE78" s="56">
        <v>160000</v>
      </c>
      <c r="AF78" s="56">
        <v>10799849.478499999</v>
      </c>
      <c r="AG78" s="56">
        <v>5582721359</v>
      </c>
      <c r="AH78" s="55">
        <v>2504740980</v>
      </c>
      <c r="AI78" s="55">
        <v>10664858400</v>
      </c>
      <c r="AJ78" s="55">
        <v>15375000</v>
      </c>
      <c r="AK78" s="15"/>
    </row>
    <row r="79" spans="1:37" ht="15.75" customHeight="1" x14ac:dyDescent="0.25">
      <c r="A79" s="13">
        <v>46146</v>
      </c>
      <c r="B79" s="56">
        <v>1375</v>
      </c>
      <c r="C79" s="55">
        <v>0</v>
      </c>
      <c r="D79" s="55">
        <v>1131935735</v>
      </c>
      <c r="E79" s="55">
        <v>166033000</v>
      </c>
      <c r="F79" s="55">
        <v>28500000</v>
      </c>
      <c r="G79" s="55">
        <v>8048000</v>
      </c>
      <c r="H79" s="55">
        <v>2000000</v>
      </c>
      <c r="I79" s="55">
        <v>903817018</v>
      </c>
      <c r="J79" s="55">
        <v>229734851</v>
      </c>
      <c r="K79" s="55">
        <v>0</v>
      </c>
      <c r="L79" s="55">
        <v>150337439</v>
      </c>
      <c r="M79" s="55">
        <v>0</v>
      </c>
      <c r="N79" s="55">
        <v>0</v>
      </c>
      <c r="O79" s="55">
        <v>0</v>
      </c>
      <c r="P79" s="55">
        <v>0</v>
      </c>
      <c r="Q79" s="55">
        <v>219029189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761417437</v>
      </c>
      <c r="Y79" s="55">
        <v>1204637667</v>
      </c>
      <c r="Z79" s="55">
        <v>202734656.16865</v>
      </c>
      <c r="AA79" s="56">
        <v>6714755409</v>
      </c>
      <c r="AB79" s="56">
        <v>1197403.0916899999</v>
      </c>
      <c r="AC79" s="56">
        <v>9000000</v>
      </c>
      <c r="AD79" s="56">
        <v>141199.467275495</v>
      </c>
      <c r="AE79" s="56">
        <v>280000</v>
      </c>
      <c r="AF79" s="56">
        <v>11061867.478499999</v>
      </c>
      <c r="AG79" s="56">
        <v>5582721359</v>
      </c>
      <c r="AH79" s="55">
        <v>2267595962.5</v>
      </c>
      <c r="AI79" s="55">
        <v>10000689875</v>
      </c>
      <c r="AJ79" s="55">
        <v>15387507</v>
      </c>
      <c r="AK79" s="15"/>
    </row>
    <row r="80" spans="1:37" ht="15.75" customHeight="1" x14ac:dyDescent="0.25">
      <c r="A80" s="13">
        <v>46147</v>
      </c>
      <c r="B80" s="56">
        <v>1396.5</v>
      </c>
      <c r="C80" s="55">
        <v>0</v>
      </c>
      <c r="D80" s="55">
        <v>915176645</v>
      </c>
      <c r="E80" s="55">
        <v>148789000</v>
      </c>
      <c r="F80" s="55">
        <v>56350000</v>
      </c>
      <c r="G80" s="55">
        <v>7900000</v>
      </c>
      <c r="H80" s="55">
        <v>2000000</v>
      </c>
      <c r="I80" s="55">
        <v>1234633053</v>
      </c>
      <c r="J80" s="55">
        <v>78748672</v>
      </c>
      <c r="K80" s="55">
        <v>0</v>
      </c>
      <c r="L80" s="55">
        <v>0</v>
      </c>
      <c r="M80" s="55">
        <v>0</v>
      </c>
      <c r="N80" s="55">
        <v>0</v>
      </c>
      <c r="O80" s="55">
        <v>0</v>
      </c>
      <c r="P80" s="55">
        <v>22222231</v>
      </c>
      <c r="Q80" s="55">
        <v>371180743</v>
      </c>
      <c r="R80" s="55">
        <v>0</v>
      </c>
      <c r="S80" s="55">
        <v>0</v>
      </c>
      <c r="T80" s="55">
        <v>0</v>
      </c>
      <c r="U80" s="55">
        <v>100000000</v>
      </c>
      <c r="V80" s="55">
        <v>0</v>
      </c>
      <c r="W80" s="55">
        <v>0</v>
      </c>
      <c r="X80" s="55">
        <v>841723050</v>
      </c>
      <c r="Y80" s="55">
        <v>3021797600</v>
      </c>
      <c r="Z80" s="55">
        <v>202734656.16865</v>
      </c>
      <c r="AA80" s="56">
        <v>6871897895</v>
      </c>
      <c r="AB80" s="56">
        <v>1196248.61769</v>
      </c>
      <c r="AC80" s="56">
        <v>9000000</v>
      </c>
      <c r="AD80" s="56">
        <v>141199.467275495</v>
      </c>
      <c r="AE80" s="56">
        <v>280000</v>
      </c>
      <c r="AF80" s="56">
        <v>11210473.578500001</v>
      </c>
      <c r="AG80" s="56">
        <v>5582721359</v>
      </c>
      <c r="AH80" s="55">
        <v>3108364389.0599999</v>
      </c>
      <c r="AI80" s="55">
        <v>9693476572.5</v>
      </c>
      <c r="AJ80" s="55">
        <v>15392000</v>
      </c>
      <c r="AK80" s="15"/>
    </row>
    <row r="81" spans="1:37" ht="15.75" customHeight="1" x14ac:dyDescent="0.25">
      <c r="A81" s="13">
        <v>46148</v>
      </c>
      <c r="B81" s="56">
        <v>1394</v>
      </c>
      <c r="C81" s="55">
        <v>0</v>
      </c>
      <c r="D81" s="55">
        <v>1004100985</v>
      </c>
      <c r="E81" s="55">
        <v>169968000</v>
      </c>
      <c r="F81" s="55">
        <v>154116000</v>
      </c>
      <c r="G81" s="55">
        <v>5631000</v>
      </c>
      <c r="H81" s="55">
        <v>2000000</v>
      </c>
      <c r="I81" s="55">
        <v>1157142384</v>
      </c>
      <c r="J81" s="55">
        <v>164021678</v>
      </c>
      <c r="K81" s="55">
        <v>0</v>
      </c>
      <c r="L81" s="55">
        <v>8902350</v>
      </c>
      <c r="M81" s="55">
        <v>0</v>
      </c>
      <c r="N81" s="55">
        <v>0</v>
      </c>
      <c r="O81" s="55">
        <v>0</v>
      </c>
      <c r="P81" s="55">
        <v>15369453</v>
      </c>
      <c r="Q81" s="55">
        <v>196498507</v>
      </c>
      <c r="R81" s="55">
        <v>0</v>
      </c>
      <c r="S81" s="55">
        <v>0</v>
      </c>
      <c r="T81" s="55">
        <v>0</v>
      </c>
      <c r="U81" s="55">
        <v>180000000</v>
      </c>
      <c r="V81" s="55">
        <v>0</v>
      </c>
      <c r="W81" s="55">
        <v>0</v>
      </c>
      <c r="X81" s="55">
        <v>1105183352</v>
      </c>
      <c r="Y81" s="55">
        <v>3123849992</v>
      </c>
      <c r="Z81" s="55">
        <v>202734656.16865</v>
      </c>
      <c r="AA81" s="56">
        <v>7025155800</v>
      </c>
      <c r="AB81" s="56">
        <v>1196248.61769</v>
      </c>
      <c r="AC81" s="56">
        <v>9000000</v>
      </c>
      <c r="AD81" s="56">
        <v>141199.467275495</v>
      </c>
      <c r="AE81" s="56">
        <v>280000</v>
      </c>
      <c r="AF81" s="56">
        <v>12797567.936000001</v>
      </c>
      <c r="AG81" s="56">
        <v>5582721359</v>
      </c>
      <c r="AH81" s="55">
        <v>2680599046.96</v>
      </c>
      <c r="AI81" s="55">
        <v>8928795828</v>
      </c>
      <c r="AJ81" s="55">
        <v>67392000</v>
      </c>
      <c r="AK81" s="15"/>
    </row>
    <row r="82" spans="1:37" ht="15.75" customHeight="1" x14ac:dyDescent="0.25">
      <c r="A82" s="13">
        <v>46149</v>
      </c>
      <c r="B82" s="56">
        <v>1383</v>
      </c>
      <c r="C82" s="55">
        <v>0</v>
      </c>
      <c r="D82" s="55">
        <v>1004100985</v>
      </c>
      <c r="E82" s="55">
        <v>56178000</v>
      </c>
      <c r="F82" s="55">
        <v>13243000</v>
      </c>
      <c r="G82" s="55">
        <v>4270000</v>
      </c>
      <c r="H82" s="55">
        <v>2000000</v>
      </c>
      <c r="I82" s="55">
        <v>1586995953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0</v>
      </c>
      <c r="P82" s="55">
        <v>0</v>
      </c>
      <c r="Q82" s="55">
        <v>0</v>
      </c>
      <c r="R82" s="55">
        <v>0</v>
      </c>
      <c r="S82" s="55">
        <v>0</v>
      </c>
      <c r="T82" s="55">
        <v>0</v>
      </c>
      <c r="U82" s="55">
        <v>0</v>
      </c>
      <c r="V82" s="55">
        <v>0</v>
      </c>
      <c r="W82" s="55">
        <v>0</v>
      </c>
      <c r="X82" s="55">
        <v>1237302832.29</v>
      </c>
      <c r="Y82" s="55">
        <v>2896014463</v>
      </c>
      <c r="Z82" s="55">
        <v>202734656.16865</v>
      </c>
      <c r="AA82" s="56">
        <v>7174765725</v>
      </c>
      <c r="AB82" s="56">
        <v>1196248.61769</v>
      </c>
      <c r="AC82" s="56">
        <v>9000000</v>
      </c>
      <c r="AD82" s="56">
        <v>141199.467275495</v>
      </c>
      <c r="AE82" s="56">
        <v>280000</v>
      </c>
      <c r="AF82" s="56">
        <v>12657303.614</v>
      </c>
      <c r="AG82" s="56">
        <v>5582721359</v>
      </c>
      <c r="AH82" s="55">
        <v>2731278746</v>
      </c>
      <c r="AI82" s="55">
        <v>8858339046</v>
      </c>
      <c r="AJ82" s="55">
        <v>102471144</v>
      </c>
      <c r="AK82" s="15"/>
    </row>
    <row r="83" spans="1:37" ht="15.75" customHeight="1" x14ac:dyDescent="0.25">
      <c r="A83" s="13">
        <v>46150</v>
      </c>
      <c r="B83" s="56">
        <v>1388</v>
      </c>
      <c r="C83" s="55"/>
      <c r="D83" s="55">
        <v>1026676615</v>
      </c>
      <c r="E83" s="55">
        <v>160451000</v>
      </c>
      <c r="F83" s="55">
        <v>50895000</v>
      </c>
      <c r="G83" s="55">
        <v>2169000</v>
      </c>
      <c r="H83" s="55">
        <v>1428000</v>
      </c>
      <c r="I83" s="55">
        <v>1617879590</v>
      </c>
      <c r="J83" s="55">
        <v>284346273</v>
      </c>
      <c r="K83" s="55"/>
      <c r="L83" s="55">
        <v>204023840</v>
      </c>
      <c r="M83" s="55"/>
      <c r="N83" s="55"/>
      <c r="O83" s="55"/>
      <c r="P83" s="55">
        <v>2425645</v>
      </c>
      <c r="Q83" s="55">
        <v>13418493</v>
      </c>
      <c r="R83" s="55"/>
      <c r="S83" s="55"/>
      <c r="T83" s="55"/>
      <c r="U83" s="55"/>
      <c r="V83" s="55"/>
      <c r="W83" s="55"/>
      <c r="X83" s="55">
        <v>1738503267</v>
      </c>
      <c r="Y83" s="55">
        <v>2698378718</v>
      </c>
      <c r="Z83" s="55">
        <v>202734656.16865012</v>
      </c>
      <c r="AA83" s="56">
        <v>6689223249</v>
      </c>
      <c r="AB83" s="56">
        <v>1196248.61769</v>
      </c>
      <c r="AC83" s="56">
        <v>9000000</v>
      </c>
      <c r="AD83" s="56">
        <v>141199.47</v>
      </c>
      <c r="AE83" s="56">
        <v>280000</v>
      </c>
      <c r="AF83" s="56">
        <v>12737370.011500001</v>
      </c>
      <c r="AG83" s="56">
        <v>5582721359</v>
      </c>
      <c r="AH83" s="55">
        <v>2088518048</v>
      </c>
      <c r="AI83" s="55">
        <v>8890364856</v>
      </c>
      <c r="AJ83" s="55">
        <v>90511582</v>
      </c>
      <c r="AK83" s="15"/>
    </row>
    <row r="84" spans="1:37" ht="15.75" customHeight="1" x14ac:dyDescent="0.25">
      <c r="A84" s="13">
        <v>46153</v>
      </c>
      <c r="B84" s="56">
        <v>1389</v>
      </c>
      <c r="C84" s="55"/>
      <c r="D84" s="55">
        <v>1026676615</v>
      </c>
      <c r="E84" s="55">
        <v>177905205</v>
      </c>
      <c r="F84" s="55">
        <v>26207670</v>
      </c>
      <c r="G84" s="55">
        <v>-42250000</v>
      </c>
      <c r="H84" s="55">
        <v>2000000</v>
      </c>
      <c r="I84" s="55">
        <v>1897154988</v>
      </c>
      <c r="J84" s="55">
        <v>60206933</v>
      </c>
      <c r="K84" s="55">
        <v>86098436</v>
      </c>
      <c r="L84" s="55">
        <v>46609610</v>
      </c>
      <c r="M84" s="55"/>
      <c r="N84" s="55"/>
      <c r="O84" s="55"/>
      <c r="P84" s="55">
        <v>49239273</v>
      </c>
      <c r="Q84" s="55">
        <v>1226584509</v>
      </c>
      <c r="R84" s="55">
        <v>4462000</v>
      </c>
      <c r="S84" s="55"/>
      <c r="T84" s="55"/>
      <c r="U84" s="55"/>
      <c r="V84" s="55"/>
      <c r="W84" s="55"/>
      <c r="X84" s="55">
        <v>1697009243</v>
      </c>
      <c r="Y84" s="55">
        <v>1215298412</v>
      </c>
      <c r="Z84" s="55">
        <v>202734656.16865012</v>
      </c>
      <c r="AA84" s="56">
        <v>6649944967</v>
      </c>
      <c r="AB84" s="56">
        <v>1196248.61769</v>
      </c>
      <c r="AC84" s="56">
        <v>10000000</v>
      </c>
      <c r="AD84" s="56">
        <v>141199.47</v>
      </c>
      <c r="AE84" s="56">
        <v>280000</v>
      </c>
      <c r="AF84" s="56">
        <v>12946008.067500001</v>
      </c>
      <c r="AG84" s="56">
        <v>5582721359</v>
      </c>
      <c r="AH84" s="55">
        <v>2272274354</v>
      </c>
      <c r="AI84" s="55">
        <v>9463757040</v>
      </c>
      <c r="AJ84" s="55">
        <v>90663001</v>
      </c>
      <c r="AK84" s="15"/>
    </row>
    <row r="85" spans="1:37" ht="15.75" customHeight="1" x14ac:dyDescent="0.25">
      <c r="A85" s="13">
        <v>46154</v>
      </c>
      <c r="B85" s="56">
        <v>1391</v>
      </c>
      <c r="C85" s="55"/>
      <c r="D85" s="55">
        <v>1026676615</v>
      </c>
      <c r="E85" s="55">
        <v>-39733000</v>
      </c>
      <c r="F85" s="55">
        <v>54938000</v>
      </c>
      <c r="G85" s="55">
        <v>7516000</v>
      </c>
      <c r="H85" s="55">
        <v>2000000</v>
      </c>
      <c r="I85" s="55">
        <v>1897154988</v>
      </c>
      <c r="J85" s="55">
        <v>350881600</v>
      </c>
      <c r="K85" s="55"/>
      <c r="L85" s="55"/>
      <c r="M85" s="55"/>
      <c r="N85" s="55"/>
      <c r="O85" s="55">
        <v>4687440</v>
      </c>
      <c r="P85" s="55"/>
      <c r="Q85" s="55">
        <v>119797908</v>
      </c>
      <c r="R85" s="55"/>
      <c r="S85" s="55"/>
      <c r="T85" s="55"/>
      <c r="U85" s="55"/>
      <c r="V85" s="55"/>
      <c r="W85" s="55"/>
      <c r="X85" s="55">
        <v>2193914554</v>
      </c>
      <c r="Y85" s="55">
        <v>1224485195</v>
      </c>
      <c r="Z85" s="55">
        <v>202734656.16865012</v>
      </c>
      <c r="AA85" s="56">
        <v>5996923699</v>
      </c>
      <c r="AB85" s="56">
        <v>1100365.03789</v>
      </c>
      <c r="AC85" s="56">
        <v>10000000</v>
      </c>
      <c r="AD85" s="56">
        <v>141199.47</v>
      </c>
      <c r="AE85" s="56">
        <v>280000</v>
      </c>
      <c r="AF85" s="56">
        <v>12953741.867500002</v>
      </c>
      <c r="AG85" s="56">
        <v>5582721359</v>
      </c>
      <c r="AH85" s="55">
        <v>2527054056.4099998</v>
      </c>
      <c r="AI85" s="55">
        <v>9477383760</v>
      </c>
      <c r="AJ85" s="55">
        <v>90673439</v>
      </c>
      <c r="AK85" s="15"/>
    </row>
    <row r="86" spans="1:37" ht="15.75" customHeight="1" x14ac:dyDescent="0.25">
      <c r="A86" s="13">
        <v>46155</v>
      </c>
      <c r="B86" s="56">
        <v>1382.5</v>
      </c>
      <c r="C86" s="55"/>
      <c r="D86" s="55">
        <v>1049061340</v>
      </c>
      <c r="E86" s="55">
        <v>82398000</v>
      </c>
      <c r="F86" s="55">
        <v>238635000</v>
      </c>
      <c r="G86" s="55">
        <v>5524000</v>
      </c>
      <c r="H86" s="55">
        <v>2000000</v>
      </c>
      <c r="I86" s="55">
        <v>1871991100</v>
      </c>
      <c r="J86" s="55">
        <v>194004331</v>
      </c>
      <c r="K86" s="55"/>
      <c r="L86" s="55">
        <v>6881904</v>
      </c>
      <c r="M86" s="55"/>
      <c r="N86" s="55"/>
      <c r="O86" s="55"/>
      <c r="P86" s="55">
        <v>4499179</v>
      </c>
      <c r="Q86" s="55">
        <v>298337009</v>
      </c>
      <c r="R86" s="55"/>
      <c r="S86" s="55"/>
      <c r="T86" s="55"/>
      <c r="U86" s="55">
        <v>120000000</v>
      </c>
      <c r="V86" s="55"/>
      <c r="W86" s="55"/>
      <c r="X86" s="55">
        <v>1951558798</v>
      </c>
      <c r="Y86" s="55">
        <v>991611113</v>
      </c>
      <c r="Z86" s="55">
        <v>202734656.16865012</v>
      </c>
      <c r="AA86" s="56">
        <v>6063339939</v>
      </c>
      <c r="AB86" s="56">
        <v>1100365.03789</v>
      </c>
      <c r="AC86" s="56">
        <v>10000000</v>
      </c>
      <c r="AD86" s="56">
        <v>141199.47</v>
      </c>
      <c r="AE86" s="56">
        <v>280000</v>
      </c>
      <c r="AF86" s="56">
        <v>12416677.031000001</v>
      </c>
      <c r="AG86" s="56">
        <v>5582721359</v>
      </c>
      <c r="AH86" s="55">
        <v>2339462905.5</v>
      </c>
      <c r="AI86" s="55">
        <v>9419470200</v>
      </c>
      <c r="AJ86" s="55">
        <v>140735000</v>
      </c>
      <c r="AK86" s="15"/>
    </row>
    <row r="87" spans="1:37" ht="15.75" customHeight="1" x14ac:dyDescent="0.25">
      <c r="A87" s="13">
        <v>46156</v>
      </c>
      <c r="B87" s="56">
        <v>1386</v>
      </c>
      <c r="C87" s="55"/>
      <c r="D87" s="55">
        <f>+'[1]CF Dia V1'!$CJ$10</f>
        <v>837432835</v>
      </c>
      <c r="E87" s="55">
        <f>+'[1]CF Dia V1'!$CJ$13</f>
        <v>78949000</v>
      </c>
      <c r="F87" s="55">
        <f>+'[1]CF Dia V1'!$CJ$16</f>
        <v>45656000</v>
      </c>
      <c r="G87" s="55">
        <f>+'[1]CF Dia V1'!$CJ$14</f>
        <v>5783000</v>
      </c>
      <c r="H87" s="55">
        <f>+'[1]CF Dia V1'!$CJ$15</f>
        <v>2000000</v>
      </c>
      <c r="I87" s="55">
        <f>+'[1]CF Dia V1'!$CJ$22</f>
        <v>1740123570</v>
      </c>
      <c r="J87" s="55">
        <f>+'[1]CF Dia V1'!$CJ$43</f>
        <v>458483114</v>
      </c>
      <c r="K87" s="55">
        <f>+'[1]CF Dia V1'!$CJ$45</f>
        <v>0</v>
      </c>
      <c r="L87" s="55">
        <f>+'[1]CF Dia V1'!$CJ$46</f>
        <v>14376000</v>
      </c>
      <c r="M87" s="55">
        <f>+'[1]CF Dia V1'!$CJ$47</f>
        <v>0</v>
      </c>
      <c r="N87" s="55">
        <f>+'[1]CF Dia V1'!$CJ$48</f>
        <v>0</v>
      </c>
      <c r="O87" s="55">
        <f>+'[1]CF Dia V1'!$CJ$49</f>
        <v>0</v>
      </c>
      <c r="P87" s="55">
        <f>+'[1]CF Dia V1'!$CJ$50</f>
        <v>0</v>
      </c>
      <c r="Q87" s="55">
        <f>+'[1]CF Dia V1'!$CJ$51</f>
        <v>6873443</v>
      </c>
      <c r="R87" s="55">
        <f>+'[1]CF Dia V1'!$CJ$53</f>
        <v>0</v>
      </c>
      <c r="S87" s="55">
        <f>+'[1]CF Dia V1'!$CJ$56</f>
        <v>0</v>
      </c>
      <c r="T87" s="55">
        <f>+'[1]CF Dia V1'!$CJ$59</f>
        <v>0</v>
      </c>
      <c r="U87" s="55">
        <f>+'[1]CF Dia V1'!$CJ$60</f>
        <v>30000000</v>
      </c>
      <c r="V87" s="55">
        <f>+'[1]CF Dia V1'!$CJ$68</f>
        <v>0</v>
      </c>
      <c r="W87" s="55">
        <f>+'[1]CF Dia V1'!$CJ$61</f>
        <v>0</v>
      </c>
      <c r="X87" s="55">
        <f>+'[1]CF Dia V1'!$CJ$100</f>
        <v>1689393489</v>
      </c>
      <c r="Y87" s="55">
        <f>+'[1]CF Dia V1'!$CJ$101</f>
        <v>990744710</v>
      </c>
      <c r="Z87" s="55">
        <f>+'[1]CF Dia V1'!$CJ$104</f>
        <v>202734656.16865012</v>
      </c>
      <c r="AA87" s="56">
        <f>+'[1]CF Dia V1'!$CJ$102</f>
        <v>6063777655</v>
      </c>
      <c r="AB87" s="56">
        <f>+'[1]CF Dia V1'!$CJ$103</f>
        <v>1100365.03789</v>
      </c>
      <c r="AC87" s="56">
        <f>+'[1]CF Dia V1'!$CJ$105</f>
        <v>10000000</v>
      </c>
      <c r="AD87" s="56">
        <f>+'[1]CF Dia V1'!$CJ$106</f>
        <v>141199.46727549468</v>
      </c>
      <c r="AE87" s="56">
        <f>+'[1]CF Dia V1'!$CJ$107</f>
        <v>280000</v>
      </c>
      <c r="AF87" s="56">
        <f>+'[1]CF Dia V1'!$CJ$97</f>
        <v>12457096.382999999</v>
      </c>
      <c r="AG87" s="56">
        <f>+'[1]CF Dia V1'!$CJ$98</f>
        <v>5582721359</v>
      </c>
      <c r="AH87" s="55">
        <f>+'[1]CF Dia V1'!$CJ$24+'[1]CF Dia V1'!$CJ$25</f>
        <v>3564895672.7999997</v>
      </c>
      <c r="AI87" s="55">
        <f>+'[1]CF Dia V1'!$CJ$29</f>
        <v>8574762042</v>
      </c>
      <c r="AJ87" s="55">
        <f>+'[1]CF Dia V1'!$CJ$31</f>
        <v>140297925.61000001</v>
      </c>
      <c r="AK87" s="15"/>
    </row>
    <row r="88" spans="1:37" ht="15.75" customHeight="1" x14ac:dyDescent="0.25">
      <c r="A88" s="13"/>
      <c r="B88" s="16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7"/>
      <c r="AB88" s="17"/>
      <c r="AC88" s="17"/>
      <c r="AD88" s="17"/>
      <c r="AE88" s="17"/>
      <c r="AF88" s="14"/>
      <c r="AG88" s="14"/>
      <c r="AH88" s="14"/>
      <c r="AI88" s="14"/>
      <c r="AJ88" s="14"/>
      <c r="AK88" s="15"/>
    </row>
    <row r="89" spans="1:37" ht="15.75" customHeight="1" x14ac:dyDescent="0.25">
      <c r="A89" s="13"/>
      <c r="B89" s="16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7"/>
      <c r="AB89" s="17"/>
      <c r="AC89" s="17"/>
      <c r="AD89" s="17"/>
      <c r="AE89" s="17"/>
      <c r="AF89" s="14"/>
      <c r="AG89" s="14"/>
      <c r="AH89" s="14"/>
      <c r="AI89" s="14"/>
      <c r="AJ89" s="14"/>
      <c r="AK89" s="15"/>
    </row>
    <row r="90" spans="1:37" ht="15.75" customHeight="1" x14ac:dyDescent="0.25">
      <c r="A90" s="13"/>
      <c r="B90" s="16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7"/>
      <c r="AB90" s="17"/>
      <c r="AC90" s="17"/>
      <c r="AD90" s="17"/>
      <c r="AE90" s="17"/>
      <c r="AF90" s="14"/>
      <c r="AG90" s="14"/>
      <c r="AH90" s="14"/>
      <c r="AI90" s="14"/>
      <c r="AJ90" s="14"/>
      <c r="AK90" s="15"/>
    </row>
    <row r="91" spans="1:37" ht="15.75" customHeight="1" x14ac:dyDescent="0.25">
      <c r="A91" s="13"/>
      <c r="B91" s="16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7"/>
      <c r="AB91" s="17"/>
      <c r="AC91" s="17"/>
      <c r="AD91" s="17"/>
      <c r="AE91" s="17"/>
      <c r="AF91" s="14"/>
      <c r="AG91" s="14"/>
      <c r="AH91" s="14"/>
      <c r="AI91" s="14"/>
      <c r="AJ91" s="14"/>
      <c r="AK91" s="15"/>
    </row>
    <row r="92" spans="1:37" ht="15.75" customHeight="1" x14ac:dyDescent="0.25">
      <c r="A92" s="13"/>
      <c r="B92" s="16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7"/>
      <c r="AB92" s="17"/>
      <c r="AC92" s="17"/>
      <c r="AD92" s="17"/>
      <c r="AE92" s="17"/>
      <c r="AF92" s="14"/>
      <c r="AG92" s="14"/>
      <c r="AH92" s="14"/>
      <c r="AI92" s="14"/>
      <c r="AJ92" s="14"/>
      <c r="AK92" s="15"/>
    </row>
    <row r="93" spans="1:37" ht="15.75" customHeight="1" x14ac:dyDescent="0.25">
      <c r="A93" s="13"/>
      <c r="B93" s="16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7"/>
      <c r="AB93" s="17"/>
      <c r="AC93" s="17"/>
      <c r="AD93" s="17"/>
      <c r="AE93" s="17"/>
      <c r="AF93" s="14"/>
      <c r="AG93" s="14"/>
      <c r="AH93" s="14"/>
      <c r="AI93" s="14"/>
      <c r="AJ93" s="14"/>
      <c r="AK93" s="15"/>
    </row>
    <row r="94" spans="1:37" ht="15.75" customHeight="1" x14ac:dyDescent="0.25">
      <c r="A94" s="13"/>
      <c r="B94" s="16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7"/>
      <c r="AB94" s="17"/>
      <c r="AC94" s="17"/>
      <c r="AD94" s="17"/>
      <c r="AE94" s="17"/>
      <c r="AF94" s="14"/>
      <c r="AG94" s="14"/>
      <c r="AH94" s="14"/>
      <c r="AI94" s="14"/>
      <c r="AJ94" s="14"/>
      <c r="AK94" s="15"/>
    </row>
    <row r="95" spans="1:37" ht="15.75" customHeight="1" x14ac:dyDescent="0.25">
      <c r="A95" s="13"/>
      <c r="B95" s="16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7"/>
      <c r="AB95" s="17"/>
      <c r="AC95" s="17"/>
      <c r="AD95" s="17"/>
      <c r="AE95" s="17"/>
      <c r="AF95" s="14"/>
      <c r="AG95" s="14"/>
      <c r="AH95" s="14"/>
      <c r="AI95" s="14"/>
      <c r="AJ95" s="14"/>
      <c r="AK95" s="15"/>
    </row>
    <row r="96" spans="1:37" ht="15.75" customHeight="1" x14ac:dyDescent="0.25">
      <c r="A96" s="13"/>
      <c r="B96" s="16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7"/>
      <c r="AB96" s="17"/>
      <c r="AC96" s="17"/>
      <c r="AD96" s="17"/>
      <c r="AE96" s="17"/>
      <c r="AF96" s="14"/>
      <c r="AG96" s="14"/>
      <c r="AH96" s="14"/>
      <c r="AI96" s="14"/>
      <c r="AJ96" s="14"/>
      <c r="AK96" s="15"/>
    </row>
    <row r="97" spans="1:37" ht="15.75" customHeight="1" x14ac:dyDescent="0.25">
      <c r="A97" s="13"/>
      <c r="B97" s="16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7"/>
      <c r="AB97" s="17"/>
      <c r="AC97" s="17"/>
      <c r="AD97" s="17"/>
      <c r="AE97" s="17"/>
      <c r="AF97" s="14"/>
      <c r="AG97" s="14"/>
      <c r="AH97" s="14"/>
      <c r="AI97" s="14"/>
      <c r="AJ97" s="14"/>
      <c r="AK97" s="15"/>
    </row>
    <row r="98" spans="1:37" ht="15.75" customHeight="1" x14ac:dyDescent="0.25">
      <c r="A98" s="13"/>
      <c r="B98" s="16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7"/>
      <c r="AB98" s="17"/>
      <c r="AC98" s="17"/>
      <c r="AD98" s="17"/>
      <c r="AE98" s="17"/>
      <c r="AF98" s="14"/>
      <c r="AG98" s="14"/>
      <c r="AH98" s="14"/>
      <c r="AI98" s="14"/>
      <c r="AJ98" s="14"/>
      <c r="AK98" s="15"/>
    </row>
    <row r="99" spans="1:37" ht="15.75" customHeight="1" x14ac:dyDescent="0.25">
      <c r="A99" s="13"/>
      <c r="B99" s="16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7"/>
      <c r="AB99" s="17"/>
      <c r="AC99" s="17"/>
      <c r="AD99" s="17"/>
      <c r="AE99" s="17"/>
      <c r="AF99" s="14"/>
      <c r="AG99" s="14"/>
      <c r="AH99" s="14"/>
      <c r="AI99" s="14"/>
      <c r="AJ99" s="14"/>
      <c r="AK99" s="15"/>
    </row>
    <row r="100" spans="1:37" ht="15.75" customHeight="1" x14ac:dyDescent="0.25">
      <c r="A100" s="13"/>
      <c r="B100" s="16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7"/>
      <c r="AB100" s="17"/>
      <c r="AC100" s="17"/>
      <c r="AD100" s="17"/>
      <c r="AE100" s="17"/>
      <c r="AF100" s="14"/>
      <c r="AG100" s="14"/>
      <c r="AH100" s="14"/>
      <c r="AI100" s="14"/>
      <c r="AJ100" s="14"/>
      <c r="AK100" s="15"/>
    </row>
    <row r="101" spans="1:37" ht="15.75" customHeight="1" x14ac:dyDescent="0.25">
      <c r="A101" s="13"/>
      <c r="B101" s="16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7"/>
      <c r="AB101" s="17"/>
      <c r="AC101" s="17"/>
      <c r="AD101" s="17"/>
      <c r="AE101" s="17"/>
      <c r="AF101" s="14"/>
      <c r="AG101" s="14"/>
      <c r="AH101" s="14"/>
      <c r="AI101" s="14"/>
      <c r="AJ101" s="14"/>
      <c r="AK101" s="15"/>
    </row>
    <row r="102" spans="1:37" ht="15.75" customHeight="1" x14ac:dyDescent="0.25">
      <c r="A102" s="13"/>
      <c r="B102" s="16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7"/>
      <c r="AB102" s="17"/>
      <c r="AC102" s="17"/>
      <c r="AD102" s="17"/>
      <c r="AE102" s="17"/>
      <c r="AF102" s="14"/>
      <c r="AG102" s="14"/>
      <c r="AH102" s="14"/>
      <c r="AI102" s="14"/>
      <c r="AJ102" s="14"/>
      <c r="AK102" s="15"/>
    </row>
    <row r="103" spans="1:37" ht="15.75" customHeight="1" x14ac:dyDescent="0.25">
      <c r="A103" s="13"/>
      <c r="B103" s="16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7"/>
      <c r="AB103" s="17"/>
      <c r="AC103" s="17"/>
      <c r="AD103" s="17"/>
      <c r="AE103" s="17"/>
      <c r="AF103" s="14"/>
      <c r="AG103" s="14"/>
      <c r="AH103" s="14"/>
      <c r="AI103" s="14"/>
      <c r="AJ103" s="14"/>
      <c r="AK103" s="15"/>
    </row>
    <row r="104" spans="1:37" ht="15.75" customHeight="1" x14ac:dyDescent="0.25">
      <c r="A104" s="13"/>
      <c r="B104" s="16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7"/>
      <c r="AB104" s="17"/>
      <c r="AC104" s="17"/>
      <c r="AD104" s="17"/>
      <c r="AE104" s="17"/>
      <c r="AF104" s="14"/>
      <c r="AG104" s="14"/>
      <c r="AH104" s="14"/>
      <c r="AI104" s="14"/>
      <c r="AJ104" s="14"/>
      <c r="AK104" s="15"/>
    </row>
    <row r="105" spans="1:37" ht="15.75" customHeight="1" x14ac:dyDescent="0.25">
      <c r="A105" s="13"/>
      <c r="B105" s="16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7"/>
      <c r="AB105" s="17"/>
      <c r="AC105" s="17"/>
      <c r="AD105" s="17"/>
      <c r="AE105" s="17"/>
      <c r="AF105" s="14"/>
      <c r="AG105" s="14"/>
      <c r="AH105" s="14"/>
      <c r="AI105" s="14"/>
      <c r="AJ105" s="14"/>
      <c r="AK105" s="15"/>
    </row>
    <row r="106" spans="1:37" ht="15.75" customHeight="1" x14ac:dyDescent="0.25">
      <c r="A106" s="13"/>
      <c r="B106" s="16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7"/>
      <c r="AB106" s="17"/>
      <c r="AC106" s="17"/>
      <c r="AD106" s="17"/>
      <c r="AE106" s="17"/>
      <c r="AF106" s="14"/>
      <c r="AG106" s="14"/>
      <c r="AH106" s="14"/>
      <c r="AI106" s="14"/>
      <c r="AJ106" s="14"/>
      <c r="AK106" s="15"/>
    </row>
    <row r="107" spans="1:37" ht="15.75" customHeight="1" x14ac:dyDescent="0.25">
      <c r="A107" s="13"/>
      <c r="B107" s="16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7"/>
      <c r="AB107" s="17"/>
      <c r="AC107" s="17"/>
      <c r="AD107" s="17"/>
      <c r="AE107" s="17"/>
      <c r="AF107" s="14"/>
      <c r="AG107" s="14"/>
      <c r="AH107" s="14"/>
      <c r="AI107" s="14"/>
      <c r="AJ107" s="14"/>
      <c r="AK107" s="15"/>
    </row>
    <row r="108" spans="1:37" ht="15.75" customHeight="1" x14ac:dyDescent="0.25">
      <c r="A108" s="13"/>
      <c r="B108" s="16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7"/>
      <c r="AB108" s="17"/>
      <c r="AC108" s="17"/>
      <c r="AD108" s="17"/>
      <c r="AE108" s="17"/>
      <c r="AF108" s="14"/>
      <c r="AG108" s="14"/>
      <c r="AH108" s="14"/>
      <c r="AI108" s="14"/>
      <c r="AJ108" s="14"/>
      <c r="AK108" s="15"/>
    </row>
    <row r="109" spans="1:37" ht="15.75" customHeight="1" x14ac:dyDescent="0.25">
      <c r="A109" s="13"/>
      <c r="B109" s="16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7"/>
      <c r="AB109" s="17"/>
      <c r="AC109" s="17"/>
      <c r="AD109" s="17"/>
      <c r="AE109" s="17"/>
      <c r="AF109" s="14"/>
      <c r="AG109" s="14"/>
      <c r="AH109" s="14"/>
      <c r="AI109" s="14"/>
      <c r="AJ109" s="14"/>
      <c r="AK109" s="15"/>
    </row>
    <row r="110" spans="1:37" ht="15.75" customHeight="1" x14ac:dyDescent="0.25">
      <c r="A110" s="13"/>
      <c r="B110" s="16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7"/>
      <c r="AB110" s="17"/>
      <c r="AC110" s="17"/>
      <c r="AD110" s="17"/>
      <c r="AE110" s="17"/>
      <c r="AF110" s="14"/>
      <c r="AG110" s="14"/>
      <c r="AH110" s="14"/>
      <c r="AI110" s="14"/>
      <c r="AJ110" s="14"/>
      <c r="AK110" s="15"/>
    </row>
    <row r="111" spans="1:37" ht="15.75" customHeight="1" x14ac:dyDescent="0.25">
      <c r="A111" s="13"/>
      <c r="B111" s="16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7"/>
      <c r="AB111" s="17"/>
      <c r="AC111" s="17"/>
      <c r="AD111" s="17"/>
      <c r="AE111" s="17"/>
      <c r="AF111" s="14"/>
      <c r="AG111" s="14"/>
      <c r="AH111" s="14"/>
      <c r="AI111" s="14"/>
      <c r="AJ111" s="14"/>
      <c r="AK111" s="15"/>
    </row>
    <row r="112" spans="1:37" ht="15.75" customHeight="1" x14ac:dyDescent="0.25">
      <c r="A112" s="13"/>
      <c r="B112" s="16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7"/>
      <c r="AB112" s="17"/>
      <c r="AC112" s="17"/>
      <c r="AD112" s="17"/>
      <c r="AE112" s="17"/>
      <c r="AF112" s="14"/>
      <c r="AG112" s="14"/>
      <c r="AH112" s="14"/>
      <c r="AI112" s="14"/>
      <c r="AJ112" s="14"/>
      <c r="AK112" s="15"/>
    </row>
    <row r="113" spans="1:37" ht="15.75" customHeight="1" x14ac:dyDescent="0.25">
      <c r="A113" s="13"/>
      <c r="B113" s="16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7"/>
      <c r="AB113" s="17"/>
      <c r="AC113" s="17"/>
      <c r="AD113" s="17"/>
      <c r="AE113" s="17"/>
      <c r="AF113" s="14"/>
      <c r="AG113" s="14"/>
      <c r="AH113" s="14"/>
      <c r="AI113" s="14"/>
      <c r="AJ113" s="14"/>
      <c r="AK113" s="15"/>
    </row>
    <row r="114" spans="1:37" ht="15.75" customHeight="1" x14ac:dyDescent="0.25">
      <c r="A114" s="13"/>
      <c r="B114" s="16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7"/>
      <c r="AB114" s="17"/>
      <c r="AC114" s="17"/>
      <c r="AD114" s="17"/>
      <c r="AE114" s="17"/>
      <c r="AF114" s="14"/>
      <c r="AG114" s="14"/>
      <c r="AH114" s="14"/>
      <c r="AI114" s="14"/>
      <c r="AJ114" s="14"/>
      <c r="AK114" s="15"/>
    </row>
    <row r="115" spans="1:37" ht="15.75" customHeight="1" x14ac:dyDescent="0.25">
      <c r="A115" s="13"/>
      <c r="B115" s="16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7"/>
      <c r="AB115" s="17"/>
      <c r="AC115" s="17"/>
      <c r="AD115" s="17"/>
      <c r="AE115" s="17"/>
      <c r="AF115" s="14"/>
      <c r="AG115" s="14"/>
      <c r="AH115" s="14"/>
      <c r="AI115" s="14"/>
      <c r="AJ115" s="14"/>
      <c r="AK115" s="15"/>
    </row>
    <row r="116" spans="1:37" ht="15.75" customHeight="1" x14ac:dyDescent="0.25">
      <c r="A116" s="13"/>
      <c r="B116" s="16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7"/>
      <c r="AB116" s="17"/>
      <c r="AC116" s="17"/>
      <c r="AD116" s="17"/>
      <c r="AE116" s="17"/>
      <c r="AF116" s="14"/>
      <c r="AG116" s="14"/>
      <c r="AH116" s="14"/>
      <c r="AI116" s="14"/>
      <c r="AJ116" s="14"/>
      <c r="AK116" s="15"/>
    </row>
    <row r="117" spans="1:37" ht="15.75" customHeight="1" x14ac:dyDescent="0.25">
      <c r="A117" s="13"/>
      <c r="B117" s="16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7"/>
      <c r="AB117" s="17"/>
      <c r="AC117" s="17"/>
      <c r="AD117" s="17"/>
      <c r="AE117" s="17"/>
      <c r="AF117" s="14"/>
      <c r="AG117" s="14"/>
      <c r="AH117" s="14"/>
      <c r="AI117" s="14"/>
      <c r="AJ117" s="14"/>
      <c r="AK117" s="15"/>
    </row>
    <row r="118" spans="1:37" ht="15.75" customHeight="1" x14ac:dyDescent="0.25">
      <c r="A118" s="13"/>
      <c r="B118" s="16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7"/>
      <c r="AB118" s="17"/>
      <c r="AC118" s="17"/>
      <c r="AD118" s="17"/>
      <c r="AE118" s="17"/>
      <c r="AF118" s="14"/>
      <c r="AG118" s="14"/>
      <c r="AH118" s="14"/>
      <c r="AI118" s="14"/>
      <c r="AJ118" s="14"/>
      <c r="AK118" s="15"/>
    </row>
    <row r="119" spans="1:37" ht="15.75" customHeight="1" x14ac:dyDescent="0.25">
      <c r="A119" s="13"/>
      <c r="B119" s="16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7"/>
      <c r="AB119" s="17"/>
      <c r="AC119" s="17"/>
      <c r="AD119" s="17"/>
      <c r="AE119" s="17"/>
      <c r="AF119" s="14"/>
      <c r="AG119" s="14"/>
      <c r="AH119" s="14"/>
      <c r="AI119" s="14"/>
      <c r="AJ119" s="14"/>
      <c r="AK119" s="15"/>
    </row>
    <row r="120" spans="1:37" ht="15.75" customHeight="1" x14ac:dyDescent="0.25">
      <c r="A120" s="13"/>
      <c r="B120" s="16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7"/>
      <c r="AB120" s="17"/>
      <c r="AC120" s="17"/>
      <c r="AD120" s="17"/>
      <c r="AE120" s="17"/>
      <c r="AF120" s="14"/>
      <c r="AG120" s="14"/>
      <c r="AH120" s="14"/>
      <c r="AI120" s="14"/>
      <c r="AJ120" s="14"/>
      <c r="AK120" s="15"/>
    </row>
    <row r="121" spans="1:37" ht="15.75" customHeight="1" x14ac:dyDescent="0.25">
      <c r="A121" s="13"/>
      <c r="B121" s="16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7"/>
      <c r="AB121" s="17"/>
      <c r="AC121" s="17"/>
      <c r="AD121" s="17"/>
      <c r="AE121" s="17"/>
      <c r="AF121" s="14"/>
      <c r="AG121" s="14"/>
      <c r="AH121" s="14"/>
      <c r="AI121" s="14"/>
      <c r="AJ121" s="14"/>
      <c r="AK121" s="15"/>
    </row>
    <row r="122" spans="1:37" ht="15.75" customHeight="1" x14ac:dyDescent="0.25">
      <c r="A122" s="13"/>
      <c r="B122" s="16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7"/>
      <c r="AB122" s="17"/>
      <c r="AC122" s="17"/>
      <c r="AD122" s="17"/>
      <c r="AE122" s="17"/>
      <c r="AF122" s="14"/>
      <c r="AG122" s="14"/>
      <c r="AH122" s="14"/>
      <c r="AI122" s="14"/>
      <c r="AJ122" s="14"/>
      <c r="AK122" s="15"/>
    </row>
    <row r="123" spans="1:37" ht="15.75" customHeight="1" x14ac:dyDescent="0.25">
      <c r="A123" s="13"/>
      <c r="B123" s="16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7"/>
      <c r="AB123" s="17"/>
      <c r="AC123" s="17"/>
      <c r="AD123" s="17"/>
      <c r="AE123" s="17"/>
      <c r="AF123" s="14"/>
      <c r="AG123" s="14"/>
      <c r="AH123" s="14"/>
      <c r="AI123" s="14"/>
      <c r="AJ123" s="14"/>
      <c r="AK123" s="15"/>
    </row>
    <row r="124" spans="1:37" ht="15.75" customHeight="1" x14ac:dyDescent="0.25">
      <c r="A124" s="13"/>
      <c r="B124" s="16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7"/>
      <c r="AB124" s="17"/>
      <c r="AC124" s="17"/>
      <c r="AD124" s="17"/>
      <c r="AE124" s="17"/>
      <c r="AF124" s="14"/>
      <c r="AG124" s="14"/>
      <c r="AH124" s="14"/>
      <c r="AI124" s="14"/>
      <c r="AJ124" s="14"/>
      <c r="AK124" s="15"/>
    </row>
    <row r="125" spans="1:37" ht="15.75" customHeight="1" x14ac:dyDescent="0.25">
      <c r="A125" s="13"/>
      <c r="B125" s="16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7"/>
      <c r="AB125" s="17"/>
      <c r="AC125" s="17"/>
      <c r="AD125" s="17"/>
      <c r="AE125" s="17"/>
      <c r="AF125" s="14"/>
      <c r="AG125" s="14"/>
      <c r="AH125" s="14"/>
      <c r="AI125" s="14"/>
      <c r="AJ125" s="14"/>
      <c r="AK125" s="15"/>
    </row>
    <row r="126" spans="1:37" ht="15.75" customHeight="1" x14ac:dyDescent="0.25">
      <c r="A126" s="13"/>
      <c r="B126" s="16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7"/>
      <c r="AB126" s="17"/>
      <c r="AC126" s="17"/>
      <c r="AD126" s="17"/>
      <c r="AE126" s="17"/>
      <c r="AF126" s="14"/>
      <c r="AG126" s="14"/>
      <c r="AH126" s="14"/>
      <c r="AI126" s="14"/>
      <c r="AJ126" s="14"/>
      <c r="AK126" s="15"/>
    </row>
    <row r="127" spans="1:37" ht="15.75" customHeight="1" x14ac:dyDescent="0.25">
      <c r="A127" s="13"/>
      <c r="B127" s="16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7"/>
      <c r="AB127" s="17"/>
      <c r="AC127" s="17"/>
      <c r="AD127" s="17"/>
      <c r="AE127" s="17"/>
      <c r="AF127" s="14"/>
      <c r="AG127" s="14"/>
      <c r="AH127" s="14"/>
      <c r="AI127" s="14"/>
      <c r="AJ127" s="14"/>
      <c r="AK127" s="15"/>
    </row>
    <row r="128" spans="1:37" ht="15.75" customHeight="1" x14ac:dyDescent="0.25">
      <c r="A128" s="13"/>
      <c r="B128" s="16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7"/>
      <c r="AB128" s="17"/>
      <c r="AC128" s="17"/>
      <c r="AD128" s="17"/>
      <c r="AE128" s="17"/>
      <c r="AF128" s="14"/>
      <c r="AG128" s="14"/>
      <c r="AH128" s="14"/>
      <c r="AI128" s="14"/>
      <c r="AJ128" s="14"/>
      <c r="AK128" s="15"/>
    </row>
    <row r="129" spans="1:37" ht="15.75" customHeight="1" x14ac:dyDescent="0.25">
      <c r="A129" s="13"/>
      <c r="B129" s="16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7"/>
      <c r="AB129" s="17"/>
      <c r="AC129" s="17"/>
      <c r="AD129" s="17"/>
      <c r="AE129" s="17"/>
      <c r="AF129" s="14"/>
      <c r="AG129" s="14"/>
      <c r="AH129" s="14"/>
      <c r="AI129" s="14"/>
      <c r="AJ129" s="14"/>
      <c r="AK129" s="15"/>
    </row>
    <row r="130" spans="1:37" ht="15.75" customHeight="1" x14ac:dyDescent="0.25">
      <c r="A130" s="13"/>
      <c r="B130" s="16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7"/>
      <c r="AB130" s="17"/>
      <c r="AC130" s="17"/>
      <c r="AD130" s="17"/>
      <c r="AE130" s="17"/>
      <c r="AF130" s="14"/>
      <c r="AG130" s="14"/>
      <c r="AH130" s="14"/>
      <c r="AI130" s="14"/>
      <c r="AJ130" s="14"/>
      <c r="AK130" s="15"/>
    </row>
    <row r="131" spans="1:37" ht="15.75" customHeight="1" x14ac:dyDescent="0.25">
      <c r="A131" s="13"/>
      <c r="B131" s="16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7"/>
      <c r="AB131" s="17"/>
      <c r="AC131" s="17"/>
      <c r="AD131" s="17"/>
      <c r="AE131" s="17"/>
      <c r="AF131" s="14"/>
      <c r="AG131" s="14"/>
      <c r="AH131" s="14"/>
      <c r="AI131" s="14"/>
      <c r="AJ131" s="14"/>
      <c r="AK131" s="15"/>
    </row>
    <row r="132" spans="1:37" ht="15.75" customHeight="1" x14ac:dyDescent="0.25">
      <c r="A132" s="13"/>
      <c r="B132" s="16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7"/>
      <c r="AB132" s="17"/>
      <c r="AC132" s="17"/>
      <c r="AD132" s="17"/>
      <c r="AE132" s="17"/>
      <c r="AF132" s="14"/>
      <c r="AG132" s="14"/>
      <c r="AH132" s="14"/>
      <c r="AI132" s="14"/>
      <c r="AJ132" s="14"/>
      <c r="AK132" s="15"/>
    </row>
    <row r="133" spans="1:37" ht="15.75" customHeight="1" x14ac:dyDescent="0.25">
      <c r="A133" s="13"/>
      <c r="B133" s="16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7"/>
      <c r="AB133" s="17"/>
      <c r="AC133" s="17"/>
      <c r="AD133" s="17"/>
      <c r="AE133" s="17"/>
      <c r="AF133" s="14"/>
      <c r="AG133" s="14"/>
      <c r="AH133" s="14"/>
      <c r="AI133" s="14"/>
      <c r="AJ133" s="14"/>
      <c r="AK133" s="15"/>
    </row>
    <row r="134" spans="1:37" ht="15.75" customHeight="1" x14ac:dyDescent="0.25">
      <c r="A134" s="13"/>
      <c r="B134" s="16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7"/>
      <c r="AB134" s="17"/>
      <c r="AC134" s="17"/>
      <c r="AD134" s="17"/>
      <c r="AE134" s="17"/>
      <c r="AF134" s="14"/>
      <c r="AG134" s="14"/>
      <c r="AH134" s="14"/>
      <c r="AI134" s="14"/>
      <c r="AJ134" s="14"/>
      <c r="AK134" s="15"/>
    </row>
    <row r="135" spans="1:37" ht="15.75" customHeight="1" x14ac:dyDescent="0.25">
      <c r="A135" s="13"/>
      <c r="B135" s="16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7"/>
      <c r="AB135" s="17"/>
      <c r="AC135" s="17"/>
      <c r="AD135" s="17"/>
      <c r="AE135" s="17"/>
      <c r="AF135" s="14"/>
      <c r="AG135" s="14"/>
      <c r="AH135" s="14"/>
      <c r="AI135" s="14"/>
      <c r="AJ135" s="14"/>
      <c r="AK135" s="15"/>
    </row>
    <row r="136" spans="1:37" ht="15.75" customHeight="1" x14ac:dyDescent="0.25">
      <c r="A136" s="13"/>
      <c r="B136" s="16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7"/>
      <c r="AB136" s="17"/>
      <c r="AC136" s="17"/>
      <c r="AD136" s="17"/>
      <c r="AE136" s="17"/>
      <c r="AF136" s="14"/>
      <c r="AG136" s="14"/>
      <c r="AH136" s="14"/>
      <c r="AI136" s="14"/>
      <c r="AJ136" s="14"/>
      <c r="AK136" s="15"/>
    </row>
    <row r="137" spans="1:37" ht="15.75" customHeight="1" x14ac:dyDescent="0.25">
      <c r="A137" s="13"/>
      <c r="B137" s="16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7"/>
      <c r="AB137" s="17"/>
      <c r="AC137" s="17"/>
      <c r="AD137" s="17"/>
      <c r="AE137" s="17"/>
      <c r="AF137" s="14"/>
      <c r="AG137" s="14"/>
      <c r="AH137" s="14"/>
      <c r="AI137" s="14"/>
      <c r="AJ137" s="14"/>
      <c r="AK137" s="15"/>
    </row>
    <row r="138" spans="1:37" ht="15.75" customHeight="1" x14ac:dyDescent="0.25">
      <c r="A138" s="13"/>
      <c r="B138" s="16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7"/>
      <c r="AB138" s="17"/>
      <c r="AC138" s="17"/>
      <c r="AD138" s="17"/>
      <c r="AE138" s="17"/>
      <c r="AF138" s="14"/>
      <c r="AG138" s="14"/>
      <c r="AH138" s="14"/>
      <c r="AI138" s="14"/>
      <c r="AJ138" s="14"/>
      <c r="AK138" s="15"/>
    </row>
    <row r="139" spans="1:37" ht="15.75" customHeight="1" x14ac:dyDescent="0.25">
      <c r="A139" s="13"/>
      <c r="B139" s="16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7"/>
      <c r="AB139" s="17"/>
      <c r="AC139" s="17"/>
      <c r="AD139" s="17"/>
      <c r="AE139" s="17"/>
      <c r="AF139" s="14"/>
      <c r="AG139" s="14"/>
      <c r="AH139" s="14"/>
      <c r="AI139" s="14"/>
      <c r="AJ139" s="14"/>
      <c r="AK139" s="15"/>
    </row>
    <row r="140" spans="1:37" ht="15.75" customHeight="1" x14ac:dyDescent="0.25">
      <c r="A140" s="13"/>
      <c r="B140" s="16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7"/>
      <c r="AB140" s="17"/>
      <c r="AC140" s="17"/>
      <c r="AD140" s="17"/>
      <c r="AE140" s="17"/>
      <c r="AF140" s="14"/>
      <c r="AG140" s="14"/>
      <c r="AH140" s="14"/>
      <c r="AI140" s="14"/>
      <c r="AJ140" s="14"/>
      <c r="AK140" s="15"/>
    </row>
    <row r="141" spans="1:37" ht="15.75" customHeight="1" x14ac:dyDescent="0.25">
      <c r="A141" s="13"/>
      <c r="B141" s="16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7"/>
      <c r="AB141" s="17"/>
      <c r="AC141" s="17"/>
      <c r="AD141" s="17"/>
      <c r="AE141" s="17"/>
      <c r="AF141" s="14"/>
      <c r="AG141" s="14"/>
      <c r="AH141" s="14"/>
      <c r="AI141" s="14"/>
      <c r="AJ141" s="14"/>
      <c r="AK141" s="15"/>
    </row>
    <row r="142" spans="1:37" ht="15.75" customHeight="1" x14ac:dyDescent="0.25">
      <c r="A142" s="13"/>
      <c r="B142" s="16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7"/>
      <c r="AB142" s="17"/>
      <c r="AC142" s="17"/>
      <c r="AD142" s="17"/>
      <c r="AE142" s="17"/>
      <c r="AF142" s="14"/>
      <c r="AG142" s="14"/>
      <c r="AH142" s="14"/>
      <c r="AI142" s="14"/>
      <c r="AJ142" s="14"/>
      <c r="AK142" s="15"/>
    </row>
    <row r="143" spans="1:37" ht="15.75" customHeight="1" x14ac:dyDescent="0.25">
      <c r="A143" s="13"/>
      <c r="B143" s="16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7"/>
      <c r="AB143" s="17"/>
      <c r="AC143" s="17"/>
      <c r="AD143" s="17"/>
      <c r="AE143" s="17"/>
      <c r="AF143" s="14"/>
      <c r="AG143" s="14"/>
      <c r="AH143" s="14"/>
      <c r="AI143" s="14"/>
      <c r="AJ143" s="14"/>
      <c r="AK143" s="15"/>
    </row>
    <row r="144" spans="1:37" ht="15.75" customHeight="1" x14ac:dyDescent="0.25">
      <c r="A144" s="13"/>
      <c r="B144" s="16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7"/>
      <c r="AB144" s="17"/>
      <c r="AC144" s="17"/>
      <c r="AD144" s="17"/>
      <c r="AE144" s="17"/>
      <c r="AF144" s="14"/>
      <c r="AG144" s="14"/>
      <c r="AH144" s="14"/>
      <c r="AI144" s="14"/>
      <c r="AJ144" s="14"/>
      <c r="AK144" s="15"/>
    </row>
    <row r="145" spans="1:37" ht="15.75" customHeight="1" x14ac:dyDescent="0.25">
      <c r="A145" s="13"/>
      <c r="B145" s="16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7"/>
      <c r="AB145" s="17"/>
      <c r="AC145" s="17"/>
      <c r="AD145" s="17"/>
      <c r="AE145" s="17"/>
      <c r="AF145" s="14"/>
      <c r="AG145" s="14"/>
      <c r="AH145" s="14"/>
      <c r="AI145" s="14"/>
      <c r="AJ145" s="14"/>
      <c r="AK145" s="15"/>
    </row>
    <row r="146" spans="1:37" ht="15.75" customHeight="1" x14ac:dyDescent="0.25">
      <c r="A146" s="13"/>
      <c r="B146" s="16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7"/>
      <c r="AB146" s="17"/>
      <c r="AC146" s="17"/>
      <c r="AD146" s="17"/>
      <c r="AE146" s="17"/>
      <c r="AF146" s="14"/>
      <c r="AG146" s="14"/>
      <c r="AH146" s="14"/>
      <c r="AI146" s="14"/>
      <c r="AJ146" s="14"/>
      <c r="AK146" s="15"/>
    </row>
    <row r="147" spans="1:37" ht="15.75" customHeight="1" x14ac:dyDescent="0.25">
      <c r="A147" s="13"/>
      <c r="B147" s="16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7"/>
      <c r="AB147" s="17"/>
      <c r="AC147" s="17"/>
      <c r="AD147" s="17"/>
      <c r="AE147" s="17"/>
      <c r="AF147" s="14"/>
      <c r="AG147" s="14"/>
      <c r="AH147" s="14"/>
      <c r="AI147" s="14"/>
      <c r="AJ147" s="14"/>
      <c r="AK147" s="15"/>
    </row>
    <row r="148" spans="1:37" ht="15.75" customHeight="1" x14ac:dyDescent="0.25">
      <c r="A148" s="13"/>
      <c r="B148" s="16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7"/>
      <c r="AB148" s="17"/>
      <c r="AC148" s="17"/>
      <c r="AD148" s="17"/>
      <c r="AE148" s="17"/>
      <c r="AF148" s="14"/>
      <c r="AG148" s="14"/>
      <c r="AH148" s="14"/>
      <c r="AI148" s="14"/>
      <c r="AJ148" s="14"/>
      <c r="AK148" s="15"/>
    </row>
    <row r="149" spans="1:37" ht="15.75" customHeight="1" x14ac:dyDescent="0.25">
      <c r="A149" s="13"/>
      <c r="B149" s="16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7"/>
      <c r="AB149" s="17"/>
      <c r="AC149" s="17"/>
      <c r="AD149" s="17"/>
      <c r="AE149" s="17"/>
      <c r="AF149" s="14"/>
      <c r="AG149" s="14"/>
      <c r="AH149" s="14"/>
      <c r="AI149" s="14"/>
      <c r="AJ149" s="14"/>
      <c r="AK149" s="15"/>
    </row>
    <row r="150" spans="1:37" ht="15.75" customHeight="1" x14ac:dyDescent="0.25">
      <c r="A150" s="13"/>
      <c r="B150" s="16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7"/>
      <c r="AB150" s="17"/>
      <c r="AC150" s="17"/>
      <c r="AD150" s="17"/>
      <c r="AE150" s="17"/>
      <c r="AF150" s="14"/>
      <c r="AG150" s="14"/>
      <c r="AH150" s="14"/>
      <c r="AI150" s="14"/>
      <c r="AJ150" s="14"/>
      <c r="AK150" s="15"/>
    </row>
    <row r="151" spans="1:37" ht="15.75" customHeight="1" x14ac:dyDescent="0.25">
      <c r="A151" s="13"/>
      <c r="B151" s="16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7"/>
      <c r="AB151" s="17"/>
      <c r="AC151" s="17"/>
      <c r="AD151" s="17"/>
      <c r="AE151" s="17"/>
      <c r="AF151" s="14"/>
      <c r="AG151" s="14"/>
      <c r="AH151" s="14"/>
      <c r="AI151" s="14"/>
      <c r="AJ151" s="14"/>
      <c r="AK151" s="15"/>
    </row>
    <row r="152" spans="1:37" ht="15.75" customHeight="1" x14ac:dyDescent="0.25">
      <c r="A152" s="13"/>
      <c r="B152" s="16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7"/>
      <c r="AB152" s="17"/>
      <c r="AC152" s="17"/>
      <c r="AD152" s="17"/>
      <c r="AE152" s="17"/>
      <c r="AF152" s="14"/>
      <c r="AG152" s="14"/>
      <c r="AH152" s="14"/>
      <c r="AI152" s="14"/>
      <c r="AJ152" s="14"/>
      <c r="AK152" s="15"/>
    </row>
    <row r="153" spans="1:37" ht="15.75" customHeight="1" x14ac:dyDescent="0.25">
      <c r="A153" s="13"/>
      <c r="B153" s="16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7"/>
      <c r="AB153" s="17"/>
      <c r="AC153" s="17"/>
      <c r="AD153" s="17"/>
      <c r="AE153" s="17"/>
      <c r="AF153" s="14"/>
      <c r="AG153" s="14"/>
      <c r="AH153" s="14"/>
      <c r="AI153" s="14"/>
      <c r="AJ153" s="14"/>
      <c r="AK153" s="15"/>
    </row>
    <row r="154" spans="1:37" ht="15.75" customHeight="1" x14ac:dyDescent="0.25">
      <c r="A154" s="13"/>
      <c r="B154" s="16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7"/>
      <c r="AB154" s="17"/>
      <c r="AC154" s="17"/>
      <c r="AD154" s="17"/>
      <c r="AE154" s="17"/>
      <c r="AF154" s="14"/>
      <c r="AG154" s="14"/>
      <c r="AH154" s="14"/>
      <c r="AI154" s="14"/>
      <c r="AJ154" s="14"/>
      <c r="AK154" s="15"/>
    </row>
    <row r="155" spans="1:37" ht="15.75" customHeight="1" x14ac:dyDescent="0.25">
      <c r="A155" s="13"/>
      <c r="B155" s="16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7"/>
      <c r="AB155" s="17"/>
      <c r="AC155" s="17"/>
      <c r="AD155" s="17"/>
      <c r="AE155" s="17"/>
      <c r="AF155" s="14"/>
      <c r="AG155" s="14"/>
      <c r="AH155" s="14"/>
      <c r="AI155" s="14"/>
      <c r="AJ155" s="14"/>
      <c r="AK155" s="15"/>
    </row>
    <row r="156" spans="1:37" ht="15.75" customHeight="1" x14ac:dyDescent="0.25">
      <c r="A156" s="13"/>
      <c r="B156" s="16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7"/>
      <c r="AB156" s="17"/>
      <c r="AC156" s="17"/>
      <c r="AD156" s="17"/>
      <c r="AE156" s="17"/>
      <c r="AF156" s="14"/>
      <c r="AG156" s="14"/>
      <c r="AH156" s="14"/>
      <c r="AI156" s="14"/>
      <c r="AJ156" s="14"/>
      <c r="AK156" s="15"/>
    </row>
    <row r="157" spans="1:37" ht="15.75" customHeight="1" x14ac:dyDescent="0.25">
      <c r="A157" s="13"/>
      <c r="B157" s="16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7"/>
      <c r="AB157" s="17"/>
      <c r="AC157" s="17"/>
      <c r="AD157" s="17"/>
      <c r="AE157" s="17"/>
      <c r="AF157" s="14"/>
      <c r="AG157" s="14"/>
      <c r="AH157" s="14"/>
      <c r="AI157" s="14"/>
      <c r="AJ157" s="14"/>
      <c r="AK157" s="15"/>
    </row>
    <row r="158" spans="1:37" ht="15.75" customHeight="1" x14ac:dyDescent="0.25">
      <c r="A158" s="13"/>
      <c r="B158" s="16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7"/>
      <c r="AB158" s="17"/>
      <c r="AC158" s="17"/>
      <c r="AD158" s="17"/>
      <c r="AE158" s="17"/>
      <c r="AF158" s="14"/>
      <c r="AG158" s="14"/>
      <c r="AH158" s="14"/>
      <c r="AI158" s="14"/>
      <c r="AJ158" s="14"/>
      <c r="AK158" s="15"/>
    </row>
    <row r="159" spans="1:37" ht="15.75" customHeight="1" x14ac:dyDescent="0.25">
      <c r="A159" s="13"/>
      <c r="B159" s="16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7"/>
      <c r="AB159" s="17"/>
      <c r="AC159" s="17"/>
      <c r="AD159" s="17"/>
      <c r="AE159" s="17"/>
      <c r="AF159" s="14"/>
      <c r="AG159" s="14"/>
      <c r="AH159" s="14"/>
      <c r="AI159" s="14"/>
      <c r="AJ159" s="14"/>
      <c r="AK159" s="15"/>
    </row>
    <row r="160" spans="1:37" ht="15.75" customHeight="1" x14ac:dyDescent="0.25">
      <c r="A160" s="13"/>
      <c r="B160" s="1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7"/>
      <c r="AB160" s="17"/>
      <c r="AC160" s="17"/>
      <c r="AD160" s="17"/>
      <c r="AE160" s="17"/>
      <c r="AF160" s="14"/>
      <c r="AG160" s="14"/>
      <c r="AH160" s="14"/>
      <c r="AI160" s="14"/>
      <c r="AJ160" s="14"/>
      <c r="AK160" s="15"/>
    </row>
    <row r="161" spans="1:37" ht="15.75" customHeight="1" x14ac:dyDescent="0.25">
      <c r="A161" s="13"/>
      <c r="B161" s="1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7"/>
      <c r="AB161" s="17"/>
      <c r="AC161" s="17"/>
      <c r="AD161" s="17"/>
      <c r="AE161" s="17"/>
      <c r="AF161" s="14"/>
      <c r="AG161" s="14"/>
      <c r="AH161" s="14"/>
      <c r="AI161" s="14"/>
      <c r="AJ161" s="14"/>
      <c r="AK161" s="15"/>
    </row>
    <row r="162" spans="1:37" ht="15.75" customHeight="1" x14ac:dyDescent="0.25">
      <c r="A162" s="13"/>
      <c r="B162" s="1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7"/>
      <c r="AB162" s="17"/>
      <c r="AC162" s="17"/>
      <c r="AD162" s="17"/>
      <c r="AE162" s="17"/>
      <c r="AF162" s="14"/>
      <c r="AG162" s="14"/>
      <c r="AH162" s="14"/>
      <c r="AI162" s="14"/>
      <c r="AJ162" s="14"/>
      <c r="AK162" s="15"/>
    </row>
    <row r="163" spans="1:37" ht="15.75" customHeight="1" x14ac:dyDescent="0.25">
      <c r="A163" s="13"/>
      <c r="B163" s="1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7"/>
      <c r="AB163" s="17"/>
      <c r="AC163" s="17"/>
      <c r="AD163" s="17"/>
      <c r="AE163" s="17"/>
      <c r="AF163" s="14"/>
      <c r="AG163" s="14"/>
      <c r="AH163" s="14"/>
      <c r="AI163" s="14"/>
      <c r="AJ163" s="14"/>
      <c r="AK163" s="15"/>
    </row>
    <row r="164" spans="1:37" ht="15.75" customHeight="1" x14ac:dyDescent="0.25">
      <c r="A164" s="13"/>
      <c r="B164" s="1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7"/>
      <c r="AB164" s="17"/>
      <c r="AC164" s="17"/>
      <c r="AD164" s="17"/>
      <c r="AE164" s="17"/>
      <c r="AF164" s="14"/>
      <c r="AG164" s="14"/>
      <c r="AH164" s="14"/>
      <c r="AI164" s="14"/>
      <c r="AJ164" s="14"/>
      <c r="AK164" s="15"/>
    </row>
    <row r="165" spans="1:37" ht="15.75" customHeight="1" x14ac:dyDescent="0.25">
      <c r="A165" s="13"/>
      <c r="B165" s="1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7"/>
      <c r="AB165" s="17"/>
      <c r="AC165" s="17"/>
      <c r="AD165" s="17"/>
      <c r="AE165" s="17"/>
      <c r="AF165" s="14"/>
      <c r="AG165" s="14"/>
      <c r="AH165" s="14"/>
      <c r="AI165" s="14"/>
      <c r="AJ165" s="14"/>
      <c r="AK165" s="15"/>
    </row>
    <row r="166" spans="1:37" ht="15.75" customHeight="1" x14ac:dyDescent="0.25">
      <c r="A166" s="13"/>
      <c r="B166" s="1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7"/>
      <c r="AB166" s="17"/>
      <c r="AC166" s="17"/>
      <c r="AD166" s="17"/>
      <c r="AE166" s="17"/>
      <c r="AF166" s="14"/>
      <c r="AG166" s="14"/>
      <c r="AH166" s="14"/>
      <c r="AI166" s="14"/>
      <c r="AJ166" s="14"/>
      <c r="AK166" s="15"/>
    </row>
    <row r="167" spans="1:37" ht="15.75" customHeight="1" x14ac:dyDescent="0.25">
      <c r="A167" s="13"/>
      <c r="B167" s="1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7"/>
      <c r="AB167" s="17"/>
      <c r="AC167" s="17"/>
      <c r="AD167" s="17"/>
      <c r="AE167" s="17"/>
      <c r="AF167" s="14"/>
      <c r="AG167" s="14"/>
      <c r="AH167" s="14"/>
      <c r="AI167" s="14"/>
      <c r="AJ167" s="14"/>
      <c r="AK167" s="15"/>
    </row>
    <row r="168" spans="1:37" ht="15.75" customHeight="1" x14ac:dyDescent="0.25">
      <c r="A168" s="13"/>
      <c r="B168" s="1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7"/>
      <c r="AB168" s="17"/>
      <c r="AC168" s="17"/>
      <c r="AD168" s="17"/>
      <c r="AE168" s="17"/>
      <c r="AF168" s="14"/>
      <c r="AG168" s="14"/>
      <c r="AH168" s="14"/>
      <c r="AI168" s="14"/>
      <c r="AJ168" s="14"/>
      <c r="AK168" s="15"/>
    </row>
    <row r="169" spans="1:37" ht="15.75" customHeight="1" x14ac:dyDescent="0.25">
      <c r="A169" s="13"/>
      <c r="B169" s="1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7"/>
      <c r="AB169" s="17"/>
      <c r="AC169" s="17"/>
      <c r="AD169" s="17"/>
      <c r="AE169" s="17"/>
      <c r="AF169" s="14"/>
      <c r="AG169" s="14"/>
      <c r="AH169" s="14"/>
      <c r="AI169" s="14"/>
      <c r="AJ169" s="14"/>
      <c r="AK169" s="15"/>
    </row>
    <row r="170" spans="1:37" ht="15.75" customHeight="1" x14ac:dyDescent="0.25">
      <c r="A170" s="13"/>
      <c r="B170" s="1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7"/>
      <c r="AB170" s="17"/>
      <c r="AC170" s="17"/>
      <c r="AD170" s="17"/>
      <c r="AE170" s="17"/>
      <c r="AF170" s="14"/>
      <c r="AG170" s="14"/>
      <c r="AH170" s="14"/>
      <c r="AI170" s="14"/>
      <c r="AJ170" s="14"/>
      <c r="AK170" s="15"/>
    </row>
    <row r="171" spans="1:37" ht="15.75" customHeight="1" x14ac:dyDescent="0.25">
      <c r="A171" s="13"/>
      <c r="B171" s="1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7"/>
      <c r="AB171" s="17"/>
      <c r="AC171" s="17"/>
      <c r="AD171" s="17"/>
      <c r="AE171" s="17"/>
      <c r="AF171" s="14"/>
      <c r="AG171" s="14"/>
      <c r="AH171" s="14"/>
      <c r="AI171" s="14"/>
      <c r="AJ171" s="14"/>
      <c r="AK171" s="15"/>
    </row>
    <row r="172" spans="1:37" ht="15.75" customHeight="1" x14ac:dyDescent="0.25">
      <c r="A172" s="13"/>
      <c r="B172" s="1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7"/>
      <c r="AB172" s="17"/>
      <c r="AC172" s="17"/>
      <c r="AD172" s="17"/>
      <c r="AE172" s="17"/>
      <c r="AF172" s="14"/>
      <c r="AG172" s="14"/>
      <c r="AH172" s="14"/>
      <c r="AI172" s="14"/>
      <c r="AJ172" s="14"/>
      <c r="AK172" s="15"/>
    </row>
    <row r="173" spans="1:37" ht="15.75" customHeight="1" x14ac:dyDescent="0.25">
      <c r="A173" s="13"/>
      <c r="B173" s="1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7"/>
      <c r="AB173" s="17"/>
      <c r="AC173" s="17"/>
      <c r="AD173" s="17"/>
      <c r="AE173" s="17"/>
      <c r="AF173" s="14"/>
      <c r="AG173" s="14"/>
      <c r="AH173" s="14"/>
      <c r="AI173" s="14"/>
      <c r="AJ173" s="14"/>
      <c r="AK173" s="15"/>
    </row>
    <row r="174" spans="1:37" ht="15.75" customHeight="1" x14ac:dyDescent="0.25">
      <c r="A174" s="13"/>
      <c r="B174" s="1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7"/>
      <c r="AB174" s="17"/>
      <c r="AC174" s="17"/>
      <c r="AD174" s="17"/>
      <c r="AE174" s="17"/>
      <c r="AF174" s="14"/>
      <c r="AG174" s="14"/>
      <c r="AH174" s="14"/>
      <c r="AI174" s="14"/>
      <c r="AJ174" s="14"/>
      <c r="AK174" s="15"/>
    </row>
    <row r="175" spans="1:37" ht="15.75" customHeight="1" x14ac:dyDescent="0.25">
      <c r="A175" s="13"/>
      <c r="B175" s="1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7"/>
      <c r="AB175" s="17"/>
      <c r="AC175" s="17"/>
      <c r="AD175" s="17"/>
      <c r="AE175" s="17"/>
      <c r="AF175" s="14"/>
      <c r="AG175" s="14"/>
      <c r="AH175" s="14"/>
      <c r="AI175" s="14"/>
      <c r="AJ175" s="14"/>
      <c r="AK175" s="15"/>
    </row>
    <row r="176" spans="1:37" ht="15.75" customHeight="1" x14ac:dyDescent="0.25">
      <c r="A176" s="13"/>
      <c r="B176" s="1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7"/>
      <c r="AB176" s="17"/>
      <c r="AC176" s="17"/>
      <c r="AD176" s="17"/>
      <c r="AE176" s="17"/>
      <c r="AF176" s="14"/>
      <c r="AG176" s="14"/>
      <c r="AH176" s="14"/>
      <c r="AI176" s="14"/>
      <c r="AJ176" s="14"/>
      <c r="AK176" s="15"/>
    </row>
    <row r="177" spans="1:37" ht="15.75" customHeight="1" x14ac:dyDescent="0.25">
      <c r="A177" s="13"/>
      <c r="B177" s="1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7"/>
      <c r="AB177" s="17"/>
      <c r="AC177" s="17"/>
      <c r="AD177" s="17"/>
      <c r="AE177" s="17"/>
      <c r="AF177" s="14"/>
      <c r="AG177" s="14"/>
      <c r="AH177" s="14"/>
      <c r="AI177" s="14"/>
      <c r="AJ177" s="14"/>
      <c r="AK177" s="15"/>
    </row>
    <row r="178" spans="1:37" ht="15.75" customHeight="1" x14ac:dyDescent="0.25">
      <c r="A178" s="13"/>
      <c r="B178" s="1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7"/>
      <c r="AB178" s="17"/>
      <c r="AC178" s="17"/>
      <c r="AD178" s="17"/>
      <c r="AE178" s="17"/>
      <c r="AF178" s="14"/>
      <c r="AG178" s="14"/>
      <c r="AH178" s="14"/>
      <c r="AI178" s="14"/>
      <c r="AJ178" s="14"/>
      <c r="AK178" s="15"/>
    </row>
    <row r="179" spans="1:37" ht="15.75" customHeight="1" x14ac:dyDescent="0.25">
      <c r="A179" s="13"/>
      <c r="B179" s="1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7"/>
      <c r="AB179" s="17"/>
      <c r="AC179" s="17"/>
      <c r="AD179" s="17"/>
      <c r="AE179" s="17"/>
      <c r="AF179" s="14"/>
      <c r="AG179" s="14"/>
      <c r="AH179" s="14"/>
      <c r="AI179" s="14"/>
      <c r="AJ179" s="14"/>
      <c r="AK179" s="15"/>
    </row>
    <row r="180" spans="1:37" ht="15.75" customHeight="1" x14ac:dyDescent="0.25">
      <c r="A180" s="13"/>
      <c r="B180" s="1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7"/>
      <c r="AB180" s="17"/>
      <c r="AC180" s="17"/>
      <c r="AD180" s="17"/>
      <c r="AE180" s="17"/>
      <c r="AF180" s="14"/>
      <c r="AG180" s="14"/>
      <c r="AH180" s="14"/>
      <c r="AI180" s="14"/>
      <c r="AJ180" s="14"/>
      <c r="AK180" s="15"/>
    </row>
    <row r="181" spans="1:37" ht="15.75" customHeight="1" x14ac:dyDescent="0.25">
      <c r="A181" s="13"/>
      <c r="B181" s="1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7"/>
      <c r="AB181" s="17"/>
      <c r="AC181" s="17"/>
      <c r="AD181" s="17"/>
      <c r="AE181" s="17"/>
      <c r="AF181" s="14"/>
      <c r="AG181" s="14"/>
      <c r="AH181" s="14"/>
      <c r="AI181" s="14"/>
      <c r="AJ181" s="14"/>
      <c r="AK181" s="15"/>
    </row>
    <row r="182" spans="1:37" ht="15.75" customHeight="1" x14ac:dyDescent="0.25">
      <c r="A182" s="13"/>
      <c r="B182" s="1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7"/>
      <c r="AB182" s="17"/>
      <c r="AC182" s="17"/>
      <c r="AD182" s="17"/>
      <c r="AE182" s="17"/>
      <c r="AF182" s="14"/>
      <c r="AG182" s="14"/>
      <c r="AH182" s="14"/>
      <c r="AI182" s="14"/>
      <c r="AJ182" s="14"/>
      <c r="AK182" s="15"/>
    </row>
    <row r="183" spans="1:37" ht="15.75" customHeight="1" x14ac:dyDescent="0.25">
      <c r="A183" s="13"/>
      <c r="B183" s="1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7"/>
      <c r="AB183" s="17"/>
      <c r="AC183" s="17"/>
      <c r="AD183" s="17"/>
      <c r="AE183" s="17"/>
      <c r="AF183" s="14"/>
      <c r="AG183" s="14"/>
      <c r="AH183" s="14"/>
      <c r="AI183" s="14"/>
      <c r="AJ183" s="14"/>
      <c r="AK183" s="15"/>
    </row>
    <row r="184" spans="1:37" ht="15.75" customHeight="1" x14ac:dyDescent="0.25">
      <c r="A184" s="13"/>
      <c r="B184" s="1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7"/>
      <c r="AB184" s="17"/>
      <c r="AC184" s="17"/>
      <c r="AD184" s="17"/>
      <c r="AE184" s="17"/>
      <c r="AF184" s="14"/>
      <c r="AG184" s="14"/>
      <c r="AH184" s="14"/>
      <c r="AI184" s="14"/>
      <c r="AJ184" s="14"/>
      <c r="AK184" s="15"/>
    </row>
    <row r="185" spans="1:37" ht="15.75" customHeight="1" x14ac:dyDescent="0.25">
      <c r="A185" s="13"/>
      <c r="B185" s="1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7"/>
      <c r="AB185" s="17"/>
      <c r="AC185" s="17"/>
      <c r="AD185" s="17"/>
      <c r="AE185" s="17"/>
      <c r="AF185" s="14"/>
      <c r="AG185" s="14"/>
      <c r="AH185" s="14"/>
      <c r="AI185" s="14"/>
      <c r="AJ185" s="14"/>
      <c r="AK185" s="15"/>
    </row>
    <row r="186" spans="1:37" ht="15.75" customHeight="1" x14ac:dyDescent="0.25">
      <c r="A186" s="13"/>
      <c r="B186" s="1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7"/>
      <c r="AB186" s="17"/>
      <c r="AC186" s="17"/>
      <c r="AD186" s="17"/>
      <c r="AE186" s="17"/>
      <c r="AF186" s="14"/>
      <c r="AG186" s="14"/>
      <c r="AH186" s="14"/>
      <c r="AI186" s="14"/>
      <c r="AJ186" s="14"/>
      <c r="AK186" s="15"/>
    </row>
    <row r="187" spans="1:37" ht="15.75" customHeight="1" x14ac:dyDescent="0.25">
      <c r="A187" s="13"/>
      <c r="B187" s="1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7"/>
      <c r="AB187" s="17"/>
      <c r="AC187" s="17"/>
      <c r="AD187" s="17"/>
      <c r="AE187" s="17"/>
      <c r="AF187" s="14"/>
      <c r="AG187" s="14"/>
      <c r="AH187" s="14"/>
      <c r="AI187" s="14"/>
      <c r="AJ187" s="14"/>
      <c r="AK187" s="15"/>
    </row>
    <row r="188" spans="1:37" ht="15.75" customHeight="1" x14ac:dyDescent="0.25">
      <c r="A188" s="13"/>
      <c r="B188" s="1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7"/>
      <c r="AB188" s="17"/>
      <c r="AC188" s="17"/>
      <c r="AD188" s="17"/>
      <c r="AE188" s="17"/>
      <c r="AF188" s="14"/>
      <c r="AG188" s="14"/>
      <c r="AH188" s="14"/>
      <c r="AI188" s="14"/>
      <c r="AJ188" s="14"/>
      <c r="AK188" s="15"/>
    </row>
    <row r="189" spans="1:37" ht="15.75" customHeight="1" x14ac:dyDescent="0.25">
      <c r="A189" s="13"/>
      <c r="B189" s="1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7"/>
      <c r="AB189" s="17"/>
      <c r="AC189" s="17"/>
      <c r="AD189" s="17"/>
      <c r="AE189" s="17"/>
      <c r="AF189" s="14"/>
      <c r="AG189" s="14"/>
      <c r="AH189" s="14"/>
      <c r="AI189" s="14"/>
      <c r="AJ189" s="14"/>
      <c r="AK189" s="15"/>
    </row>
    <row r="190" spans="1:37" ht="15.75" customHeight="1" x14ac:dyDescent="0.25">
      <c r="A190" s="13"/>
      <c r="B190" s="1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7"/>
      <c r="AB190" s="17"/>
      <c r="AC190" s="17"/>
      <c r="AD190" s="17"/>
      <c r="AE190" s="17"/>
      <c r="AF190" s="14"/>
      <c r="AG190" s="14"/>
      <c r="AH190" s="14"/>
      <c r="AI190" s="14"/>
      <c r="AJ190" s="14"/>
      <c r="AK190" s="15"/>
    </row>
    <row r="191" spans="1:37" ht="15.75" customHeight="1" x14ac:dyDescent="0.25">
      <c r="A191" s="13"/>
      <c r="B191" s="1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7"/>
      <c r="AB191" s="17"/>
      <c r="AC191" s="17"/>
      <c r="AD191" s="17"/>
      <c r="AE191" s="17"/>
      <c r="AF191" s="14"/>
      <c r="AG191" s="14"/>
      <c r="AH191" s="14"/>
      <c r="AI191" s="14"/>
      <c r="AJ191" s="14"/>
      <c r="AK191" s="15"/>
    </row>
    <row r="192" spans="1:37" ht="15.75" customHeight="1" x14ac:dyDescent="0.25">
      <c r="A192" s="13"/>
      <c r="B192" s="1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7"/>
      <c r="AB192" s="17"/>
      <c r="AC192" s="17"/>
      <c r="AD192" s="17"/>
      <c r="AE192" s="17"/>
      <c r="AF192" s="14"/>
      <c r="AG192" s="14"/>
      <c r="AH192" s="14"/>
      <c r="AI192" s="14"/>
      <c r="AJ192" s="14"/>
      <c r="AK192" s="15"/>
    </row>
    <row r="193" spans="1:37" ht="15.75" customHeight="1" x14ac:dyDescent="0.25">
      <c r="A193" s="13"/>
      <c r="B193" s="1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7"/>
      <c r="AB193" s="17"/>
      <c r="AC193" s="17"/>
      <c r="AD193" s="17"/>
      <c r="AE193" s="17"/>
      <c r="AF193" s="14"/>
      <c r="AG193" s="14"/>
      <c r="AH193" s="14"/>
      <c r="AI193" s="14"/>
      <c r="AJ193" s="14"/>
      <c r="AK193" s="15"/>
    </row>
    <row r="194" spans="1:37" ht="15.75" customHeight="1" x14ac:dyDescent="0.25">
      <c r="A194" s="13"/>
      <c r="B194" s="1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7"/>
      <c r="AB194" s="17"/>
      <c r="AC194" s="17"/>
      <c r="AD194" s="17"/>
      <c r="AE194" s="17"/>
      <c r="AF194" s="14"/>
      <c r="AG194" s="14"/>
      <c r="AH194" s="14"/>
      <c r="AI194" s="14"/>
      <c r="AJ194" s="14"/>
      <c r="AK194" s="15"/>
    </row>
    <row r="195" spans="1:37" ht="15.75" customHeight="1" x14ac:dyDescent="0.25">
      <c r="A195" s="13"/>
      <c r="B195" s="1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7"/>
      <c r="AB195" s="17"/>
      <c r="AC195" s="17"/>
      <c r="AD195" s="17"/>
      <c r="AE195" s="17"/>
      <c r="AF195" s="14"/>
      <c r="AG195" s="14"/>
      <c r="AH195" s="14"/>
      <c r="AI195" s="14"/>
      <c r="AJ195" s="14"/>
      <c r="AK195" s="15"/>
    </row>
    <row r="196" spans="1:37" ht="15.75" customHeight="1" x14ac:dyDescent="0.25">
      <c r="A196" s="13"/>
      <c r="B196" s="1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7"/>
      <c r="AB196" s="17"/>
      <c r="AC196" s="17"/>
      <c r="AD196" s="17"/>
      <c r="AE196" s="17"/>
      <c r="AF196" s="14"/>
      <c r="AG196" s="14"/>
      <c r="AH196" s="14"/>
      <c r="AI196" s="14"/>
      <c r="AJ196" s="14"/>
      <c r="AK196" s="15"/>
    </row>
    <row r="197" spans="1:37" ht="15.75" customHeight="1" x14ac:dyDescent="0.25">
      <c r="A197" s="13"/>
      <c r="B197" s="1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7"/>
      <c r="AB197" s="17"/>
      <c r="AC197" s="17"/>
      <c r="AD197" s="17"/>
      <c r="AE197" s="17"/>
      <c r="AF197" s="14"/>
      <c r="AG197" s="14"/>
      <c r="AH197" s="14"/>
      <c r="AI197" s="14"/>
      <c r="AJ197" s="14"/>
      <c r="AK197" s="15"/>
    </row>
    <row r="198" spans="1:37" ht="15.75" customHeight="1" x14ac:dyDescent="0.25">
      <c r="A198" s="13"/>
      <c r="B198" s="1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7"/>
      <c r="AB198" s="17"/>
      <c r="AC198" s="17"/>
      <c r="AD198" s="17"/>
      <c r="AE198" s="17"/>
      <c r="AF198" s="14"/>
      <c r="AG198" s="14"/>
      <c r="AH198" s="14"/>
      <c r="AI198" s="14"/>
      <c r="AJ198" s="14"/>
      <c r="AK198" s="15"/>
    </row>
    <row r="199" spans="1:37" ht="15.75" customHeight="1" x14ac:dyDescent="0.25">
      <c r="A199" s="13"/>
      <c r="B199" s="1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7"/>
      <c r="AB199" s="17"/>
      <c r="AC199" s="17"/>
      <c r="AD199" s="17"/>
      <c r="AE199" s="17"/>
      <c r="AF199" s="14"/>
      <c r="AG199" s="14"/>
      <c r="AH199" s="14"/>
      <c r="AI199" s="14"/>
      <c r="AJ199" s="14"/>
      <c r="AK199" s="15"/>
    </row>
    <row r="200" spans="1:37" ht="15.75" customHeight="1" x14ac:dyDescent="0.25">
      <c r="A200" s="13"/>
      <c r="B200" s="1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7"/>
      <c r="AB200" s="17"/>
      <c r="AC200" s="17"/>
      <c r="AD200" s="17"/>
      <c r="AE200" s="17"/>
      <c r="AF200" s="14"/>
      <c r="AG200" s="14"/>
      <c r="AH200" s="14"/>
      <c r="AI200" s="14"/>
      <c r="AJ200" s="14"/>
      <c r="AK200" s="15"/>
    </row>
    <row r="201" spans="1:37" ht="15.75" customHeight="1" x14ac:dyDescent="0.25">
      <c r="A201" s="13"/>
      <c r="B201" s="1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7"/>
      <c r="AB201" s="17"/>
      <c r="AC201" s="17"/>
      <c r="AD201" s="17"/>
      <c r="AE201" s="17"/>
      <c r="AF201" s="14"/>
      <c r="AG201" s="14"/>
      <c r="AH201" s="14"/>
      <c r="AI201" s="14"/>
      <c r="AJ201" s="14"/>
      <c r="AK201" s="15"/>
    </row>
    <row r="202" spans="1:37" ht="15.75" customHeight="1" x14ac:dyDescent="0.25">
      <c r="A202" s="13"/>
      <c r="B202" s="1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7"/>
      <c r="AB202" s="17"/>
      <c r="AC202" s="17"/>
      <c r="AD202" s="17"/>
      <c r="AE202" s="17"/>
      <c r="AF202" s="14"/>
      <c r="AG202" s="14"/>
      <c r="AH202" s="14"/>
      <c r="AI202" s="14"/>
      <c r="AJ202" s="14"/>
      <c r="AK202" s="15"/>
    </row>
    <row r="203" spans="1:37" ht="15.75" customHeight="1" x14ac:dyDescent="0.25">
      <c r="A203" s="13"/>
      <c r="B203" s="1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7"/>
      <c r="AB203" s="17"/>
      <c r="AC203" s="17"/>
      <c r="AD203" s="17"/>
      <c r="AE203" s="17"/>
      <c r="AF203" s="14"/>
      <c r="AG203" s="14"/>
      <c r="AH203" s="14"/>
      <c r="AI203" s="14"/>
      <c r="AJ203" s="14"/>
      <c r="AK203" s="15"/>
    </row>
    <row r="204" spans="1:37" ht="15.75" customHeight="1" x14ac:dyDescent="0.25">
      <c r="A204" s="13"/>
      <c r="B204" s="1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7"/>
      <c r="AB204" s="17"/>
      <c r="AC204" s="17"/>
      <c r="AD204" s="17"/>
      <c r="AE204" s="17"/>
      <c r="AF204" s="14"/>
      <c r="AG204" s="14"/>
      <c r="AH204" s="14"/>
      <c r="AI204" s="14"/>
      <c r="AJ204" s="14"/>
      <c r="AK204" s="15"/>
    </row>
    <row r="205" spans="1:37" ht="15.75" customHeight="1" x14ac:dyDescent="0.25">
      <c r="A205" s="13"/>
      <c r="B205" s="1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7"/>
      <c r="AB205" s="17"/>
      <c r="AC205" s="17"/>
      <c r="AD205" s="17"/>
      <c r="AE205" s="17"/>
      <c r="AF205" s="14"/>
      <c r="AG205" s="14"/>
      <c r="AH205" s="14"/>
      <c r="AI205" s="14"/>
      <c r="AJ205" s="14"/>
      <c r="AK205" s="15"/>
    </row>
    <row r="206" spans="1:37" ht="15.75" customHeight="1" x14ac:dyDescent="0.25">
      <c r="A206" s="13"/>
      <c r="B206" s="1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7"/>
      <c r="AB206" s="17"/>
      <c r="AC206" s="17"/>
      <c r="AD206" s="17"/>
      <c r="AE206" s="17"/>
      <c r="AF206" s="14"/>
      <c r="AG206" s="14"/>
      <c r="AH206" s="14"/>
      <c r="AI206" s="14"/>
      <c r="AJ206" s="14"/>
      <c r="AK206" s="15"/>
    </row>
    <row r="207" spans="1:37" ht="15.75" customHeight="1" x14ac:dyDescent="0.25">
      <c r="A207" s="13"/>
      <c r="B207" s="1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7"/>
      <c r="AB207" s="17"/>
      <c r="AC207" s="17"/>
      <c r="AD207" s="17"/>
      <c r="AE207" s="17"/>
      <c r="AF207" s="14"/>
      <c r="AG207" s="14"/>
      <c r="AH207" s="14"/>
      <c r="AI207" s="14"/>
      <c r="AJ207" s="14"/>
      <c r="AK207" s="15"/>
    </row>
    <row r="208" spans="1:37" ht="15.75" customHeight="1" x14ac:dyDescent="0.25">
      <c r="A208" s="13"/>
      <c r="B208" s="1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7"/>
      <c r="AB208" s="17"/>
      <c r="AC208" s="17"/>
      <c r="AD208" s="17"/>
      <c r="AE208" s="17"/>
      <c r="AF208" s="14"/>
      <c r="AG208" s="14"/>
      <c r="AH208" s="14"/>
      <c r="AI208" s="14"/>
      <c r="AJ208" s="14"/>
      <c r="AK208" s="15"/>
    </row>
    <row r="209" spans="1:37" ht="15.75" customHeight="1" x14ac:dyDescent="0.25">
      <c r="A209" s="13"/>
      <c r="B209" s="1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7"/>
      <c r="AB209" s="17"/>
      <c r="AC209" s="17"/>
      <c r="AD209" s="17"/>
      <c r="AE209" s="17"/>
      <c r="AF209" s="14"/>
      <c r="AG209" s="14"/>
      <c r="AH209" s="14"/>
      <c r="AI209" s="14"/>
      <c r="AJ209" s="14"/>
      <c r="AK209" s="15"/>
    </row>
    <row r="210" spans="1:37" ht="15.75" customHeight="1" x14ac:dyDescent="0.25">
      <c r="A210" s="13"/>
      <c r="B210" s="1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7"/>
      <c r="AB210" s="17"/>
      <c r="AC210" s="17"/>
      <c r="AD210" s="17"/>
      <c r="AE210" s="17"/>
      <c r="AF210" s="14"/>
      <c r="AG210" s="14"/>
      <c r="AH210" s="14"/>
      <c r="AI210" s="14"/>
      <c r="AJ210" s="14"/>
      <c r="AK210" s="15"/>
    </row>
    <row r="211" spans="1:37" ht="15.75" customHeight="1" x14ac:dyDescent="0.25">
      <c r="A211" s="13"/>
      <c r="B211" s="1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7"/>
      <c r="AB211" s="17"/>
      <c r="AC211" s="17"/>
      <c r="AD211" s="17"/>
      <c r="AE211" s="17"/>
      <c r="AF211" s="14"/>
      <c r="AG211" s="14"/>
      <c r="AH211" s="14"/>
      <c r="AI211" s="14"/>
      <c r="AJ211" s="14"/>
      <c r="AK211" s="15"/>
    </row>
    <row r="212" spans="1:37" ht="15.75" customHeight="1" x14ac:dyDescent="0.25">
      <c r="A212" s="13"/>
      <c r="B212" s="1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7"/>
      <c r="AB212" s="17"/>
      <c r="AC212" s="17"/>
      <c r="AD212" s="17"/>
      <c r="AE212" s="17"/>
      <c r="AF212" s="14"/>
      <c r="AG212" s="14"/>
      <c r="AH212" s="14"/>
      <c r="AI212" s="14"/>
      <c r="AJ212" s="14"/>
      <c r="AK212" s="15"/>
    </row>
    <row r="213" spans="1:37" ht="15.75" customHeight="1" x14ac:dyDescent="0.25">
      <c r="A213" s="13"/>
      <c r="B213" s="1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7"/>
      <c r="AB213" s="17"/>
      <c r="AC213" s="17"/>
      <c r="AD213" s="17"/>
      <c r="AE213" s="17"/>
      <c r="AF213" s="14"/>
      <c r="AG213" s="14"/>
      <c r="AH213" s="14"/>
      <c r="AI213" s="14"/>
      <c r="AJ213" s="14"/>
      <c r="AK213" s="15"/>
    </row>
    <row r="214" spans="1:37" ht="15.75" customHeight="1" x14ac:dyDescent="0.25">
      <c r="A214" s="13"/>
      <c r="B214" s="1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7"/>
      <c r="AB214" s="17"/>
      <c r="AC214" s="17"/>
      <c r="AD214" s="17"/>
      <c r="AE214" s="17"/>
      <c r="AF214" s="14"/>
      <c r="AG214" s="14"/>
      <c r="AH214" s="14"/>
      <c r="AI214" s="14"/>
      <c r="AJ214" s="14"/>
      <c r="AK214" s="15"/>
    </row>
    <row r="215" spans="1:37" ht="15.75" customHeight="1" x14ac:dyDescent="0.25">
      <c r="A215" s="13"/>
      <c r="B215" s="1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7"/>
      <c r="AB215" s="17"/>
      <c r="AC215" s="17"/>
      <c r="AD215" s="17"/>
      <c r="AE215" s="17"/>
      <c r="AF215" s="14"/>
      <c r="AG215" s="14"/>
      <c r="AH215" s="14"/>
      <c r="AI215" s="14"/>
      <c r="AJ215" s="14"/>
      <c r="AK215" s="15"/>
    </row>
    <row r="216" spans="1:37" ht="15.75" customHeight="1" x14ac:dyDescent="0.25">
      <c r="A216" s="13"/>
      <c r="B216" s="1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7"/>
      <c r="AB216" s="17"/>
      <c r="AC216" s="17"/>
      <c r="AD216" s="17"/>
      <c r="AE216" s="17"/>
      <c r="AF216" s="14"/>
      <c r="AG216" s="14"/>
      <c r="AH216" s="14"/>
      <c r="AI216" s="14"/>
      <c r="AJ216" s="14"/>
      <c r="AK216" s="15"/>
    </row>
    <row r="217" spans="1:37" ht="15.75" customHeight="1" x14ac:dyDescent="0.25">
      <c r="A217" s="13"/>
      <c r="B217" s="1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7"/>
      <c r="AB217" s="17"/>
      <c r="AC217" s="17"/>
      <c r="AD217" s="17"/>
      <c r="AE217" s="17"/>
      <c r="AF217" s="14"/>
      <c r="AG217" s="14"/>
      <c r="AH217" s="14"/>
      <c r="AI217" s="14"/>
      <c r="AJ217" s="14"/>
      <c r="AK217" s="15"/>
    </row>
    <row r="218" spans="1:37" ht="15.75" customHeight="1" x14ac:dyDescent="0.25">
      <c r="A218" s="13"/>
      <c r="B218" s="1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7"/>
      <c r="AB218" s="17"/>
      <c r="AC218" s="17"/>
      <c r="AD218" s="17"/>
      <c r="AE218" s="17"/>
      <c r="AF218" s="14"/>
      <c r="AG218" s="14"/>
      <c r="AH218" s="14"/>
      <c r="AI218" s="14"/>
      <c r="AJ218" s="14"/>
      <c r="AK218" s="15"/>
    </row>
    <row r="219" spans="1:37" ht="15.75" customHeight="1" x14ac:dyDescent="0.25">
      <c r="A219" s="13"/>
      <c r="B219" s="1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7"/>
      <c r="AB219" s="17"/>
      <c r="AC219" s="17"/>
      <c r="AD219" s="17"/>
      <c r="AE219" s="17"/>
      <c r="AF219" s="14"/>
      <c r="AG219" s="14"/>
      <c r="AH219" s="14"/>
      <c r="AI219" s="14"/>
      <c r="AJ219" s="14"/>
      <c r="AK219" s="15"/>
    </row>
    <row r="220" spans="1:37" ht="15.75" customHeight="1" x14ac:dyDescent="0.25">
      <c r="A220" s="13"/>
      <c r="B220" s="1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7"/>
      <c r="AB220" s="17"/>
      <c r="AC220" s="17"/>
      <c r="AD220" s="17"/>
      <c r="AE220" s="17"/>
      <c r="AF220" s="14"/>
      <c r="AG220" s="14"/>
      <c r="AH220" s="14"/>
      <c r="AI220" s="14"/>
      <c r="AJ220" s="14"/>
      <c r="AK220" s="15"/>
    </row>
    <row r="221" spans="1:37" ht="15.75" customHeight="1" x14ac:dyDescent="0.25">
      <c r="A221" s="13"/>
      <c r="B221" s="1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7"/>
      <c r="AB221" s="17"/>
      <c r="AC221" s="17"/>
      <c r="AD221" s="17"/>
      <c r="AE221" s="17"/>
      <c r="AF221" s="14"/>
      <c r="AG221" s="14"/>
      <c r="AH221" s="14"/>
      <c r="AI221" s="14"/>
      <c r="AJ221" s="14"/>
      <c r="AK221" s="15"/>
    </row>
    <row r="222" spans="1:37" ht="15.75" customHeight="1" x14ac:dyDescent="0.25">
      <c r="A222" s="13"/>
      <c r="B222" s="1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7"/>
      <c r="AB222" s="17"/>
      <c r="AC222" s="17"/>
      <c r="AD222" s="17"/>
      <c r="AE222" s="17"/>
      <c r="AF222" s="14"/>
      <c r="AG222" s="14"/>
      <c r="AH222" s="14"/>
      <c r="AI222" s="14"/>
      <c r="AJ222" s="14"/>
      <c r="AK222" s="15"/>
    </row>
    <row r="223" spans="1:37" ht="15.75" customHeight="1" x14ac:dyDescent="0.25">
      <c r="A223" s="13"/>
      <c r="B223" s="1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7"/>
      <c r="AB223" s="17"/>
      <c r="AC223" s="17"/>
      <c r="AD223" s="17"/>
      <c r="AE223" s="17"/>
      <c r="AF223" s="14"/>
      <c r="AG223" s="14"/>
      <c r="AH223" s="14"/>
      <c r="AI223" s="14"/>
      <c r="AJ223" s="14"/>
      <c r="AK223" s="15"/>
    </row>
    <row r="224" spans="1:37" ht="15.75" customHeight="1" x14ac:dyDescent="0.25">
      <c r="A224" s="13"/>
      <c r="B224" s="1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7"/>
      <c r="AB224" s="17"/>
      <c r="AC224" s="17"/>
      <c r="AD224" s="17"/>
      <c r="AE224" s="17"/>
      <c r="AF224" s="14"/>
      <c r="AG224" s="14"/>
      <c r="AH224" s="14"/>
      <c r="AI224" s="14"/>
      <c r="AJ224" s="14"/>
      <c r="AK224" s="15"/>
    </row>
    <row r="225" spans="1:37" ht="15.75" customHeight="1" x14ac:dyDescent="0.25">
      <c r="A225" s="13"/>
      <c r="B225" s="1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7"/>
      <c r="AB225" s="17"/>
      <c r="AC225" s="17"/>
      <c r="AD225" s="17"/>
      <c r="AE225" s="17"/>
      <c r="AF225" s="14"/>
      <c r="AG225" s="14"/>
      <c r="AH225" s="14"/>
      <c r="AI225" s="14"/>
      <c r="AJ225" s="14"/>
      <c r="AK225" s="15"/>
    </row>
    <row r="226" spans="1:37" ht="15.75" customHeight="1" x14ac:dyDescent="0.25">
      <c r="A226" s="13"/>
      <c r="B226" s="1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7"/>
      <c r="AB226" s="17"/>
      <c r="AC226" s="17"/>
      <c r="AD226" s="17"/>
      <c r="AE226" s="17"/>
      <c r="AF226" s="14"/>
      <c r="AG226" s="14"/>
      <c r="AH226" s="14"/>
      <c r="AI226" s="14"/>
      <c r="AJ226" s="14"/>
      <c r="AK226" s="15"/>
    </row>
    <row r="227" spans="1:37" ht="15.75" customHeight="1" x14ac:dyDescent="0.25">
      <c r="A227" s="13"/>
      <c r="B227" s="1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7"/>
      <c r="AB227" s="17"/>
      <c r="AC227" s="17"/>
      <c r="AD227" s="17"/>
      <c r="AE227" s="17"/>
      <c r="AF227" s="14"/>
      <c r="AG227" s="14"/>
      <c r="AH227" s="14"/>
      <c r="AI227" s="14"/>
      <c r="AJ227" s="14"/>
      <c r="AK227" s="15"/>
    </row>
    <row r="228" spans="1:37" ht="15.75" customHeight="1" x14ac:dyDescent="0.25">
      <c r="A228" s="13"/>
      <c r="B228" s="1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7"/>
      <c r="AB228" s="17"/>
      <c r="AC228" s="17"/>
      <c r="AD228" s="17"/>
      <c r="AE228" s="17"/>
      <c r="AF228" s="14"/>
      <c r="AG228" s="14"/>
      <c r="AH228" s="14"/>
      <c r="AI228" s="14"/>
      <c r="AJ228" s="14"/>
      <c r="AK228" s="15"/>
    </row>
    <row r="229" spans="1:37" ht="15.75" customHeight="1" x14ac:dyDescent="0.25">
      <c r="A229" s="13"/>
      <c r="B229" s="1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7"/>
      <c r="AB229" s="17"/>
      <c r="AC229" s="17"/>
      <c r="AD229" s="17"/>
      <c r="AE229" s="17"/>
      <c r="AF229" s="14"/>
      <c r="AG229" s="14"/>
      <c r="AH229" s="14"/>
      <c r="AI229" s="14"/>
      <c r="AJ229" s="14"/>
      <c r="AK229" s="15"/>
    </row>
    <row r="230" spans="1:37" ht="15.75" customHeight="1" x14ac:dyDescent="0.25">
      <c r="A230" s="13"/>
      <c r="B230" s="1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7"/>
      <c r="AB230" s="17"/>
      <c r="AC230" s="17"/>
      <c r="AD230" s="17"/>
      <c r="AE230" s="17"/>
      <c r="AF230" s="14"/>
      <c r="AG230" s="14"/>
      <c r="AH230" s="14"/>
      <c r="AI230" s="14"/>
      <c r="AJ230" s="14"/>
      <c r="AK230" s="15"/>
    </row>
    <row r="231" spans="1:37" ht="15.75" customHeight="1" x14ac:dyDescent="0.25">
      <c r="A231" s="13"/>
      <c r="B231" s="1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7"/>
      <c r="AB231" s="17"/>
      <c r="AC231" s="17"/>
      <c r="AD231" s="17"/>
      <c r="AE231" s="17"/>
      <c r="AF231" s="14"/>
      <c r="AG231" s="14"/>
      <c r="AH231" s="14"/>
      <c r="AI231" s="14"/>
      <c r="AJ231" s="14"/>
      <c r="AK231" s="15"/>
    </row>
    <row r="232" spans="1:37" ht="15.75" customHeight="1" x14ac:dyDescent="0.25">
      <c r="A232" s="13"/>
      <c r="B232" s="1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7"/>
      <c r="AB232" s="17"/>
      <c r="AC232" s="17"/>
      <c r="AD232" s="17"/>
      <c r="AE232" s="17"/>
      <c r="AF232" s="14"/>
      <c r="AG232" s="14"/>
      <c r="AH232" s="14"/>
      <c r="AI232" s="14"/>
      <c r="AJ232" s="14"/>
      <c r="AK232" s="15"/>
    </row>
    <row r="233" spans="1:37" ht="15.75" customHeight="1" x14ac:dyDescent="0.25">
      <c r="A233" s="13"/>
      <c r="B233" s="1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7"/>
      <c r="AB233" s="17"/>
      <c r="AC233" s="17"/>
      <c r="AD233" s="17"/>
      <c r="AE233" s="17"/>
      <c r="AF233" s="14"/>
      <c r="AG233" s="14"/>
      <c r="AH233" s="14"/>
      <c r="AI233" s="14"/>
      <c r="AJ233" s="14"/>
      <c r="AK233" s="15"/>
    </row>
    <row r="234" spans="1:37" ht="15.75" customHeight="1" x14ac:dyDescent="0.25">
      <c r="A234" s="13"/>
      <c r="B234" s="1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7"/>
      <c r="AB234" s="17"/>
      <c r="AC234" s="17"/>
      <c r="AD234" s="17"/>
      <c r="AE234" s="17"/>
      <c r="AF234" s="14"/>
      <c r="AG234" s="14"/>
      <c r="AH234" s="14"/>
      <c r="AI234" s="14"/>
      <c r="AJ234" s="14"/>
      <c r="AK234" s="15"/>
    </row>
    <row r="235" spans="1:37" ht="15.75" customHeight="1" x14ac:dyDescent="0.25">
      <c r="A235" s="13"/>
      <c r="B235" s="1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7"/>
      <c r="AB235" s="17"/>
      <c r="AC235" s="17"/>
      <c r="AD235" s="17"/>
      <c r="AE235" s="17"/>
      <c r="AF235" s="14"/>
      <c r="AG235" s="14"/>
      <c r="AH235" s="14"/>
      <c r="AI235" s="14"/>
      <c r="AJ235" s="14"/>
      <c r="AK235" s="15"/>
    </row>
    <row r="236" spans="1:37" ht="15.75" customHeight="1" x14ac:dyDescent="0.25">
      <c r="A236" s="13"/>
      <c r="B236" s="1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7"/>
      <c r="AB236" s="17"/>
      <c r="AC236" s="17"/>
      <c r="AD236" s="17"/>
      <c r="AE236" s="17"/>
      <c r="AF236" s="14"/>
      <c r="AG236" s="14"/>
      <c r="AH236" s="14"/>
      <c r="AI236" s="14"/>
      <c r="AJ236" s="14"/>
      <c r="AK236" s="15"/>
    </row>
    <row r="237" spans="1:37" ht="15.75" customHeight="1" x14ac:dyDescent="0.25">
      <c r="A237" s="13"/>
      <c r="B237" s="1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7"/>
      <c r="AB237" s="17"/>
      <c r="AC237" s="17"/>
      <c r="AD237" s="17"/>
      <c r="AE237" s="17"/>
      <c r="AF237" s="14"/>
      <c r="AG237" s="14"/>
      <c r="AH237" s="14"/>
      <c r="AI237" s="14"/>
      <c r="AJ237" s="14"/>
      <c r="AK237" s="15"/>
    </row>
    <row r="238" spans="1:37" ht="15.75" customHeight="1" x14ac:dyDescent="0.25">
      <c r="A238" s="13"/>
      <c r="B238" s="1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7"/>
      <c r="AB238" s="17"/>
      <c r="AC238" s="17"/>
      <c r="AD238" s="17"/>
      <c r="AE238" s="17"/>
      <c r="AF238" s="14"/>
      <c r="AG238" s="14"/>
      <c r="AH238" s="14"/>
      <c r="AI238" s="14"/>
      <c r="AJ238" s="14"/>
      <c r="AK238" s="15"/>
    </row>
    <row r="239" spans="1:37" ht="15.75" customHeight="1" x14ac:dyDescent="0.25">
      <c r="A239" s="13"/>
      <c r="B239" s="1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7"/>
      <c r="AB239" s="17"/>
      <c r="AC239" s="17"/>
      <c r="AD239" s="17"/>
      <c r="AE239" s="17"/>
      <c r="AF239" s="14"/>
      <c r="AG239" s="14"/>
      <c r="AH239" s="14"/>
      <c r="AI239" s="14"/>
      <c r="AJ239" s="14"/>
      <c r="AK239" s="15"/>
    </row>
    <row r="240" spans="1:37" ht="15.75" customHeight="1" x14ac:dyDescent="0.25">
      <c r="A240" s="13"/>
      <c r="B240" s="1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7"/>
      <c r="AB240" s="17"/>
      <c r="AC240" s="17"/>
      <c r="AD240" s="17"/>
      <c r="AE240" s="17"/>
      <c r="AF240" s="14"/>
      <c r="AG240" s="14"/>
      <c r="AH240" s="14"/>
      <c r="AI240" s="14"/>
      <c r="AJ240" s="14"/>
      <c r="AK240" s="15"/>
    </row>
    <row r="241" spans="1:37" ht="15.75" customHeight="1" x14ac:dyDescent="0.25">
      <c r="A241" s="13"/>
      <c r="B241" s="1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7"/>
      <c r="AB241" s="17"/>
      <c r="AC241" s="17"/>
      <c r="AD241" s="17"/>
      <c r="AE241" s="17"/>
      <c r="AF241" s="14"/>
      <c r="AG241" s="14"/>
      <c r="AH241" s="14"/>
      <c r="AI241" s="14"/>
      <c r="AJ241" s="14"/>
      <c r="AK241" s="15"/>
    </row>
    <row r="242" spans="1:37" ht="15.75" customHeight="1" x14ac:dyDescent="0.25">
      <c r="A242" s="13"/>
      <c r="B242" s="1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7"/>
      <c r="AB242" s="17"/>
      <c r="AC242" s="17"/>
      <c r="AD242" s="17"/>
      <c r="AE242" s="17"/>
      <c r="AF242" s="14"/>
      <c r="AG242" s="14"/>
      <c r="AH242" s="14"/>
      <c r="AI242" s="14"/>
      <c r="AJ242" s="14"/>
      <c r="AK242" s="15"/>
    </row>
    <row r="243" spans="1:37" ht="15.75" customHeight="1" x14ac:dyDescent="0.25">
      <c r="A243" s="13"/>
      <c r="B243" s="1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7"/>
      <c r="AB243" s="17"/>
      <c r="AC243" s="17"/>
      <c r="AD243" s="17"/>
      <c r="AE243" s="17"/>
      <c r="AF243" s="14"/>
      <c r="AG243" s="14"/>
      <c r="AH243" s="14"/>
      <c r="AI243" s="14"/>
      <c r="AJ243" s="14"/>
      <c r="AK243" s="15"/>
    </row>
    <row r="244" spans="1:37" ht="15.75" customHeight="1" x14ac:dyDescent="0.25">
      <c r="A244" s="13"/>
      <c r="B244" s="1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7"/>
      <c r="AB244" s="17"/>
      <c r="AC244" s="17"/>
      <c r="AD244" s="17"/>
      <c r="AE244" s="17"/>
      <c r="AF244" s="14"/>
      <c r="AG244" s="14"/>
      <c r="AH244" s="14"/>
      <c r="AI244" s="14"/>
      <c r="AJ244" s="14"/>
      <c r="AK244" s="15"/>
    </row>
    <row r="245" spans="1:37" ht="15.75" customHeight="1" x14ac:dyDescent="0.25">
      <c r="A245" s="13"/>
      <c r="B245" s="1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7"/>
      <c r="AB245" s="17"/>
      <c r="AC245" s="17"/>
      <c r="AD245" s="17"/>
      <c r="AE245" s="17"/>
      <c r="AF245" s="14"/>
      <c r="AG245" s="14"/>
      <c r="AH245" s="14"/>
      <c r="AI245" s="14"/>
      <c r="AJ245" s="14"/>
      <c r="AK245" s="15"/>
    </row>
    <row r="246" spans="1:37" ht="15.75" customHeight="1" x14ac:dyDescent="0.25">
      <c r="A246" s="13"/>
      <c r="B246" s="1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7"/>
      <c r="AB246" s="17"/>
      <c r="AC246" s="17"/>
      <c r="AD246" s="17"/>
      <c r="AE246" s="17"/>
      <c r="AF246" s="14"/>
      <c r="AG246" s="14"/>
      <c r="AH246" s="14"/>
      <c r="AI246" s="14"/>
      <c r="AJ246" s="14"/>
      <c r="AK246" s="15"/>
    </row>
    <row r="247" spans="1:37" ht="15.75" customHeight="1" x14ac:dyDescent="0.25">
      <c r="A247" s="13"/>
      <c r="B247" s="1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7"/>
      <c r="AB247" s="17"/>
      <c r="AC247" s="17"/>
      <c r="AD247" s="17"/>
      <c r="AE247" s="17"/>
      <c r="AF247" s="14"/>
      <c r="AG247" s="14"/>
      <c r="AH247" s="14"/>
      <c r="AI247" s="14"/>
      <c r="AJ247" s="14"/>
      <c r="AK247" s="15"/>
    </row>
    <row r="248" spans="1:37" ht="15.75" customHeight="1" x14ac:dyDescent="0.25">
      <c r="A248" s="13"/>
      <c r="B248" s="1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7"/>
      <c r="AB248" s="17"/>
      <c r="AC248" s="17"/>
      <c r="AD248" s="17"/>
      <c r="AE248" s="17"/>
      <c r="AF248" s="14"/>
      <c r="AG248" s="14"/>
      <c r="AH248" s="14"/>
      <c r="AI248" s="14"/>
      <c r="AJ248" s="14"/>
      <c r="AK248" s="15"/>
    </row>
    <row r="249" spans="1:37" ht="15.75" customHeight="1" x14ac:dyDescent="0.25">
      <c r="A249" s="13"/>
      <c r="B249" s="1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7"/>
      <c r="AB249" s="17"/>
      <c r="AC249" s="17"/>
      <c r="AD249" s="17"/>
      <c r="AE249" s="17"/>
      <c r="AF249" s="14"/>
      <c r="AG249" s="14"/>
      <c r="AH249" s="14"/>
      <c r="AI249" s="14"/>
      <c r="AJ249" s="14"/>
      <c r="AK249" s="15"/>
    </row>
    <row r="250" spans="1:37" ht="15.75" customHeight="1" x14ac:dyDescent="0.25">
      <c r="A250" s="13"/>
      <c r="B250" s="1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7"/>
      <c r="AB250" s="17"/>
      <c r="AC250" s="17"/>
      <c r="AD250" s="17"/>
      <c r="AE250" s="17"/>
      <c r="AF250" s="14"/>
      <c r="AG250" s="14"/>
      <c r="AH250" s="14"/>
      <c r="AI250" s="14"/>
      <c r="AJ250" s="14"/>
      <c r="AK250" s="15"/>
    </row>
    <row r="251" spans="1:37" ht="15.75" customHeight="1" x14ac:dyDescent="0.25">
      <c r="A251" s="13"/>
      <c r="B251" s="1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7"/>
      <c r="AB251" s="17"/>
      <c r="AC251" s="17"/>
      <c r="AD251" s="17"/>
      <c r="AE251" s="17"/>
      <c r="AF251" s="14"/>
      <c r="AG251" s="14"/>
      <c r="AH251" s="14"/>
      <c r="AI251" s="14"/>
      <c r="AJ251" s="14"/>
      <c r="AK251" s="15"/>
    </row>
    <row r="252" spans="1:37" ht="15.75" customHeight="1" x14ac:dyDescent="0.25">
      <c r="A252" s="13"/>
      <c r="B252" s="1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7"/>
      <c r="AB252" s="17"/>
      <c r="AC252" s="17"/>
      <c r="AD252" s="17"/>
      <c r="AE252" s="17"/>
      <c r="AF252" s="14"/>
      <c r="AG252" s="14"/>
      <c r="AH252" s="14"/>
      <c r="AI252" s="14"/>
      <c r="AJ252" s="14"/>
      <c r="AK252" s="15"/>
    </row>
    <row r="253" spans="1:37" ht="15.75" customHeight="1" x14ac:dyDescent="0.25">
      <c r="A253" s="13"/>
      <c r="B253" s="1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7"/>
      <c r="AB253" s="17"/>
      <c r="AC253" s="17"/>
      <c r="AD253" s="17"/>
      <c r="AE253" s="17"/>
      <c r="AF253" s="14"/>
      <c r="AG253" s="14"/>
      <c r="AH253" s="14"/>
      <c r="AI253" s="14"/>
      <c r="AJ253" s="14"/>
      <c r="AK253" s="15"/>
    </row>
    <row r="254" spans="1:37" ht="15.75" customHeight="1" x14ac:dyDescent="0.25">
      <c r="A254" s="13"/>
      <c r="B254" s="1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7"/>
      <c r="AB254" s="17"/>
      <c r="AC254" s="17"/>
      <c r="AD254" s="17"/>
      <c r="AE254" s="17"/>
      <c r="AF254" s="14"/>
      <c r="AG254" s="14"/>
      <c r="AH254" s="14"/>
      <c r="AI254" s="14"/>
      <c r="AJ254" s="14"/>
      <c r="AK254" s="15"/>
    </row>
    <row r="255" spans="1:37" ht="15.75" customHeight="1" x14ac:dyDescent="0.25">
      <c r="A255" s="13"/>
      <c r="B255" s="1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7"/>
      <c r="AB255" s="17"/>
      <c r="AC255" s="17"/>
      <c r="AD255" s="17"/>
      <c r="AE255" s="17"/>
      <c r="AF255" s="14"/>
      <c r="AG255" s="14"/>
      <c r="AH255" s="14"/>
      <c r="AI255" s="14"/>
      <c r="AJ255" s="14"/>
      <c r="AK255" s="15"/>
    </row>
    <row r="256" spans="1:37" ht="15.75" customHeight="1" x14ac:dyDescent="0.25">
      <c r="A256" s="13"/>
      <c r="B256" s="1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7"/>
      <c r="AB256" s="17"/>
      <c r="AC256" s="17"/>
      <c r="AD256" s="17"/>
      <c r="AE256" s="17"/>
      <c r="AF256" s="14"/>
      <c r="AG256" s="14"/>
      <c r="AH256" s="14"/>
      <c r="AI256" s="14"/>
      <c r="AJ256" s="14"/>
      <c r="AK256" s="15"/>
    </row>
    <row r="257" spans="1:37" ht="15.75" customHeight="1" x14ac:dyDescent="0.25">
      <c r="A257" s="13"/>
      <c r="B257" s="1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7"/>
      <c r="AB257" s="17"/>
      <c r="AC257" s="17"/>
      <c r="AD257" s="17"/>
      <c r="AE257" s="17"/>
      <c r="AF257" s="14"/>
      <c r="AG257" s="14"/>
      <c r="AH257" s="14"/>
      <c r="AI257" s="14"/>
      <c r="AJ257" s="14"/>
      <c r="AK257" s="15"/>
    </row>
    <row r="258" spans="1:37" ht="15.75" customHeight="1" x14ac:dyDescent="0.25">
      <c r="A258" s="13"/>
      <c r="B258" s="1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7"/>
      <c r="AB258" s="17"/>
      <c r="AC258" s="17"/>
      <c r="AD258" s="17"/>
      <c r="AE258" s="17"/>
      <c r="AF258" s="14"/>
      <c r="AG258" s="14"/>
      <c r="AH258" s="14"/>
      <c r="AI258" s="14"/>
      <c r="AJ258" s="14"/>
      <c r="AK258" s="15"/>
    </row>
    <row r="259" spans="1:37" ht="15.75" customHeight="1" x14ac:dyDescent="0.25">
      <c r="A259" s="13"/>
      <c r="B259" s="1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7"/>
      <c r="AB259" s="17"/>
      <c r="AC259" s="17"/>
      <c r="AD259" s="17"/>
      <c r="AE259" s="17"/>
      <c r="AF259" s="14"/>
      <c r="AG259" s="14"/>
      <c r="AH259" s="14"/>
      <c r="AI259" s="14"/>
      <c r="AJ259" s="14"/>
      <c r="AK259" s="15"/>
    </row>
    <row r="260" spans="1:37" ht="15.75" customHeight="1" x14ac:dyDescent="0.25">
      <c r="A260" s="13"/>
      <c r="B260" s="1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7"/>
      <c r="AB260" s="17"/>
      <c r="AC260" s="17"/>
      <c r="AD260" s="17"/>
      <c r="AE260" s="17"/>
      <c r="AF260" s="14"/>
      <c r="AG260" s="14"/>
      <c r="AH260" s="14"/>
      <c r="AI260" s="14"/>
      <c r="AJ260" s="14"/>
      <c r="AK260" s="15"/>
    </row>
    <row r="261" spans="1:37" ht="15.75" customHeight="1" x14ac:dyDescent="0.25">
      <c r="A261" s="13"/>
      <c r="B261" s="1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7"/>
      <c r="AB261" s="17"/>
      <c r="AC261" s="17"/>
      <c r="AD261" s="17"/>
      <c r="AE261" s="17"/>
      <c r="AF261" s="14"/>
      <c r="AG261" s="14"/>
      <c r="AH261" s="14"/>
      <c r="AI261" s="14"/>
      <c r="AJ261" s="14"/>
      <c r="AK261" s="15"/>
    </row>
    <row r="262" spans="1:37" ht="15.75" customHeight="1" x14ac:dyDescent="0.25">
      <c r="A262" s="13"/>
      <c r="B262" s="1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7"/>
      <c r="AB262" s="17"/>
      <c r="AC262" s="17"/>
      <c r="AD262" s="17"/>
      <c r="AE262" s="17"/>
      <c r="AF262" s="14"/>
      <c r="AG262" s="14"/>
      <c r="AH262" s="14"/>
      <c r="AI262" s="14"/>
      <c r="AJ262" s="14"/>
      <c r="AK262" s="15"/>
    </row>
    <row r="263" spans="1:37" ht="15.75" customHeight="1" x14ac:dyDescent="0.25">
      <c r="A263" s="13"/>
      <c r="B263" s="1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7"/>
      <c r="AB263" s="17"/>
      <c r="AC263" s="17"/>
      <c r="AD263" s="17"/>
      <c r="AE263" s="17"/>
      <c r="AF263" s="14"/>
      <c r="AG263" s="14"/>
      <c r="AH263" s="14"/>
      <c r="AI263" s="14"/>
      <c r="AJ263" s="14"/>
      <c r="AK263" s="15"/>
    </row>
    <row r="264" spans="1:37" ht="15.75" customHeight="1" x14ac:dyDescent="0.25">
      <c r="A264" s="13"/>
      <c r="B264" s="1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7"/>
      <c r="AB264" s="17"/>
      <c r="AC264" s="17"/>
      <c r="AD264" s="17"/>
      <c r="AE264" s="17"/>
      <c r="AF264" s="14"/>
      <c r="AG264" s="14"/>
      <c r="AH264" s="14"/>
      <c r="AI264" s="14"/>
      <c r="AJ264" s="14"/>
      <c r="AK264" s="15"/>
    </row>
    <row r="265" spans="1:37" ht="15.75" customHeight="1" x14ac:dyDescent="0.25">
      <c r="A265" s="13"/>
      <c r="B265" s="1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7"/>
      <c r="AB265" s="17"/>
      <c r="AC265" s="17"/>
      <c r="AD265" s="17"/>
      <c r="AE265" s="17"/>
      <c r="AF265" s="14"/>
      <c r="AG265" s="14"/>
      <c r="AH265" s="14"/>
      <c r="AI265" s="14"/>
      <c r="AJ265" s="14"/>
      <c r="AK265" s="15"/>
    </row>
    <row r="266" spans="1:37" ht="15.75" customHeight="1" x14ac:dyDescent="0.25">
      <c r="A266" s="13"/>
      <c r="B266" s="1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7"/>
      <c r="AB266" s="17"/>
      <c r="AC266" s="17"/>
      <c r="AD266" s="17"/>
      <c r="AE266" s="17"/>
      <c r="AF266" s="14"/>
      <c r="AG266" s="14"/>
      <c r="AH266" s="14"/>
      <c r="AI266" s="14"/>
      <c r="AJ266" s="14"/>
      <c r="AK266" s="15"/>
    </row>
    <row r="267" spans="1:37" ht="15.75" customHeight="1" x14ac:dyDescent="0.25">
      <c r="A267" s="13"/>
      <c r="B267" s="1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7"/>
      <c r="AB267" s="17"/>
      <c r="AC267" s="17"/>
      <c r="AD267" s="17"/>
      <c r="AE267" s="17"/>
      <c r="AF267" s="14"/>
      <c r="AG267" s="14"/>
      <c r="AH267" s="14"/>
      <c r="AI267" s="14"/>
      <c r="AJ267" s="14"/>
      <c r="AK267" s="15"/>
    </row>
    <row r="268" spans="1:37" ht="15.75" customHeight="1" x14ac:dyDescent="0.25">
      <c r="A268" s="13"/>
      <c r="B268" s="1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7"/>
      <c r="AB268" s="17"/>
      <c r="AC268" s="17"/>
      <c r="AD268" s="17"/>
      <c r="AE268" s="17"/>
      <c r="AF268" s="14"/>
      <c r="AG268" s="14"/>
      <c r="AH268" s="14"/>
      <c r="AI268" s="14"/>
      <c r="AJ268" s="14"/>
      <c r="AK268" s="15"/>
    </row>
    <row r="269" spans="1:37" ht="15.75" customHeight="1" x14ac:dyDescent="0.25">
      <c r="A269" s="13"/>
      <c r="B269" s="1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7"/>
      <c r="AB269" s="17"/>
      <c r="AC269" s="17"/>
      <c r="AD269" s="17"/>
      <c r="AE269" s="17"/>
      <c r="AF269" s="14"/>
      <c r="AG269" s="14"/>
      <c r="AH269" s="14"/>
      <c r="AI269" s="14"/>
      <c r="AJ269" s="14"/>
      <c r="AK269" s="15"/>
    </row>
    <row r="270" spans="1:37" ht="15.75" customHeight="1" x14ac:dyDescent="0.25">
      <c r="A270" s="13"/>
      <c r="B270" s="1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7"/>
      <c r="AB270" s="17"/>
      <c r="AC270" s="17"/>
      <c r="AD270" s="17"/>
      <c r="AE270" s="17"/>
      <c r="AF270" s="14"/>
      <c r="AG270" s="14"/>
      <c r="AH270" s="14"/>
      <c r="AI270" s="14"/>
      <c r="AJ270" s="14"/>
      <c r="AK270" s="15"/>
    </row>
    <row r="271" spans="1:37" ht="15.75" customHeight="1" x14ac:dyDescent="0.25">
      <c r="A271" s="13"/>
      <c r="B271" s="1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7"/>
      <c r="AB271" s="17"/>
      <c r="AC271" s="17"/>
      <c r="AD271" s="17"/>
      <c r="AE271" s="17"/>
      <c r="AF271" s="14"/>
      <c r="AG271" s="14"/>
      <c r="AH271" s="14"/>
      <c r="AI271" s="14"/>
      <c r="AJ271" s="14"/>
      <c r="AK271" s="15"/>
    </row>
    <row r="272" spans="1:37" ht="15.75" customHeight="1" x14ac:dyDescent="0.25">
      <c r="A272" s="13"/>
      <c r="B272" s="1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7"/>
      <c r="AB272" s="17"/>
      <c r="AC272" s="17"/>
      <c r="AD272" s="17"/>
      <c r="AE272" s="17"/>
      <c r="AF272" s="14"/>
      <c r="AG272" s="14"/>
      <c r="AH272" s="14"/>
      <c r="AI272" s="14"/>
      <c r="AJ272" s="14"/>
      <c r="AK272" s="15"/>
    </row>
    <row r="273" spans="1:37" ht="15.75" customHeight="1" x14ac:dyDescent="0.25">
      <c r="A273" s="13"/>
      <c r="B273" s="1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7"/>
      <c r="AB273" s="17"/>
      <c r="AC273" s="17"/>
      <c r="AD273" s="17"/>
      <c r="AE273" s="17"/>
      <c r="AF273" s="14"/>
      <c r="AG273" s="14"/>
      <c r="AH273" s="14"/>
      <c r="AI273" s="14"/>
      <c r="AJ273" s="14"/>
      <c r="AK273" s="15"/>
    </row>
    <row r="274" spans="1:37" ht="15.75" customHeight="1" x14ac:dyDescent="0.25">
      <c r="A274" s="13"/>
      <c r="B274" s="1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7"/>
      <c r="AB274" s="17"/>
      <c r="AC274" s="17"/>
      <c r="AD274" s="17"/>
      <c r="AE274" s="17"/>
      <c r="AF274" s="14"/>
      <c r="AG274" s="14"/>
      <c r="AH274" s="14"/>
      <c r="AI274" s="14"/>
      <c r="AJ274" s="14"/>
      <c r="AK274" s="15"/>
    </row>
    <row r="275" spans="1:37" ht="15.75" customHeight="1" x14ac:dyDescent="0.25">
      <c r="A275" s="13"/>
      <c r="B275" s="1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7"/>
      <c r="AB275" s="17"/>
      <c r="AC275" s="17"/>
      <c r="AD275" s="17"/>
      <c r="AE275" s="17"/>
      <c r="AF275" s="14"/>
      <c r="AG275" s="14"/>
      <c r="AH275" s="14"/>
      <c r="AI275" s="14"/>
      <c r="AJ275" s="14"/>
      <c r="AK275" s="15"/>
    </row>
    <row r="276" spans="1:37" ht="15.75" customHeight="1" x14ac:dyDescent="0.25">
      <c r="A276" s="13"/>
      <c r="B276" s="1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7"/>
      <c r="AB276" s="17"/>
      <c r="AC276" s="17"/>
      <c r="AD276" s="17"/>
      <c r="AE276" s="17"/>
      <c r="AF276" s="14"/>
      <c r="AG276" s="14"/>
      <c r="AH276" s="14"/>
      <c r="AI276" s="14"/>
      <c r="AJ276" s="14"/>
      <c r="AK276" s="15"/>
    </row>
    <row r="277" spans="1:37" ht="15.75" customHeight="1" x14ac:dyDescent="0.25">
      <c r="A277" s="13"/>
      <c r="B277" s="1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7"/>
      <c r="AB277" s="17"/>
      <c r="AC277" s="17"/>
      <c r="AD277" s="17"/>
      <c r="AE277" s="17"/>
      <c r="AF277" s="14"/>
      <c r="AG277" s="14"/>
      <c r="AH277" s="14"/>
      <c r="AI277" s="14"/>
      <c r="AJ277" s="14"/>
      <c r="AK277" s="15"/>
    </row>
    <row r="278" spans="1:37" ht="15.75" customHeight="1" x14ac:dyDescent="0.25">
      <c r="A278" s="13"/>
      <c r="B278" s="1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7"/>
      <c r="AB278" s="17"/>
      <c r="AC278" s="17"/>
      <c r="AD278" s="17"/>
      <c r="AE278" s="17"/>
      <c r="AF278" s="14"/>
      <c r="AG278" s="14"/>
      <c r="AH278" s="14"/>
      <c r="AI278" s="14"/>
      <c r="AJ278" s="14"/>
      <c r="AK278" s="15"/>
    </row>
    <row r="279" spans="1:37" ht="15.75" customHeight="1" x14ac:dyDescent="0.25">
      <c r="A279" s="13"/>
      <c r="B279" s="1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7"/>
      <c r="AB279" s="17"/>
      <c r="AC279" s="17"/>
      <c r="AD279" s="17"/>
      <c r="AE279" s="17"/>
      <c r="AF279" s="14"/>
      <c r="AG279" s="14"/>
      <c r="AH279" s="14"/>
      <c r="AI279" s="14"/>
      <c r="AJ279" s="14"/>
      <c r="AK279" s="15"/>
    </row>
    <row r="280" spans="1:37" ht="15.75" customHeight="1" x14ac:dyDescent="0.25">
      <c r="A280" s="13"/>
      <c r="B280" s="1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7"/>
      <c r="AB280" s="17"/>
      <c r="AC280" s="17"/>
      <c r="AD280" s="17"/>
      <c r="AE280" s="17"/>
      <c r="AF280" s="14"/>
      <c r="AG280" s="14"/>
      <c r="AH280" s="14"/>
      <c r="AI280" s="14"/>
      <c r="AJ280" s="14"/>
      <c r="AK280" s="15"/>
    </row>
    <row r="281" spans="1:37" ht="15.75" customHeight="1" x14ac:dyDescent="0.25">
      <c r="A281" s="13"/>
      <c r="B281" s="1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7"/>
      <c r="AB281" s="17"/>
      <c r="AC281" s="17"/>
      <c r="AD281" s="17"/>
      <c r="AE281" s="17"/>
      <c r="AF281" s="14"/>
      <c r="AG281" s="14"/>
      <c r="AH281" s="14"/>
      <c r="AI281" s="14"/>
      <c r="AJ281" s="14"/>
      <c r="AK281" s="15"/>
    </row>
    <row r="282" spans="1:37" ht="15.75" customHeight="1" x14ac:dyDescent="0.25">
      <c r="A282" s="13"/>
      <c r="B282" s="1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7"/>
      <c r="AB282" s="17"/>
      <c r="AC282" s="17"/>
      <c r="AD282" s="17"/>
      <c r="AE282" s="17"/>
      <c r="AF282" s="14"/>
      <c r="AG282" s="14"/>
      <c r="AH282" s="14"/>
      <c r="AI282" s="14"/>
      <c r="AJ282" s="14"/>
      <c r="AK282" s="15"/>
    </row>
    <row r="283" spans="1:37" ht="15.75" customHeight="1" x14ac:dyDescent="0.25">
      <c r="A283" s="13"/>
      <c r="B283" s="1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7"/>
      <c r="AB283" s="17"/>
      <c r="AC283" s="17"/>
      <c r="AD283" s="17"/>
      <c r="AE283" s="17"/>
      <c r="AF283" s="14"/>
      <c r="AG283" s="14"/>
      <c r="AH283" s="14"/>
      <c r="AI283" s="14"/>
      <c r="AJ283" s="14"/>
      <c r="AK283" s="15"/>
    </row>
    <row r="284" spans="1:37" ht="15.75" customHeight="1" x14ac:dyDescent="0.25">
      <c r="A284" s="13"/>
      <c r="B284" s="1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7"/>
      <c r="AB284" s="17"/>
      <c r="AC284" s="17"/>
      <c r="AD284" s="17"/>
      <c r="AE284" s="17"/>
      <c r="AF284" s="14"/>
      <c r="AG284" s="14"/>
      <c r="AH284" s="14"/>
      <c r="AI284" s="14"/>
      <c r="AJ284" s="14"/>
      <c r="AK284" s="15"/>
    </row>
    <row r="285" spans="1:37" ht="15.75" customHeight="1" x14ac:dyDescent="0.25">
      <c r="A285" s="13"/>
      <c r="B285" s="1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7"/>
      <c r="AB285" s="17"/>
      <c r="AC285" s="17"/>
      <c r="AD285" s="17"/>
      <c r="AE285" s="17"/>
      <c r="AF285" s="14"/>
      <c r="AG285" s="14"/>
      <c r="AH285" s="14"/>
      <c r="AI285" s="14"/>
      <c r="AJ285" s="14"/>
      <c r="AK285" s="15"/>
    </row>
    <row r="286" spans="1:37" ht="15.75" customHeight="1" x14ac:dyDescent="0.25">
      <c r="A286" s="13"/>
      <c r="B286" s="1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7"/>
      <c r="AB286" s="17"/>
      <c r="AC286" s="17"/>
      <c r="AD286" s="17"/>
      <c r="AE286" s="17"/>
      <c r="AF286" s="14"/>
      <c r="AG286" s="14"/>
      <c r="AH286" s="14"/>
      <c r="AI286" s="14"/>
      <c r="AJ286" s="14"/>
      <c r="AK286" s="15"/>
    </row>
    <row r="287" spans="1:37" ht="15.75" customHeight="1" x14ac:dyDescent="0.25">
      <c r="A287" s="13"/>
      <c r="B287" s="1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7"/>
      <c r="AB287" s="17"/>
      <c r="AC287" s="17"/>
      <c r="AD287" s="17"/>
      <c r="AE287" s="17"/>
      <c r="AF287" s="14"/>
      <c r="AG287" s="14"/>
      <c r="AH287" s="14"/>
      <c r="AI287" s="14"/>
      <c r="AJ287" s="14"/>
      <c r="AK287" s="15"/>
    </row>
    <row r="288" spans="1:37" ht="15.75" customHeight="1" x14ac:dyDescent="0.25">
      <c r="A288" s="13"/>
      <c r="B288" s="1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7"/>
      <c r="AB288" s="17"/>
      <c r="AC288" s="17"/>
      <c r="AD288" s="17"/>
      <c r="AE288" s="17"/>
      <c r="AF288" s="14"/>
      <c r="AG288" s="14"/>
      <c r="AH288" s="14"/>
      <c r="AI288" s="14"/>
      <c r="AJ288" s="14"/>
      <c r="AK288" s="15"/>
    </row>
    <row r="289" spans="1:37" ht="15.75" customHeight="1" x14ac:dyDescent="0.25">
      <c r="A289" s="13"/>
      <c r="B289" s="1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7"/>
      <c r="AB289" s="17"/>
      <c r="AC289" s="17"/>
      <c r="AD289" s="17"/>
      <c r="AE289" s="17"/>
      <c r="AF289" s="14"/>
      <c r="AG289" s="14"/>
      <c r="AH289" s="14"/>
      <c r="AI289" s="14"/>
      <c r="AJ289" s="14"/>
      <c r="AK289" s="15"/>
    </row>
    <row r="290" spans="1:37" ht="15.75" customHeight="1" x14ac:dyDescent="0.25">
      <c r="A290" s="13"/>
      <c r="B290" s="1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7"/>
      <c r="AB290" s="17"/>
      <c r="AC290" s="17"/>
      <c r="AD290" s="17"/>
      <c r="AE290" s="17"/>
      <c r="AF290" s="14"/>
      <c r="AG290" s="14"/>
      <c r="AH290" s="14"/>
      <c r="AI290" s="14"/>
      <c r="AJ290" s="14"/>
      <c r="AK290" s="15"/>
    </row>
    <row r="291" spans="1:37" ht="15.75" customHeight="1" x14ac:dyDescent="0.25">
      <c r="A291" s="13"/>
      <c r="B291" s="1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7"/>
      <c r="AB291" s="17"/>
      <c r="AC291" s="17"/>
      <c r="AD291" s="17"/>
      <c r="AE291" s="17"/>
      <c r="AF291" s="14"/>
      <c r="AG291" s="14"/>
      <c r="AH291" s="14"/>
      <c r="AI291" s="14"/>
      <c r="AJ291" s="14"/>
      <c r="AK291" s="15"/>
    </row>
    <row r="292" spans="1:37" ht="15.75" customHeight="1" x14ac:dyDescent="0.25">
      <c r="A292" s="13"/>
      <c r="B292" s="1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7"/>
      <c r="AB292" s="17"/>
      <c r="AC292" s="17"/>
      <c r="AD292" s="17"/>
      <c r="AE292" s="17"/>
      <c r="AF292" s="14"/>
      <c r="AG292" s="14"/>
      <c r="AH292" s="14"/>
      <c r="AI292" s="14"/>
      <c r="AJ292" s="14"/>
      <c r="AK292" s="15"/>
    </row>
    <row r="293" spans="1:37" ht="15.75" customHeight="1" x14ac:dyDescent="0.25">
      <c r="A293" s="13"/>
      <c r="B293" s="1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7"/>
      <c r="AB293" s="17"/>
      <c r="AC293" s="17"/>
      <c r="AD293" s="17"/>
      <c r="AE293" s="17"/>
      <c r="AF293" s="14"/>
      <c r="AG293" s="14"/>
      <c r="AH293" s="14"/>
      <c r="AI293" s="14"/>
      <c r="AJ293" s="14"/>
      <c r="AK293" s="15"/>
    </row>
    <row r="294" spans="1:37" ht="15.75" customHeight="1" x14ac:dyDescent="0.25">
      <c r="A294" s="13"/>
      <c r="B294" s="1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7"/>
      <c r="AB294" s="17"/>
      <c r="AC294" s="17"/>
      <c r="AD294" s="17"/>
      <c r="AE294" s="17"/>
      <c r="AF294" s="14"/>
      <c r="AG294" s="14"/>
      <c r="AH294" s="14"/>
      <c r="AI294" s="14"/>
      <c r="AJ294" s="14"/>
      <c r="AK294" s="15"/>
    </row>
    <row r="295" spans="1:37" ht="15.75" customHeight="1" x14ac:dyDescent="0.25">
      <c r="A295" s="13"/>
      <c r="B295" s="1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7"/>
      <c r="AB295" s="17"/>
      <c r="AC295" s="17"/>
      <c r="AD295" s="17"/>
      <c r="AE295" s="17"/>
      <c r="AF295" s="14"/>
      <c r="AG295" s="14"/>
      <c r="AH295" s="14"/>
      <c r="AI295" s="14"/>
      <c r="AJ295" s="14"/>
      <c r="AK295" s="15"/>
    </row>
    <row r="296" spans="1:37" ht="15.75" customHeight="1" x14ac:dyDescent="0.25">
      <c r="A296" s="13"/>
      <c r="B296" s="1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7"/>
      <c r="AB296" s="17"/>
      <c r="AC296" s="17"/>
      <c r="AD296" s="17"/>
      <c r="AE296" s="17"/>
      <c r="AF296" s="14"/>
      <c r="AG296" s="14"/>
      <c r="AH296" s="14"/>
      <c r="AI296" s="14"/>
      <c r="AJ296" s="14"/>
      <c r="AK296" s="15"/>
    </row>
    <row r="297" spans="1:37" ht="15.75" customHeight="1" x14ac:dyDescent="0.25">
      <c r="A297" s="13"/>
      <c r="B297" s="1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7"/>
      <c r="AB297" s="17"/>
      <c r="AC297" s="17"/>
      <c r="AD297" s="17"/>
      <c r="AE297" s="17"/>
      <c r="AF297" s="14"/>
      <c r="AG297" s="14"/>
      <c r="AH297" s="14"/>
      <c r="AI297" s="14"/>
      <c r="AJ297" s="14"/>
      <c r="AK297" s="15"/>
    </row>
    <row r="298" spans="1:37" ht="15.75" customHeight="1" x14ac:dyDescent="0.25">
      <c r="A298" s="13"/>
      <c r="B298" s="1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7"/>
      <c r="AB298" s="17"/>
      <c r="AC298" s="17"/>
      <c r="AD298" s="17"/>
      <c r="AE298" s="17"/>
      <c r="AF298" s="14"/>
      <c r="AG298" s="14"/>
      <c r="AH298" s="14"/>
      <c r="AI298" s="14"/>
      <c r="AJ298" s="14"/>
      <c r="AK298" s="15"/>
    </row>
    <row r="299" spans="1:37" ht="15.75" customHeight="1" x14ac:dyDescent="0.25">
      <c r="A299" s="13"/>
      <c r="B299" s="1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7"/>
      <c r="AB299" s="17"/>
      <c r="AC299" s="17"/>
      <c r="AD299" s="17"/>
      <c r="AE299" s="17"/>
      <c r="AF299" s="14"/>
      <c r="AG299" s="14"/>
      <c r="AH299" s="14"/>
      <c r="AI299" s="14"/>
      <c r="AJ299" s="14"/>
      <c r="AK299" s="15"/>
    </row>
    <row r="300" spans="1:37" ht="15.75" customHeight="1" x14ac:dyDescent="0.25">
      <c r="A300" s="13"/>
      <c r="B300" s="1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7"/>
      <c r="AB300" s="17"/>
      <c r="AC300" s="17"/>
      <c r="AD300" s="17"/>
      <c r="AE300" s="17"/>
      <c r="AF300" s="14"/>
      <c r="AG300" s="14"/>
      <c r="AH300" s="14"/>
      <c r="AI300" s="14"/>
      <c r="AJ300" s="14"/>
      <c r="AK300" s="15"/>
    </row>
    <row r="301" spans="1:37" ht="15.75" customHeight="1" x14ac:dyDescent="0.25">
      <c r="A301" s="13"/>
      <c r="B301" s="1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7"/>
      <c r="AB301" s="17"/>
      <c r="AC301" s="17"/>
      <c r="AD301" s="17"/>
      <c r="AE301" s="17"/>
      <c r="AF301" s="14"/>
      <c r="AG301" s="14"/>
      <c r="AH301" s="14"/>
      <c r="AI301" s="14"/>
      <c r="AJ301" s="14"/>
      <c r="AK301" s="15"/>
    </row>
    <row r="302" spans="1:37" ht="15.75" customHeight="1" x14ac:dyDescent="0.25">
      <c r="A302" s="13"/>
      <c r="B302" s="1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7"/>
      <c r="AB302" s="17"/>
      <c r="AC302" s="17"/>
      <c r="AD302" s="17"/>
      <c r="AE302" s="17"/>
      <c r="AF302" s="14"/>
      <c r="AG302" s="14"/>
      <c r="AH302" s="14"/>
      <c r="AI302" s="14"/>
      <c r="AJ302" s="14"/>
      <c r="AK302" s="15"/>
    </row>
    <row r="303" spans="1:37" ht="15.75" customHeight="1" x14ac:dyDescent="0.25">
      <c r="A303" s="13"/>
      <c r="B303" s="1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7"/>
      <c r="AB303" s="17"/>
      <c r="AC303" s="17"/>
      <c r="AD303" s="17"/>
      <c r="AE303" s="17"/>
      <c r="AF303" s="14"/>
      <c r="AG303" s="14"/>
      <c r="AH303" s="14"/>
      <c r="AI303" s="14"/>
      <c r="AJ303" s="14"/>
      <c r="AK303" s="15"/>
    </row>
    <row r="304" spans="1:37" ht="15.75" customHeight="1" x14ac:dyDescent="0.25">
      <c r="A304" s="13"/>
      <c r="B304" s="1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7"/>
      <c r="AB304" s="17"/>
      <c r="AC304" s="17"/>
      <c r="AD304" s="17"/>
      <c r="AE304" s="17"/>
      <c r="AF304" s="14"/>
      <c r="AG304" s="14"/>
      <c r="AH304" s="14"/>
      <c r="AI304" s="14"/>
      <c r="AJ304" s="14"/>
      <c r="AK304" s="15"/>
    </row>
    <row r="305" spans="1:37" ht="15.75" customHeight="1" x14ac:dyDescent="0.25">
      <c r="A305" s="13"/>
      <c r="B305" s="1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7"/>
      <c r="AB305" s="17"/>
      <c r="AC305" s="17"/>
      <c r="AD305" s="17"/>
      <c r="AE305" s="17"/>
      <c r="AF305" s="14"/>
      <c r="AG305" s="14"/>
      <c r="AH305" s="14"/>
      <c r="AI305" s="14"/>
      <c r="AJ305" s="14"/>
      <c r="AK305" s="15"/>
    </row>
    <row r="306" spans="1:37" ht="15.75" customHeight="1" x14ac:dyDescent="0.25">
      <c r="A306" s="13"/>
      <c r="B306" s="1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7"/>
      <c r="AB306" s="17"/>
      <c r="AC306" s="17"/>
      <c r="AD306" s="17"/>
      <c r="AE306" s="17"/>
      <c r="AF306" s="14"/>
      <c r="AG306" s="14"/>
      <c r="AH306" s="14"/>
      <c r="AI306" s="14"/>
      <c r="AJ306" s="14"/>
      <c r="AK306" s="15"/>
    </row>
    <row r="307" spans="1:37" ht="15.75" customHeight="1" x14ac:dyDescent="0.25">
      <c r="A307" s="13"/>
      <c r="B307" s="1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7"/>
      <c r="AB307" s="17"/>
      <c r="AC307" s="17"/>
      <c r="AD307" s="17"/>
      <c r="AE307" s="17"/>
      <c r="AF307" s="14"/>
      <c r="AG307" s="14"/>
      <c r="AH307" s="14"/>
      <c r="AI307" s="14"/>
      <c r="AJ307" s="14"/>
      <c r="AK307" s="15"/>
    </row>
    <row r="308" spans="1:37" ht="15.75" customHeight="1" x14ac:dyDescent="0.25">
      <c r="A308" s="13"/>
      <c r="B308" s="1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7"/>
      <c r="AB308" s="17"/>
      <c r="AC308" s="17"/>
      <c r="AD308" s="17"/>
      <c r="AE308" s="17"/>
      <c r="AF308" s="14"/>
      <c r="AG308" s="14"/>
      <c r="AH308" s="14"/>
      <c r="AI308" s="14"/>
      <c r="AJ308" s="14"/>
      <c r="AK308" s="15"/>
    </row>
    <row r="309" spans="1:37" ht="15.75" customHeight="1" x14ac:dyDescent="0.25">
      <c r="A309" s="13"/>
      <c r="B309" s="1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7"/>
      <c r="AB309" s="17"/>
      <c r="AC309" s="17"/>
      <c r="AD309" s="17"/>
      <c r="AE309" s="17"/>
      <c r="AF309" s="14"/>
      <c r="AG309" s="14"/>
      <c r="AH309" s="14"/>
      <c r="AI309" s="14"/>
      <c r="AJ309" s="14"/>
      <c r="AK309" s="15"/>
    </row>
    <row r="310" spans="1:37" ht="15.75" customHeight="1" x14ac:dyDescent="0.25">
      <c r="A310" s="13"/>
      <c r="B310" s="1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7"/>
      <c r="AB310" s="17"/>
      <c r="AC310" s="17"/>
      <c r="AD310" s="17"/>
      <c r="AE310" s="17"/>
      <c r="AF310" s="14"/>
      <c r="AG310" s="14"/>
      <c r="AH310" s="14"/>
      <c r="AI310" s="14"/>
      <c r="AJ310" s="14"/>
      <c r="AK310" s="15"/>
    </row>
    <row r="311" spans="1:37" ht="15.75" customHeight="1" x14ac:dyDescent="0.25">
      <c r="A311" s="13"/>
      <c r="B311" s="1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7"/>
      <c r="AB311" s="17"/>
      <c r="AC311" s="17"/>
      <c r="AD311" s="17"/>
      <c r="AE311" s="17"/>
      <c r="AF311" s="14"/>
      <c r="AG311" s="14"/>
      <c r="AH311" s="14"/>
      <c r="AI311" s="14"/>
      <c r="AJ311" s="14"/>
      <c r="AK311" s="15"/>
    </row>
    <row r="312" spans="1:37" ht="15.75" customHeight="1" x14ac:dyDescent="0.25">
      <c r="A312" s="13"/>
      <c r="B312" s="1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7"/>
      <c r="AB312" s="17"/>
      <c r="AC312" s="17"/>
      <c r="AD312" s="17"/>
      <c r="AE312" s="17"/>
      <c r="AF312" s="14"/>
      <c r="AG312" s="14"/>
      <c r="AH312" s="14"/>
      <c r="AI312" s="14"/>
      <c r="AJ312" s="14"/>
      <c r="AK312" s="15"/>
    </row>
    <row r="313" spans="1:37" ht="15.75" customHeight="1" x14ac:dyDescent="0.25">
      <c r="A313" s="13"/>
      <c r="B313" s="1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7"/>
      <c r="AB313" s="17"/>
      <c r="AC313" s="17"/>
      <c r="AD313" s="17"/>
      <c r="AE313" s="17"/>
      <c r="AF313" s="14"/>
      <c r="AG313" s="14"/>
      <c r="AH313" s="14"/>
      <c r="AI313" s="14"/>
      <c r="AJ313" s="14"/>
      <c r="AK313" s="15"/>
    </row>
    <row r="314" spans="1:37" ht="15.75" customHeight="1" x14ac:dyDescent="0.25">
      <c r="A314" s="13"/>
      <c r="B314" s="1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7"/>
      <c r="AB314" s="17"/>
      <c r="AC314" s="17"/>
      <c r="AD314" s="17"/>
      <c r="AE314" s="17"/>
      <c r="AF314" s="14"/>
      <c r="AG314" s="14"/>
      <c r="AH314" s="14"/>
      <c r="AI314" s="14"/>
      <c r="AJ314" s="14"/>
      <c r="AK314" s="15"/>
    </row>
    <row r="315" spans="1:37" ht="15.75" customHeight="1" x14ac:dyDescent="0.25">
      <c r="A315" s="13"/>
      <c r="B315" s="1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7"/>
      <c r="AB315" s="17"/>
      <c r="AC315" s="17"/>
      <c r="AD315" s="17"/>
      <c r="AE315" s="17"/>
      <c r="AF315" s="14"/>
      <c r="AG315" s="14"/>
      <c r="AH315" s="14"/>
      <c r="AI315" s="14"/>
      <c r="AJ315" s="14"/>
      <c r="AK315" s="15"/>
    </row>
    <row r="316" spans="1:37" ht="15.75" customHeight="1" x14ac:dyDescent="0.25">
      <c r="A316" s="13"/>
      <c r="B316" s="1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7"/>
      <c r="AB316" s="17"/>
      <c r="AC316" s="17"/>
      <c r="AD316" s="17"/>
      <c r="AE316" s="17"/>
      <c r="AF316" s="14"/>
      <c r="AG316" s="14"/>
      <c r="AH316" s="14"/>
      <c r="AI316" s="14"/>
      <c r="AJ316" s="14"/>
      <c r="AK316" s="15"/>
    </row>
    <row r="317" spans="1:37" ht="15.75" customHeight="1" x14ac:dyDescent="0.25">
      <c r="A317" s="13"/>
      <c r="B317" s="1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7"/>
      <c r="AB317" s="17"/>
      <c r="AC317" s="17"/>
      <c r="AD317" s="17"/>
      <c r="AE317" s="17"/>
      <c r="AF317" s="14"/>
      <c r="AG317" s="14"/>
      <c r="AH317" s="14"/>
      <c r="AI317" s="14"/>
      <c r="AJ317" s="14"/>
      <c r="AK317" s="15"/>
    </row>
    <row r="318" spans="1:37" ht="15.75" customHeight="1" x14ac:dyDescent="0.25">
      <c r="A318" s="13"/>
      <c r="B318" s="1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7"/>
      <c r="AB318" s="17"/>
      <c r="AC318" s="17"/>
      <c r="AD318" s="17"/>
      <c r="AE318" s="17"/>
      <c r="AF318" s="14"/>
      <c r="AG318" s="14"/>
      <c r="AH318" s="14"/>
      <c r="AI318" s="14"/>
      <c r="AJ318" s="14"/>
      <c r="AK318" s="15"/>
    </row>
    <row r="319" spans="1:37" ht="15.75" customHeight="1" x14ac:dyDescent="0.25">
      <c r="A319" s="13"/>
      <c r="B319" s="1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7"/>
      <c r="AB319" s="17"/>
      <c r="AC319" s="17"/>
      <c r="AD319" s="17"/>
      <c r="AE319" s="17"/>
      <c r="AF319" s="14"/>
      <c r="AG319" s="14"/>
      <c r="AH319" s="14"/>
      <c r="AI319" s="14"/>
      <c r="AJ319" s="14"/>
      <c r="AK319" s="15"/>
    </row>
    <row r="320" spans="1:37" ht="15.75" customHeight="1" x14ac:dyDescent="0.25">
      <c r="A320" s="13"/>
      <c r="B320" s="1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7"/>
      <c r="AB320" s="17"/>
      <c r="AC320" s="17"/>
      <c r="AD320" s="17"/>
      <c r="AE320" s="17"/>
      <c r="AF320" s="14"/>
      <c r="AG320" s="14"/>
      <c r="AH320" s="14"/>
      <c r="AI320" s="14"/>
      <c r="AJ320" s="14"/>
      <c r="AK320" s="15"/>
    </row>
    <row r="321" spans="1:37" ht="15.75" customHeight="1" x14ac:dyDescent="0.25">
      <c r="A321" s="13"/>
      <c r="B321" s="1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7"/>
      <c r="AB321" s="17"/>
      <c r="AC321" s="17"/>
      <c r="AD321" s="17"/>
      <c r="AE321" s="17"/>
      <c r="AF321" s="14"/>
      <c r="AG321" s="14"/>
      <c r="AH321" s="14"/>
      <c r="AI321" s="14"/>
      <c r="AJ321" s="14"/>
      <c r="AK321" s="15"/>
    </row>
    <row r="322" spans="1:37" ht="15.75" customHeight="1" x14ac:dyDescent="0.25">
      <c r="A322" s="13"/>
      <c r="B322" s="1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7"/>
      <c r="AB322" s="17"/>
      <c r="AC322" s="17"/>
      <c r="AD322" s="17"/>
      <c r="AE322" s="17"/>
      <c r="AF322" s="14"/>
      <c r="AG322" s="14"/>
      <c r="AH322" s="14"/>
      <c r="AI322" s="14"/>
      <c r="AJ322" s="14"/>
      <c r="AK322" s="15"/>
    </row>
    <row r="323" spans="1:37" ht="15.75" customHeight="1" x14ac:dyDescent="0.25">
      <c r="A323" s="13"/>
      <c r="B323" s="1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7"/>
      <c r="AB323" s="17"/>
      <c r="AC323" s="17"/>
      <c r="AD323" s="17"/>
      <c r="AE323" s="17"/>
      <c r="AF323" s="14"/>
      <c r="AG323" s="14"/>
      <c r="AH323" s="14"/>
      <c r="AI323" s="14"/>
      <c r="AJ323" s="14"/>
      <c r="AK323" s="15"/>
    </row>
    <row r="324" spans="1:37" ht="15.75" customHeight="1" x14ac:dyDescent="0.25">
      <c r="A324" s="13"/>
      <c r="B324" s="1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7"/>
      <c r="AB324" s="17"/>
      <c r="AC324" s="17"/>
      <c r="AD324" s="17"/>
      <c r="AE324" s="17"/>
      <c r="AF324" s="14"/>
      <c r="AG324" s="14"/>
      <c r="AH324" s="14"/>
      <c r="AI324" s="14"/>
      <c r="AJ324" s="14"/>
      <c r="AK324" s="15"/>
    </row>
    <row r="325" spans="1:37" ht="15.75" customHeight="1" x14ac:dyDescent="0.25">
      <c r="A325" s="13"/>
      <c r="B325" s="1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7"/>
      <c r="AB325" s="17"/>
      <c r="AC325" s="17"/>
      <c r="AD325" s="17"/>
      <c r="AE325" s="17"/>
      <c r="AF325" s="14"/>
      <c r="AG325" s="14"/>
      <c r="AH325" s="14"/>
      <c r="AI325" s="14"/>
      <c r="AJ325" s="14"/>
      <c r="AK325" s="15"/>
    </row>
    <row r="326" spans="1:37" ht="15.75" customHeight="1" x14ac:dyDescent="0.25">
      <c r="A326" s="13"/>
      <c r="B326" s="1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7"/>
      <c r="AB326" s="17"/>
      <c r="AC326" s="17"/>
      <c r="AD326" s="17"/>
      <c r="AE326" s="17"/>
      <c r="AF326" s="14"/>
      <c r="AG326" s="14"/>
      <c r="AH326" s="14"/>
      <c r="AI326" s="14"/>
      <c r="AJ326" s="14"/>
      <c r="AK326" s="15"/>
    </row>
    <row r="327" spans="1:37" ht="15.75" customHeight="1" x14ac:dyDescent="0.25">
      <c r="A327" s="13"/>
      <c r="B327" s="1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7"/>
      <c r="AB327" s="17"/>
      <c r="AC327" s="17"/>
      <c r="AD327" s="17"/>
      <c r="AE327" s="17"/>
      <c r="AF327" s="14"/>
      <c r="AG327" s="14"/>
      <c r="AH327" s="14"/>
      <c r="AI327" s="14"/>
      <c r="AJ327" s="14"/>
      <c r="AK327" s="15"/>
    </row>
    <row r="328" spans="1:37" ht="15.75" customHeight="1" x14ac:dyDescent="0.25">
      <c r="A328" s="13"/>
      <c r="B328" s="1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7"/>
      <c r="AB328" s="17"/>
      <c r="AC328" s="17"/>
      <c r="AD328" s="17"/>
      <c r="AE328" s="17"/>
      <c r="AF328" s="14"/>
      <c r="AG328" s="14"/>
      <c r="AH328" s="14"/>
      <c r="AI328" s="14"/>
      <c r="AJ328" s="14"/>
      <c r="AK328" s="15"/>
    </row>
    <row r="329" spans="1:37" ht="15.75" customHeight="1" x14ac:dyDescent="0.25">
      <c r="A329" s="13"/>
      <c r="B329" s="1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7"/>
      <c r="AB329" s="17"/>
      <c r="AC329" s="17"/>
      <c r="AD329" s="17"/>
      <c r="AE329" s="17"/>
      <c r="AF329" s="14"/>
      <c r="AG329" s="14"/>
      <c r="AH329" s="14"/>
      <c r="AI329" s="14"/>
      <c r="AJ329" s="14"/>
      <c r="AK329" s="15"/>
    </row>
    <row r="330" spans="1:37" ht="15.75" customHeight="1" x14ac:dyDescent="0.25">
      <c r="A330" s="13"/>
      <c r="B330" s="1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7"/>
      <c r="AB330" s="17"/>
      <c r="AC330" s="17"/>
      <c r="AD330" s="17"/>
      <c r="AE330" s="17"/>
      <c r="AF330" s="14"/>
      <c r="AG330" s="14"/>
      <c r="AH330" s="14"/>
      <c r="AI330" s="14"/>
      <c r="AJ330" s="14"/>
      <c r="AK330" s="15"/>
    </row>
    <row r="331" spans="1:37" ht="15.75" customHeight="1" x14ac:dyDescent="0.25">
      <c r="A331" s="13"/>
      <c r="B331" s="1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7"/>
      <c r="AB331" s="17"/>
      <c r="AC331" s="17"/>
      <c r="AD331" s="17"/>
      <c r="AE331" s="17"/>
      <c r="AF331" s="14"/>
      <c r="AG331" s="14"/>
      <c r="AH331" s="14"/>
      <c r="AI331" s="14"/>
      <c r="AJ331" s="14"/>
      <c r="AK331" s="15"/>
    </row>
    <row r="332" spans="1:37" ht="15.75" customHeight="1" x14ac:dyDescent="0.25">
      <c r="A332" s="13"/>
      <c r="B332" s="1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7"/>
      <c r="AB332" s="17"/>
      <c r="AC332" s="17"/>
      <c r="AD332" s="17"/>
      <c r="AE332" s="17"/>
      <c r="AF332" s="14"/>
      <c r="AG332" s="14"/>
      <c r="AH332" s="14"/>
      <c r="AI332" s="14"/>
      <c r="AJ332" s="14"/>
      <c r="AK332" s="15"/>
    </row>
    <row r="333" spans="1:37" ht="15.75" customHeight="1" x14ac:dyDescent="0.25">
      <c r="A333" s="13"/>
      <c r="B333" s="1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7"/>
      <c r="AB333" s="17"/>
      <c r="AC333" s="17"/>
      <c r="AD333" s="17"/>
      <c r="AE333" s="17"/>
      <c r="AF333" s="14"/>
      <c r="AG333" s="14"/>
      <c r="AH333" s="14"/>
      <c r="AI333" s="14"/>
      <c r="AJ333" s="14"/>
      <c r="AK333" s="15"/>
    </row>
    <row r="334" spans="1:37" ht="15.75" customHeight="1" x14ac:dyDescent="0.25">
      <c r="A334" s="13"/>
      <c r="B334" s="1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7"/>
      <c r="AB334" s="17"/>
      <c r="AC334" s="17"/>
      <c r="AD334" s="17"/>
      <c r="AE334" s="17"/>
      <c r="AF334" s="14"/>
      <c r="AG334" s="14"/>
      <c r="AH334" s="14"/>
      <c r="AI334" s="14"/>
      <c r="AJ334" s="14"/>
      <c r="AK334" s="15"/>
    </row>
    <row r="335" spans="1:37" ht="15.75" customHeight="1" x14ac:dyDescent="0.25">
      <c r="A335" s="13"/>
      <c r="B335" s="1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7"/>
      <c r="AB335" s="17"/>
      <c r="AC335" s="17"/>
      <c r="AD335" s="17"/>
      <c r="AE335" s="17"/>
      <c r="AF335" s="14"/>
      <c r="AG335" s="14"/>
      <c r="AH335" s="14"/>
      <c r="AI335" s="14"/>
      <c r="AJ335" s="14"/>
      <c r="AK335" s="15"/>
    </row>
    <row r="336" spans="1:37" ht="15.75" customHeight="1" x14ac:dyDescent="0.25">
      <c r="A336" s="13"/>
      <c r="B336" s="1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7"/>
      <c r="AB336" s="17"/>
      <c r="AC336" s="17"/>
      <c r="AD336" s="17"/>
      <c r="AE336" s="17"/>
      <c r="AF336" s="14"/>
      <c r="AG336" s="14"/>
      <c r="AH336" s="14"/>
      <c r="AI336" s="14"/>
      <c r="AJ336" s="14"/>
      <c r="AK336" s="15"/>
    </row>
    <row r="337" spans="1:37" ht="15.75" customHeight="1" x14ac:dyDescent="0.25">
      <c r="A337" s="13"/>
      <c r="B337" s="1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7"/>
      <c r="AB337" s="17"/>
      <c r="AC337" s="17"/>
      <c r="AD337" s="17"/>
      <c r="AE337" s="17"/>
      <c r="AF337" s="14"/>
      <c r="AG337" s="14"/>
      <c r="AH337" s="14"/>
      <c r="AI337" s="14"/>
      <c r="AJ337" s="14"/>
      <c r="AK337" s="15"/>
    </row>
    <row r="338" spans="1:37" ht="15.75" customHeight="1" x14ac:dyDescent="0.25">
      <c r="A338" s="13"/>
      <c r="B338" s="1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7"/>
      <c r="AB338" s="17"/>
      <c r="AC338" s="17"/>
      <c r="AD338" s="17"/>
      <c r="AE338" s="17"/>
      <c r="AF338" s="14"/>
      <c r="AG338" s="14"/>
      <c r="AH338" s="14"/>
      <c r="AI338" s="14"/>
      <c r="AJ338" s="14"/>
      <c r="AK338" s="15"/>
    </row>
    <row r="339" spans="1:37" ht="15.75" customHeight="1" x14ac:dyDescent="0.25">
      <c r="A339" s="13"/>
      <c r="B339" s="1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7"/>
      <c r="AB339" s="17"/>
      <c r="AC339" s="17"/>
      <c r="AD339" s="17"/>
      <c r="AE339" s="17"/>
      <c r="AF339" s="14"/>
      <c r="AG339" s="14"/>
      <c r="AH339" s="14"/>
      <c r="AI339" s="14"/>
      <c r="AJ339" s="14"/>
      <c r="AK339" s="15"/>
    </row>
    <row r="340" spans="1:37" ht="15.75" customHeight="1" x14ac:dyDescent="0.25">
      <c r="A340" s="13"/>
      <c r="B340" s="1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7"/>
      <c r="AB340" s="17"/>
      <c r="AC340" s="17"/>
      <c r="AD340" s="17"/>
      <c r="AE340" s="17"/>
      <c r="AF340" s="14"/>
      <c r="AG340" s="14"/>
      <c r="AH340" s="14"/>
      <c r="AI340" s="14"/>
      <c r="AJ340" s="14"/>
      <c r="AK340" s="15"/>
    </row>
    <row r="341" spans="1:37" ht="15.75" customHeight="1" x14ac:dyDescent="0.25">
      <c r="A341" s="13"/>
      <c r="B341" s="1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7"/>
      <c r="AB341" s="17"/>
      <c r="AC341" s="17"/>
      <c r="AD341" s="17"/>
      <c r="AE341" s="17"/>
      <c r="AF341" s="14"/>
      <c r="AG341" s="14"/>
      <c r="AH341" s="14"/>
      <c r="AI341" s="14"/>
      <c r="AJ341" s="14"/>
      <c r="AK341" s="15"/>
    </row>
    <row r="342" spans="1:37" ht="15.75" customHeight="1" x14ac:dyDescent="0.25">
      <c r="A342" s="13"/>
      <c r="B342" s="1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7"/>
      <c r="AB342" s="17"/>
      <c r="AC342" s="17"/>
      <c r="AD342" s="17"/>
      <c r="AE342" s="17"/>
      <c r="AF342" s="14"/>
      <c r="AG342" s="14"/>
      <c r="AH342" s="14"/>
      <c r="AI342" s="14"/>
      <c r="AJ342" s="14"/>
      <c r="AK342" s="15"/>
    </row>
    <row r="343" spans="1:37" ht="15.75" customHeight="1" x14ac:dyDescent="0.25">
      <c r="A343" s="13"/>
      <c r="B343" s="1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7"/>
      <c r="AB343" s="17"/>
      <c r="AC343" s="17"/>
      <c r="AD343" s="17"/>
      <c r="AE343" s="17"/>
      <c r="AF343" s="14"/>
      <c r="AG343" s="14"/>
      <c r="AH343" s="14"/>
      <c r="AI343" s="14"/>
      <c r="AJ343" s="14"/>
      <c r="AK343" s="15"/>
    </row>
    <row r="344" spans="1:37" ht="15.75" customHeight="1" x14ac:dyDescent="0.25">
      <c r="A344" s="13"/>
      <c r="B344" s="1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7"/>
      <c r="AB344" s="17"/>
      <c r="AC344" s="17"/>
      <c r="AD344" s="17"/>
      <c r="AE344" s="17"/>
      <c r="AF344" s="14"/>
      <c r="AG344" s="14"/>
      <c r="AH344" s="14"/>
      <c r="AI344" s="14"/>
      <c r="AJ344" s="14"/>
      <c r="AK344" s="15"/>
    </row>
    <row r="345" spans="1:37" ht="15.75" customHeight="1" x14ac:dyDescent="0.25">
      <c r="A345" s="13"/>
      <c r="B345" s="1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7"/>
      <c r="AB345" s="17"/>
      <c r="AC345" s="17"/>
      <c r="AD345" s="17"/>
      <c r="AE345" s="17"/>
      <c r="AF345" s="14"/>
      <c r="AG345" s="14"/>
      <c r="AH345" s="14"/>
      <c r="AI345" s="14"/>
      <c r="AJ345" s="14"/>
      <c r="AK345" s="15"/>
    </row>
    <row r="346" spans="1:37" ht="15.75" customHeight="1" x14ac:dyDescent="0.25">
      <c r="A346" s="13"/>
      <c r="B346" s="1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7"/>
      <c r="AB346" s="17"/>
      <c r="AC346" s="17"/>
      <c r="AD346" s="17"/>
      <c r="AE346" s="17"/>
      <c r="AF346" s="14"/>
      <c r="AG346" s="14"/>
      <c r="AH346" s="14"/>
      <c r="AI346" s="14"/>
      <c r="AJ346" s="14"/>
      <c r="AK346" s="15"/>
    </row>
    <row r="347" spans="1:37" ht="15.75" customHeight="1" x14ac:dyDescent="0.25">
      <c r="A347" s="13"/>
      <c r="B347" s="1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7"/>
      <c r="AB347" s="17"/>
      <c r="AC347" s="17"/>
      <c r="AD347" s="17"/>
      <c r="AE347" s="17"/>
      <c r="AF347" s="14"/>
      <c r="AG347" s="14"/>
      <c r="AH347" s="14"/>
      <c r="AI347" s="14"/>
      <c r="AJ347" s="14"/>
      <c r="AK347" s="15"/>
    </row>
    <row r="348" spans="1:37" ht="15.75" customHeight="1" x14ac:dyDescent="0.25">
      <c r="A348" s="13"/>
      <c r="B348" s="1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7"/>
      <c r="AB348" s="17"/>
      <c r="AC348" s="17"/>
      <c r="AD348" s="17"/>
      <c r="AE348" s="17"/>
      <c r="AF348" s="14"/>
      <c r="AG348" s="14"/>
      <c r="AH348" s="14"/>
      <c r="AI348" s="14"/>
      <c r="AJ348" s="14"/>
      <c r="AK348" s="15"/>
    </row>
    <row r="349" spans="1:37" ht="15.75" customHeight="1" x14ac:dyDescent="0.25">
      <c r="A349" s="13"/>
      <c r="B349" s="1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7"/>
      <c r="AB349" s="17"/>
      <c r="AC349" s="17"/>
      <c r="AD349" s="17"/>
      <c r="AE349" s="17"/>
      <c r="AF349" s="14"/>
      <c r="AG349" s="14"/>
      <c r="AH349" s="14"/>
      <c r="AI349" s="14"/>
      <c r="AJ349" s="14"/>
      <c r="AK349" s="15"/>
    </row>
    <row r="350" spans="1:37" ht="15.75" customHeight="1" x14ac:dyDescent="0.25">
      <c r="A350" s="13"/>
      <c r="B350" s="1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7"/>
      <c r="AB350" s="17"/>
      <c r="AC350" s="17"/>
      <c r="AD350" s="17"/>
      <c r="AE350" s="17"/>
      <c r="AF350" s="14"/>
      <c r="AG350" s="14"/>
      <c r="AH350" s="14"/>
      <c r="AI350" s="14"/>
      <c r="AJ350" s="14"/>
      <c r="AK350" s="15"/>
    </row>
    <row r="351" spans="1:37" ht="15.75" customHeight="1" x14ac:dyDescent="0.25">
      <c r="A351" s="13"/>
      <c r="B351" s="1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7"/>
      <c r="AB351" s="17"/>
      <c r="AC351" s="17"/>
      <c r="AD351" s="17"/>
      <c r="AE351" s="17"/>
      <c r="AF351" s="14"/>
      <c r="AG351" s="14"/>
      <c r="AH351" s="14"/>
      <c r="AI351" s="14"/>
      <c r="AJ351" s="14"/>
      <c r="AK351" s="15"/>
    </row>
    <row r="352" spans="1:37" ht="15.75" customHeight="1" x14ac:dyDescent="0.25">
      <c r="A352" s="13"/>
      <c r="B352" s="1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7"/>
      <c r="AB352" s="17"/>
      <c r="AC352" s="17"/>
      <c r="AD352" s="17"/>
      <c r="AE352" s="17"/>
      <c r="AF352" s="14"/>
      <c r="AG352" s="14"/>
      <c r="AH352" s="14"/>
      <c r="AI352" s="14"/>
      <c r="AJ352" s="14"/>
      <c r="AK352" s="15"/>
    </row>
    <row r="353" spans="1:37" ht="15.75" customHeight="1" x14ac:dyDescent="0.25">
      <c r="A353" s="13"/>
      <c r="B353" s="1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7"/>
      <c r="AB353" s="17"/>
      <c r="AC353" s="17"/>
      <c r="AD353" s="17"/>
      <c r="AE353" s="17"/>
      <c r="AF353" s="14"/>
      <c r="AG353" s="14"/>
      <c r="AH353" s="14"/>
      <c r="AI353" s="14"/>
      <c r="AJ353" s="14"/>
      <c r="AK353" s="15"/>
    </row>
    <row r="354" spans="1:37" ht="15.75" customHeight="1" x14ac:dyDescent="0.25">
      <c r="A354" s="13"/>
      <c r="B354" s="1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7"/>
      <c r="AB354" s="17"/>
      <c r="AC354" s="17"/>
      <c r="AD354" s="17"/>
      <c r="AE354" s="17"/>
      <c r="AF354" s="14"/>
      <c r="AG354" s="14"/>
      <c r="AH354" s="14"/>
      <c r="AI354" s="14"/>
      <c r="AJ354" s="14"/>
      <c r="AK354" s="15"/>
    </row>
    <row r="355" spans="1:37" ht="15.75" customHeight="1" x14ac:dyDescent="0.25">
      <c r="A355" s="13"/>
      <c r="B355" s="1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7"/>
      <c r="AB355" s="17"/>
      <c r="AC355" s="17"/>
      <c r="AD355" s="17"/>
      <c r="AE355" s="17"/>
      <c r="AF355" s="14"/>
      <c r="AG355" s="14"/>
      <c r="AH355" s="14"/>
      <c r="AI355" s="14"/>
      <c r="AJ355" s="14"/>
      <c r="AK355" s="15"/>
    </row>
    <row r="356" spans="1:37" ht="15.75" customHeight="1" x14ac:dyDescent="0.25">
      <c r="A356" s="13"/>
      <c r="B356" s="1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7"/>
      <c r="AB356" s="17"/>
      <c r="AC356" s="17"/>
      <c r="AD356" s="17"/>
      <c r="AE356" s="17"/>
      <c r="AF356" s="14"/>
      <c r="AG356" s="14"/>
      <c r="AH356" s="14"/>
      <c r="AI356" s="14"/>
      <c r="AJ356" s="14"/>
      <c r="AK356" s="15"/>
    </row>
    <row r="357" spans="1:37" ht="15.75" customHeight="1" x14ac:dyDescent="0.25">
      <c r="A357" s="13"/>
      <c r="B357" s="1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7"/>
      <c r="AB357" s="17"/>
      <c r="AC357" s="17"/>
      <c r="AD357" s="17"/>
      <c r="AE357" s="17"/>
      <c r="AF357" s="14"/>
      <c r="AG357" s="14"/>
      <c r="AH357" s="14"/>
      <c r="AI357" s="14"/>
      <c r="AJ357" s="14"/>
      <c r="AK357" s="15"/>
    </row>
    <row r="358" spans="1:37" ht="15.75" customHeight="1" x14ac:dyDescent="0.25">
      <c r="A358" s="13"/>
      <c r="B358" s="1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7"/>
      <c r="AB358" s="17"/>
      <c r="AC358" s="17"/>
      <c r="AD358" s="17"/>
      <c r="AE358" s="17"/>
      <c r="AF358" s="14"/>
      <c r="AG358" s="14"/>
      <c r="AH358" s="14"/>
      <c r="AI358" s="14"/>
      <c r="AJ358" s="14"/>
      <c r="AK358" s="15"/>
    </row>
    <row r="359" spans="1:37" ht="15.75" customHeight="1" x14ac:dyDescent="0.25">
      <c r="A359" s="13"/>
      <c r="B359" s="1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7"/>
      <c r="AB359" s="17"/>
      <c r="AC359" s="17"/>
      <c r="AD359" s="17"/>
      <c r="AE359" s="17"/>
      <c r="AF359" s="14"/>
      <c r="AG359" s="14"/>
      <c r="AH359" s="14"/>
      <c r="AI359" s="14"/>
      <c r="AJ359" s="14"/>
      <c r="AK359" s="15"/>
    </row>
    <row r="360" spans="1:37" ht="15.75" customHeight="1" x14ac:dyDescent="0.25">
      <c r="A360" s="13"/>
      <c r="B360" s="1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7"/>
      <c r="AB360" s="17"/>
      <c r="AC360" s="17"/>
      <c r="AD360" s="17"/>
      <c r="AE360" s="17"/>
      <c r="AF360" s="14"/>
      <c r="AG360" s="14"/>
      <c r="AH360" s="14"/>
      <c r="AI360" s="14"/>
      <c r="AJ360" s="14"/>
      <c r="AK360" s="15"/>
    </row>
    <row r="361" spans="1:37" ht="15.75" customHeight="1" x14ac:dyDescent="0.25">
      <c r="A361" s="13"/>
      <c r="B361" s="1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7"/>
      <c r="AB361" s="17"/>
      <c r="AC361" s="17"/>
      <c r="AD361" s="17"/>
      <c r="AE361" s="17"/>
      <c r="AF361" s="14"/>
      <c r="AG361" s="14"/>
      <c r="AH361" s="14"/>
      <c r="AI361" s="14"/>
      <c r="AJ361" s="14"/>
      <c r="AK361" s="15"/>
    </row>
    <row r="362" spans="1:37" ht="15.75" customHeight="1" x14ac:dyDescent="0.25">
      <c r="A362" s="13"/>
      <c r="B362" s="1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7"/>
      <c r="AB362" s="17"/>
      <c r="AC362" s="17"/>
      <c r="AD362" s="17"/>
      <c r="AE362" s="17"/>
      <c r="AF362" s="14"/>
      <c r="AG362" s="14"/>
      <c r="AH362" s="14"/>
      <c r="AI362" s="14"/>
      <c r="AJ362" s="14"/>
      <c r="AK362" s="15"/>
    </row>
    <row r="363" spans="1:37" ht="15.75" customHeight="1" x14ac:dyDescent="0.25">
      <c r="A363" s="13"/>
      <c r="B363" s="1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7"/>
      <c r="AB363" s="17"/>
      <c r="AC363" s="17"/>
      <c r="AD363" s="17"/>
      <c r="AE363" s="17"/>
      <c r="AF363" s="14"/>
      <c r="AG363" s="14"/>
      <c r="AH363" s="14"/>
      <c r="AI363" s="14"/>
      <c r="AJ363" s="14"/>
      <c r="AK363" s="15"/>
    </row>
    <row r="364" spans="1:37" ht="15.75" customHeight="1" x14ac:dyDescent="0.25">
      <c r="A364" s="13"/>
      <c r="B364" s="1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7"/>
      <c r="AB364" s="17"/>
      <c r="AC364" s="17"/>
      <c r="AD364" s="17"/>
      <c r="AE364" s="17"/>
      <c r="AF364" s="14"/>
      <c r="AG364" s="14"/>
      <c r="AH364" s="14"/>
      <c r="AI364" s="14"/>
      <c r="AJ364" s="14"/>
      <c r="AK364" s="15"/>
    </row>
    <row r="365" spans="1:37" ht="15.75" customHeight="1" x14ac:dyDescent="0.25">
      <c r="A365" s="13"/>
      <c r="B365" s="1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7"/>
      <c r="AB365" s="17"/>
      <c r="AC365" s="17"/>
      <c r="AD365" s="17"/>
      <c r="AE365" s="17"/>
      <c r="AF365" s="14"/>
      <c r="AG365" s="14"/>
      <c r="AH365" s="14"/>
      <c r="AI365" s="14"/>
      <c r="AJ365" s="14"/>
      <c r="AK365" s="15"/>
    </row>
    <row r="366" spans="1:37" ht="15.75" customHeight="1" x14ac:dyDescent="0.25">
      <c r="A366" s="13"/>
      <c r="B366" s="1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7"/>
      <c r="AB366" s="17"/>
      <c r="AC366" s="17"/>
      <c r="AD366" s="17"/>
      <c r="AE366" s="17"/>
      <c r="AF366" s="14"/>
      <c r="AG366" s="14"/>
      <c r="AH366" s="14"/>
      <c r="AI366" s="14"/>
      <c r="AJ366" s="14"/>
      <c r="AK366" s="15"/>
    </row>
    <row r="367" spans="1:37" ht="15.75" customHeight="1" x14ac:dyDescent="0.25">
      <c r="A367" s="13"/>
      <c r="B367" s="1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7"/>
      <c r="AB367" s="17"/>
      <c r="AC367" s="17"/>
      <c r="AD367" s="17"/>
      <c r="AE367" s="17"/>
      <c r="AF367" s="14"/>
      <c r="AG367" s="14"/>
      <c r="AH367" s="14"/>
      <c r="AI367" s="14"/>
      <c r="AJ367" s="14"/>
      <c r="AK367" s="15"/>
    </row>
    <row r="368" spans="1:37" ht="15.75" customHeight="1" x14ac:dyDescent="0.25">
      <c r="A368" s="13"/>
      <c r="B368" s="1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7"/>
      <c r="AB368" s="17"/>
      <c r="AC368" s="17"/>
      <c r="AD368" s="17"/>
      <c r="AE368" s="17"/>
      <c r="AF368" s="14"/>
      <c r="AG368" s="14"/>
      <c r="AH368" s="14"/>
      <c r="AI368" s="14"/>
      <c r="AJ368" s="14"/>
      <c r="AK368" s="15"/>
    </row>
    <row r="369" spans="1:37" ht="15.75" customHeight="1" x14ac:dyDescent="0.25">
      <c r="A369" s="13"/>
      <c r="B369" s="1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7"/>
      <c r="AB369" s="17"/>
      <c r="AC369" s="17"/>
      <c r="AD369" s="17"/>
      <c r="AE369" s="17"/>
      <c r="AF369" s="14"/>
      <c r="AG369" s="14"/>
      <c r="AH369" s="14"/>
      <c r="AI369" s="14"/>
      <c r="AJ369" s="14"/>
      <c r="AK369" s="15"/>
    </row>
    <row r="370" spans="1:37" ht="15.75" customHeight="1" x14ac:dyDescent="0.25">
      <c r="A370" s="13"/>
      <c r="B370" s="1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7"/>
      <c r="AB370" s="17"/>
      <c r="AC370" s="17"/>
      <c r="AD370" s="17"/>
      <c r="AE370" s="17"/>
      <c r="AF370" s="14"/>
      <c r="AG370" s="14"/>
      <c r="AH370" s="14"/>
      <c r="AI370" s="14"/>
      <c r="AJ370" s="14"/>
      <c r="AK370" s="15"/>
    </row>
    <row r="371" spans="1:37" ht="15.75" customHeight="1" x14ac:dyDescent="0.25">
      <c r="A371" s="13"/>
      <c r="B371" s="1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7"/>
      <c r="AB371" s="17"/>
      <c r="AC371" s="17"/>
      <c r="AD371" s="17"/>
      <c r="AE371" s="17"/>
      <c r="AF371" s="14"/>
      <c r="AG371" s="14"/>
      <c r="AH371" s="14"/>
      <c r="AI371" s="14"/>
      <c r="AJ371" s="14"/>
      <c r="AK371" s="15"/>
    </row>
    <row r="372" spans="1:37" ht="15.75" customHeight="1" x14ac:dyDescent="0.25">
      <c r="A372" s="13"/>
      <c r="B372" s="1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7"/>
      <c r="AB372" s="17"/>
      <c r="AC372" s="17"/>
      <c r="AD372" s="17"/>
      <c r="AE372" s="17"/>
      <c r="AF372" s="14"/>
      <c r="AG372" s="14"/>
      <c r="AH372" s="14"/>
      <c r="AI372" s="14"/>
      <c r="AJ372" s="14"/>
      <c r="AK372" s="15"/>
    </row>
    <row r="373" spans="1:37" ht="15.75" customHeight="1" x14ac:dyDescent="0.25">
      <c r="A373" s="13"/>
      <c r="B373" s="1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7"/>
      <c r="AB373" s="17"/>
      <c r="AC373" s="17"/>
      <c r="AD373" s="17"/>
      <c r="AE373" s="17"/>
      <c r="AF373" s="14"/>
      <c r="AG373" s="14"/>
      <c r="AH373" s="14"/>
      <c r="AI373" s="14"/>
      <c r="AJ373" s="14"/>
      <c r="AK373" s="15"/>
    </row>
    <row r="374" spans="1:37" ht="15.75" customHeight="1" x14ac:dyDescent="0.25">
      <c r="A374" s="13"/>
      <c r="B374" s="1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7"/>
      <c r="AB374" s="17"/>
      <c r="AC374" s="17"/>
      <c r="AD374" s="17"/>
      <c r="AE374" s="17"/>
      <c r="AF374" s="14"/>
      <c r="AG374" s="14"/>
      <c r="AH374" s="14"/>
      <c r="AI374" s="14"/>
      <c r="AJ374" s="14"/>
      <c r="AK374" s="15"/>
    </row>
    <row r="375" spans="1:37" ht="15.75" customHeight="1" x14ac:dyDescent="0.25">
      <c r="A375" s="13"/>
      <c r="B375" s="1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7"/>
      <c r="AB375" s="17"/>
      <c r="AC375" s="17"/>
      <c r="AD375" s="17"/>
      <c r="AE375" s="17"/>
      <c r="AF375" s="14"/>
      <c r="AG375" s="14"/>
      <c r="AH375" s="14"/>
      <c r="AI375" s="14"/>
      <c r="AJ375" s="14"/>
      <c r="AK375" s="15"/>
    </row>
    <row r="376" spans="1:37" ht="15.75" customHeight="1" x14ac:dyDescent="0.25">
      <c r="A376" s="13"/>
      <c r="B376" s="1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7"/>
      <c r="AB376" s="17"/>
      <c r="AC376" s="17"/>
      <c r="AD376" s="17"/>
      <c r="AE376" s="17"/>
      <c r="AF376" s="14"/>
      <c r="AG376" s="14"/>
      <c r="AH376" s="14"/>
      <c r="AI376" s="14"/>
      <c r="AJ376" s="14"/>
      <c r="AK376" s="15"/>
    </row>
    <row r="377" spans="1:37" ht="15.75" customHeight="1" x14ac:dyDescent="0.25">
      <c r="A377" s="13"/>
      <c r="B377" s="1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7"/>
      <c r="AB377" s="17"/>
      <c r="AC377" s="17"/>
      <c r="AD377" s="17"/>
      <c r="AE377" s="17"/>
      <c r="AF377" s="14"/>
      <c r="AG377" s="14"/>
      <c r="AH377" s="14"/>
      <c r="AI377" s="14"/>
      <c r="AJ377" s="14"/>
      <c r="AK377" s="15"/>
    </row>
    <row r="378" spans="1:37" ht="15.75" customHeight="1" x14ac:dyDescent="0.25">
      <c r="A378" s="13"/>
      <c r="B378" s="1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7"/>
      <c r="AB378" s="17"/>
      <c r="AC378" s="17"/>
      <c r="AD378" s="17"/>
      <c r="AE378" s="17"/>
      <c r="AF378" s="14"/>
      <c r="AG378" s="14"/>
      <c r="AH378" s="14"/>
      <c r="AI378" s="14"/>
      <c r="AJ378" s="14"/>
      <c r="AK378" s="15"/>
    </row>
    <row r="379" spans="1:37" ht="15.75" customHeight="1" x14ac:dyDescent="0.25">
      <c r="A379" s="13"/>
      <c r="B379" s="1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7"/>
      <c r="AB379" s="17"/>
      <c r="AC379" s="17"/>
      <c r="AD379" s="17"/>
      <c r="AE379" s="17"/>
      <c r="AF379" s="14"/>
      <c r="AG379" s="14"/>
      <c r="AH379" s="14"/>
      <c r="AI379" s="14"/>
      <c r="AJ379" s="14"/>
      <c r="AK379" s="15"/>
    </row>
    <row r="380" spans="1:37" ht="15.75" customHeight="1" x14ac:dyDescent="0.25">
      <c r="A380" s="13"/>
      <c r="B380" s="1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7"/>
      <c r="AB380" s="17"/>
      <c r="AC380" s="17"/>
      <c r="AD380" s="17"/>
      <c r="AE380" s="17"/>
      <c r="AF380" s="14"/>
      <c r="AG380" s="14"/>
      <c r="AH380" s="14"/>
      <c r="AI380" s="14"/>
      <c r="AJ380" s="14"/>
      <c r="AK380" s="15"/>
    </row>
    <row r="381" spans="1:37" ht="15.75" customHeight="1" x14ac:dyDescent="0.25">
      <c r="A381" s="13"/>
      <c r="B381" s="1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7"/>
      <c r="AB381" s="17"/>
      <c r="AC381" s="17"/>
      <c r="AD381" s="17"/>
      <c r="AE381" s="17"/>
      <c r="AF381" s="14"/>
      <c r="AG381" s="14"/>
      <c r="AH381" s="14"/>
      <c r="AI381" s="14"/>
      <c r="AJ381" s="14"/>
      <c r="AK381" s="15"/>
    </row>
    <row r="382" spans="1:37" ht="15.75" customHeight="1" x14ac:dyDescent="0.25">
      <c r="A382" s="13"/>
      <c r="B382" s="1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7"/>
      <c r="AB382" s="17"/>
      <c r="AC382" s="17"/>
      <c r="AD382" s="17"/>
      <c r="AE382" s="17"/>
      <c r="AF382" s="14"/>
      <c r="AG382" s="14"/>
      <c r="AH382" s="14"/>
      <c r="AI382" s="14"/>
      <c r="AJ382" s="14"/>
      <c r="AK382" s="15"/>
    </row>
    <row r="383" spans="1:37" ht="15.75" customHeight="1" x14ac:dyDescent="0.25">
      <c r="A383" s="13"/>
      <c r="B383" s="1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7"/>
      <c r="AB383" s="17"/>
      <c r="AC383" s="17"/>
      <c r="AD383" s="17"/>
      <c r="AE383" s="17"/>
      <c r="AF383" s="14"/>
      <c r="AG383" s="14"/>
      <c r="AH383" s="14"/>
      <c r="AI383" s="14"/>
      <c r="AJ383" s="14"/>
      <c r="AK383" s="15"/>
    </row>
    <row r="384" spans="1:37" ht="15.75" customHeight="1" x14ac:dyDescent="0.25">
      <c r="A384" s="13"/>
      <c r="B384" s="1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7"/>
      <c r="AB384" s="17"/>
      <c r="AC384" s="17"/>
      <c r="AD384" s="17"/>
      <c r="AE384" s="17"/>
      <c r="AF384" s="14"/>
      <c r="AG384" s="14"/>
      <c r="AH384" s="14"/>
      <c r="AI384" s="14"/>
      <c r="AJ384" s="14"/>
      <c r="AK384" s="15"/>
    </row>
    <row r="385" spans="1:37" ht="15.75" customHeight="1" x14ac:dyDescent="0.25">
      <c r="A385" s="13"/>
      <c r="B385" s="1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7"/>
      <c r="AB385" s="17"/>
      <c r="AC385" s="17"/>
      <c r="AD385" s="17"/>
      <c r="AE385" s="17"/>
      <c r="AF385" s="14"/>
      <c r="AG385" s="14"/>
      <c r="AH385" s="14"/>
      <c r="AI385" s="14"/>
      <c r="AJ385" s="14"/>
      <c r="AK385" s="15"/>
    </row>
    <row r="386" spans="1:37" ht="15.75" customHeight="1" x14ac:dyDescent="0.25">
      <c r="A386" s="13"/>
      <c r="B386" s="1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7"/>
      <c r="AB386" s="17"/>
      <c r="AC386" s="17"/>
      <c r="AD386" s="17"/>
      <c r="AE386" s="17"/>
      <c r="AF386" s="14"/>
      <c r="AG386" s="14"/>
      <c r="AH386" s="14"/>
      <c r="AI386" s="14"/>
      <c r="AJ386" s="14"/>
      <c r="AK386" s="15"/>
    </row>
    <row r="387" spans="1:37" ht="15.75" customHeight="1" x14ac:dyDescent="0.25">
      <c r="A387" s="13"/>
      <c r="B387" s="1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7"/>
      <c r="AB387" s="17"/>
      <c r="AC387" s="17"/>
      <c r="AD387" s="17"/>
      <c r="AE387" s="17"/>
      <c r="AF387" s="14"/>
      <c r="AG387" s="14"/>
      <c r="AH387" s="14"/>
      <c r="AI387" s="14"/>
      <c r="AJ387" s="14"/>
      <c r="AK387" s="15"/>
    </row>
    <row r="388" spans="1:37" ht="15.75" customHeight="1" x14ac:dyDescent="0.25">
      <c r="A388" s="13"/>
      <c r="B388" s="1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7"/>
      <c r="AB388" s="17"/>
      <c r="AC388" s="17"/>
      <c r="AD388" s="17"/>
      <c r="AE388" s="17"/>
      <c r="AF388" s="14"/>
      <c r="AG388" s="14"/>
      <c r="AH388" s="14"/>
      <c r="AI388" s="14"/>
      <c r="AJ388" s="14"/>
      <c r="AK388" s="15"/>
    </row>
    <row r="389" spans="1:37" ht="15.75" customHeight="1" x14ac:dyDescent="0.25">
      <c r="A389" s="13"/>
      <c r="B389" s="1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7"/>
      <c r="AB389" s="17"/>
      <c r="AC389" s="17"/>
      <c r="AD389" s="17"/>
      <c r="AE389" s="17"/>
      <c r="AF389" s="14"/>
      <c r="AG389" s="14"/>
      <c r="AH389" s="14"/>
      <c r="AI389" s="14"/>
      <c r="AJ389" s="14"/>
      <c r="AK389" s="15"/>
    </row>
    <row r="390" spans="1:37" ht="15.75" customHeight="1" x14ac:dyDescent="0.25">
      <c r="A390" s="13"/>
      <c r="B390" s="1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7"/>
      <c r="AB390" s="17"/>
      <c r="AC390" s="17"/>
      <c r="AD390" s="17"/>
      <c r="AE390" s="17"/>
      <c r="AF390" s="14"/>
      <c r="AG390" s="14"/>
      <c r="AH390" s="14"/>
      <c r="AI390" s="14"/>
      <c r="AJ390" s="14"/>
      <c r="AK390" s="15"/>
    </row>
    <row r="391" spans="1:37" ht="15.75" customHeight="1" x14ac:dyDescent="0.25">
      <c r="A391" s="13"/>
      <c r="B391" s="1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7"/>
      <c r="AB391" s="17"/>
      <c r="AC391" s="17"/>
      <c r="AD391" s="17"/>
      <c r="AE391" s="17"/>
      <c r="AF391" s="14"/>
      <c r="AG391" s="14"/>
      <c r="AH391" s="14"/>
      <c r="AI391" s="14"/>
      <c r="AJ391" s="14"/>
      <c r="AK391" s="15"/>
    </row>
    <row r="392" spans="1:37" ht="15.75" customHeight="1" x14ac:dyDescent="0.25">
      <c r="A392" s="13"/>
      <c r="B392" s="1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7"/>
      <c r="AB392" s="17"/>
      <c r="AC392" s="17"/>
      <c r="AD392" s="17"/>
      <c r="AE392" s="17"/>
      <c r="AF392" s="14"/>
      <c r="AG392" s="14"/>
      <c r="AH392" s="14"/>
      <c r="AI392" s="14"/>
      <c r="AJ392" s="14"/>
      <c r="AK392" s="15"/>
    </row>
    <row r="393" spans="1:37" ht="15.75" customHeight="1" x14ac:dyDescent="0.25">
      <c r="A393" s="13"/>
      <c r="B393" s="1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7"/>
      <c r="AB393" s="17"/>
      <c r="AC393" s="17"/>
      <c r="AD393" s="17"/>
      <c r="AE393" s="17"/>
      <c r="AF393" s="14"/>
      <c r="AG393" s="14"/>
      <c r="AH393" s="14"/>
      <c r="AI393" s="14"/>
      <c r="AJ393" s="14"/>
      <c r="AK393" s="15"/>
    </row>
    <row r="394" spans="1:37" ht="15.75" customHeight="1" x14ac:dyDescent="0.25">
      <c r="A394" s="13"/>
      <c r="B394" s="1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7"/>
      <c r="AB394" s="17"/>
      <c r="AC394" s="17"/>
      <c r="AD394" s="17"/>
      <c r="AE394" s="17"/>
      <c r="AF394" s="14"/>
      <c r="AG394" s="14"/>
      <c r="AH394" s="14"/>
      <c r="AI394" s="14"/>
      <c r="AJ394" s="14"/>
      <c r="AK394" s="15"/>
    </row>
    <row r="395" spans="1:37" ht="15.75" customHeight="1" x14ac:dyDescent="0.25">
      <c r="A395" s="13"/>
      <c r="B395" s="1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7"/>
      <c r="AB395" s="17"/>
      <c r="AC395" s="17"/>
      <c r="AD395" s="17"/>
      <c r="AE395" s="17"/>
      <c r="AF395" s="14"/>
      <c r="AG395" s="14"/>
      <c r="AH395" s="14"/>
      <c r="AI395" s="14"/>
      <c r="AJ395" s="14"/>
      <c r="AK395" s="15"/>
    </row>
    <row r="396" spans="1:37" ht="15.75" customHeight="1" x14ac:dyDescent="0.25">
      <c r="A396" s="13"/>
      <c r="B396" s="1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7"/>
      <c r="AB396" s="17"/>
      <c r="AC396" s="17"/>
      <c r="AD396" s="17"/>
      <c r="AE396" s="17"/>
      <c r="AF396" s="14"/>
      <c r="AG396" s="14"/>
      <c r="AH396" s="14"/>
      <c r="AI396" s="14"/>
      <c r="AJ396" s="14"/>
      <c r="AK396" s="15"/>
    </row>
    <row r="397" spans="1:37" ht="15.75" customHeight="1" x14ac:dyDescent="0.25">
      <c r="A397" s="13"/>
      <c r="B397" s="1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7"/>
      <c r="AB397" s="17"/>
      <c r="AC397" s="17"/>
      <c r="AD397" s="17"/>
      <c r="AE397" s="17"/>
      <c r="AF397" s="14"/>
      <c r="AG397" s="14"/>
      <c r="AH397" s="14"/>
      <c r="AI397" s="14"/>
      <c r="AJ397" s="14"/>
      <c r="AK397" s="15"/>
    </row>
    <row r="398" spans="1:37" ht="15.75" customHeight="1" x14ac:dyDescent="0.25">
      <c r="A398" s="13"/>
      <c r="B398" s="1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7"/>
      <c r="AB398" s="17"/>
      <c r="AC398" s="17"/>
      <c r="AD398" s="17"/>
      <c r="AE398" s="17"/>
      <c r="AF398" s="14"/>
      <c r="AG398" s="14"/>
      <c r="AH398" s="14"/>
      <c r="AI398" s="14"/>
      <c r="AJ398" s="14"/>
      <c r="AK398" s="15"/>
    </row>
    <row r="399" spans="1:37" ht="15.75" customHeight="1" x14ac:dyDescent="0.25">
      <c r="A399" s="13"/>
      <c r="B399" s="1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7"/>
      <c r="AB399" s="17"/>
      <c r="AC399" s="17"/>
      <c r="AD399" s="17"/>
      <c r="AE399" s="17"/>
      <c r="AF399" s="14"/>
      <c r="AG399" s="14"/>
      <c r="AH399" s="14"/>
      <c r="AI399" s="14"/>
      <c r="AJ399" s="14"/>
      <c r="AK399" s="15"/>
    </row>
    <row r="400" spans="1:37" ht="15.75" customHeight="1" x14ac:dyDescent="0.25">
      <c r="A400" s="13"/>
      <c r="B400" s="1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7"/>
      <c r="AB400" s="17"/>
      <c r="AC400" s="17"/>
      <c r="AD400" s="17"/>
      <c r="AE400" s="17"/>
      <c r="AF400" s="14"/>
      <c r="AG400" s="14"/>
      <c r="AH400" s="14"/>
      <c r="AI400" s="14"/>
      <c r="AJ400" s="14"/>
      <c r="AK400" s="15"/>
    </row>
    <row r="401" spans="1:37" ht="15.75" customHeight="1" x14ac:dyDescent="0.25">
      <c r="A401" s="13"/>
      <c r="B401" s="1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7"/>
      <c r="AB401" s="17"/>
      <c r="AC401" s="17"/>
      <c r="AD401" s="17"/>
      <c r="AE401" s="17"/>
      <c r="AF401" s="14"/>
      <c r="AG401" s="14"/>
      <c r="AH401" s="14"/>
      <c r="AI401" s="14"/>
      <c r="AJ401" s="14"/>
      <c r="AK401" s="15"/>
    </row>
    <row r="402" spans="1:37" ht="15.75" customHeight="1" x14ac:dyDescent="0.25">
      <c r="A402" s="13"/>
      <c r="B402" s="1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7"/>
      <c r="AB402" s="17"/>
      <c r="AC402" s="17"/>
      <c r="AD402" s="17"/>
      <c r="AE402" s="17"/>
      <c r="AF402" s="14"/>
      <c r="AG402" s="14"/>
      <c r="AH402" s="14"/>
      <c r="AI402" s="14"/>
      <c r="AJ402" s="14"/>
      <c r="AK402" s="15"/>
    </row>
    <row r="403" spans="1:37" ht="15.75" customHeight="1" x14ac:dyDescent="0.25">
      <c r="A403" s="13"/>
      <c r="B403" s="1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7"/>
      <c r="AB403" s="17"/>
      <c r="AC403" s="17"/>
      <c r="AD403" s="17"/>
      <c r="AE403" s="17"/>
      <c r="AF403" s="14"/>
      <c r="AG403" s="14"/>
      <c r="AH403" s="14"/>
      <c r="AI403" s="14"/>
      <c r="AJ403" s="14"/>
      <c r="AK403" s="15"/>
    </row>
    <row r="404" spans="1:37" ht="15.75" customHeight="1" x14ac:dyDescent="0.25">
      <c r="A404" s="13"/>
      <c r="B404" s="1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7"/>
      <c r="AB404" s="17"/>
      <c r="AC404" s="17"/>
      <c r="AD404" s="17"/>
      <c r="AE404" s="17"/>
      <c r="AF404" s="14"/>
      <c r="AG404" s="14"/>
      <c r="AH404" s="14"/>
      <c r="AI404" s="14"/>
      <c r="AJ404" s="14"/>
      <c r="AK404" s="15"/>
    </row>
    <row r="405" spans="1:37" ht="15.75" customHeight="1" x14ac:dyDescent="0.25">
      <c r="A405" s="13"/>
      <c r="B405" s="1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7"/>
      <c r="AB405" s="17"/>
      <c r="AC405" s="17"/>
      <c r="AD405" s="17"/>
      <c r="AE405" s="17"/>
      <c r="AF405" s="14"/>
      <c r="AG405" s="14"/>
      <c r="AH405" s="14"/>
      <c r="AI405" s="14"/>
      <c r="AJ405" s="14"/>
      <c r="AK405" s="15"/>
    </row>
    <row r="406" spans="1:37" ht="15.75" customHeight="1" x14ac:dyDescent="0.25">
      <c r="A406" s="13"/>
      <c r="B406" s="1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7"/>
      <c r="AB406" s="17"/>
      <c r="AC406" s="17"/>
      <c r="AD406" s="17"/>
      <c r="AE406" s="17"/>
      <c r="AF406" s="14"/>
      <c r="AG406" s="14"/>
      <c r="AH406" s="14"/>
      <c r="AI406" s="14"/>
      <c r="AJ406" s="14"/>
      <c r="AK406" s="15"/>
    </row>
    <row r="407" spans="1:37" ht="15.75" customHeight="1" x14ac:dyDescent="0.25">
      <c r="A407" s="13"/>
      <c r="B407" s="1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7"/>
      <c r="AB407" s="17"/>
      <c r="AC407" s="17"/>
      <c r="AD407" s="17"/>
      <c r="AE407" s="17"/>
      <c r="AF407" s="14"/>
      <c r="AG407" s="14"/>
      <c r="AH407" s="14"/>
      <c r="AI407" s="14"/>
      <c r="AJ407" s="14"/>
      <c r="AK407" s="15"/>
    </row>
    <row r="408" spans="1:37" ht="15.75" customHeight="1" x14ac:dyDescent="0.25">
      <c r="A408" s="13"/>
      <c r="B408" s="1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7"/>
      <c r="AB408" s="17"/>
      <c r="AC408" s="17"/>
      <c r="AD408" s="17"/>
      <c r="AE408" s="17"/>
      <c r="AF408" s="14"/>
      <c r="AG408" s="14"/>
      <c r="AH408" s="14"/>
      <c r="AI408" s="14"/>
      <c r="AJ408" s="14"/>
      <c r="AK408" s="15"/>
    </row>
    <row r="409" spans="1:37" ht="15.75" customHeight="1" x14ac:dyDescent="0.25">
      <c r="A409" s="13"/>
      <c r="B409" s="1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7"/>
      <c r="AB409" s="17"/>
      <c r="AC409" s="17"/>
      <c r="AD409" s="17"/>
      <c r="AE409" s="17"/>
      <c r="AF409" s="14"/>
      <c r="AG409" s="14"/>
      <c r="AH409" s="14"/>
      <c r="AI409" s="14"/>
      <c r="AJ409" s="14"/>
      <c r="AK409" s="15"/>
    </row>
    <row r="410" spans="1:37" ht="15.75" customHeight="1" x14ac:dyDescent="0.25">
      <c r="A410" s="13"/>
      <c r="B410" s="1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7"/>
      <c r="AB410" s="17"/>
      <c r="AC410" s="17"/>
      <c r="AD410" s="17"/>
      <c r="AE410" s="17"/>
      <c r="AF410" s="14"/>
      <c r="AG410" s="14"/>
      <c r="AH410" s="14"/>
      <c r="AI410" s="14"/>
      <c r="AJ410" s="14"/>
      <c r="AK410" s="15"/>
    </row>
    <row r="411" spans="1:37" ht="15.75" customHeight="1" x14ac:dyDescent="0.25">
      <c r="A411" s="13"/>
      <c r="B411" s="1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7"/>
      <c r="AB411" s="17"/>
      <c r="AC411" s="17"/>
      <c r="AD411" s="17"/>
      <c r="AE411" s="17"/>
      <c r="AF411" s="14"/>
      <c r="AG411" s="14"/>
      <c r="AH411" s="14"/>
      <c r="AI411" s="14"/>
      <c r="AJ411" s="14"/>
      <c r="AK411" s="15"/>
    </row>
    <row r="412" spans="1:37" ht="15.75" customHeight="1" x14ac:dyDescent="0.25">
      <c r="A412" s="13"/>
      <c r="B412" s="1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7"/>
      <c r="AB412" s="17"/>
      <c r="AC412" s="17"/>
      <c r="AD412" s="17"/>
      <c r="AE412" s="17"/>
      <c r="AF412" s="14"/>
      <c r="AG412" s="14"/>
      <c r="AH412" s="14"/>
      <c r="AI412" s="14"/>
      <c r="AJ412" s="14"/>
      <c r="AK412" s="15"/>
    </row>
    <row r="413" spans="1:37" ht="15.75" customHeight="1" x14ac:dyDescent="0.25">
      <c r="A413" s="13"/>
      <c r="B413" s="1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7"/>
      <c r="AB413" s="17"/>
      <c r="AC413" s="17"/>
      <c r="AD413" s="17"/>
      <c r="AE413" s="17"/>
      <c r="AF413" s="14"/>
      <c r="AG413" s="14"/>
      <c r="AH413" s="14"/>
      <c r="AI413" s="14"/>
      <c r="AJ413" s="14"/>
      <c r="AK413" s="15"/>
    </row>
    <row r="414" spans="1:37" ht="15.75" customHeight="1" x14ac:dyDescent="0.25">
      <c r="A414" s="13"/>
      <c r="B414" s="1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7"/>
      <c r="AB414" s="17"/>
      <c r="AC414" s="17"/>
      <c r="AD414" s="17"/>
      <c r="AE414" s="17"/>
      <c r="AF414" s="14"/>
      <c r="AG414" s="14"/>
      <c r="AH414" s="14"/>
      <c r="AI414" s="14"/>
      <c r="AJ414" s="14"/>
      <c r="AK414" s="15"/>
    </row>
    <row r="415" spans="1:37" ht="15.75" customHeight="1" x14ac:dyDescent="0.25">
      <c r="A415" s="13"/>
      <c r="B415" s="1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7"/>
      <c r="AB415" s="17"/>
      <c r="AC415" s="17"/>
      <c r="AD415" s="17"/>
      <c r="AE415" s="17"/>
      <c r="AF415" s="14"/>
      <c r="AG415" s="14"/>
      <c r="AH415" s="14"/>
      <c r="AI415" s="14"/>
      <c r="AJ415" s="14"/>
      <c r="AK415" s="15"/>
    </row>
    <row r="416" spans="1:37" ht="15.75" customHeight="1" x14ac:dyDescent="0.25">
      <c r="A416" s="13"/>
      <c r="B416" s="1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7"/>
      <c r="AB416" s="17"/>
      <c r="AC416" s="17"/>
      <c r="AD416" s="17"/>
      <c r="AE416" s="17"/>
      <c r="AF416" s="14"/>
      <c r="AG416" s="14"/>
      <c r="AH416" s="14"/>
      <c r="AI416" s="14"/>
      <c r="AJ416" s="14"/>
      <c r="AK416" s="15"/>
    </row>
    <row r="417" spans="1:37" ht="15.75" customHeight="1" x14ac:dyDescent="0.25">
      <c r="A417" s="13"/>
      <c r="B417" s="1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7"/>
      <c r="AB417" s="17"/>
      <c r="AC417" s="17"/>
      <c r="AD417" s="17"/>
      <c r="AE417" s="17"/>
      <c r="AF417" s="14"/>
      <c r="AG417" s="14"/>
      <c r="AH417" s="14"/>
      <c r="AI417" s="14"/>
      <c r="AJ417" s="14"/>
      <c r="AK417" s="15"/>
    </row>
    <row r="418" spans="1:37" ht="15.75" customHeight="1" x14ac:dyDescent="0.25">
      <c r="A418" s="13"/>
      <c r="B418" s="1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7"/>
      <c r="AB418" s="17"/>
      <c r="AC418" s="17"/>
      <c r="AD418" s="17"/>
      <c r="AE418" s="17"/>
      <c r="AF418" s="14"/>
      <c r="AG418" s="14"/>
      <c r="AH418" s="14"/>
      <c r="AI418" s="14"/>
      <c r="AJ418" s="14"/>
      <c r="AK418" s="15"/>
    </row>
    <row r="419" spans="1:37" ht="15.75" customHeight="1" x14ac:dyDescent="0.25">
      <c r="A419" s="13"/>
      <c r="B419" s="1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7"/>
      <c r="AB419" s="17"/>
      <c r="AC419" s="17"/>
      <c r="AD419" s="17"/>
      <c r="AE419" s="17"/>
      <c r="AF419" s="14"/>
      <c r="AG419" s="14"/>
      <c r="AH419" s="14"/>
      <c r="AI419" s="14"/>
      <c r="AJ419" s="14"/>
      <c r="AK419" s="15"/>
    </row>
    <row r="420" spans="1:37" ht="15.75" customHeight="1" x14ac:dyDescent="0.25">
      <c r="A420" s="13"/>
      <c r="B420" s="1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7"/>
      <c r="AB420" s="17"/>
      <c r="AC420" s="17"/>
      <c r="AD420" s="17"/>
      <c r="AE420" s="17"/>
      <c r="AF420" s="14"/>
      <c r="AG420" s="14"/>
      <c r="AH420" s="14"/>
      <c r="AI420" s="14"/>
      <c r="AJ420" s="14"/>
      <c r="AK420" s="15"/>
    </row>
    <row r="421" spans="1:37" ht="15.75" customHeight="1" x14ac:dyDescent="0.25">
      <c r="A421" s="13"/>
      <c r="B421" s="1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7"/>
      <c r="AB421" s="17"/>
      <c r="AC421" s="17"/>
      <c r="AD421" s="17"/>
      <c r="AE421" s="17"/>
      <c r="AF421" s="14"/>
      <c r="AG421" s="14"/>
      <c r="AH421" s="14"/>
      <c r="AI421" s="14"/>
      <c r="AJ421" s="14"/>
      <c r="AK421" s="15"/>
    </row>
    <row r="422" spans="1:37" ht="15.75" customHeight="1" x14ac:dyDescent="0.25">
      <c r="A422" s="13"/>
      <c r="B422" s="1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7"/>
      <c r="AB422" s="17"/>
      <c r="AC422" s="17"/>
      <c r="AD422" s="17"/>
      <c r="AE422" s="17"/>
      <c r="AF422" s="14"/>
      <c r="AG422" s="14"/>
      <c r="AH422" s="14"/>
      <c r="AI422" s="14"/>
      <c r="AJ422" s="14"/>
      <c r="AK422" s="15"/>
    </row>
    <row r="423" spans="1:37" ht="15.75" customHeight="1" x14ac:dyDescent="0.25">
      <c r="A423" s="13"/>
      <c r="B423" s="1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7"/>
      <c r="AB423" s="17"/>
      <c r="AC423" s="17"/>
      <c r="AD423" s="17"/>
      <c r="AE423" s="17"/>
      <c r="AF423" s="14"/>
      <c r="AG423" s="14"/>
      <c r="AH423" s="14"/>
      <c r="AI423" s="14"/>
      <c r="AJ423" s="14"/>
      <c r="AK423" s="15"/>
    </row>
    <row r="424" spans="1:37" ht="15.75" customHeight="1" x14ac:dyDescent="0.25">
      <c r="A424" s="13"/>
      <c r="B424" s="1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7"/>
      <c r="AB424" s="17"/>
      <c r="AC424" s="17"/>
      <c r="AD424" s="17"/>
      <c r="AE424" s="17"/>
      <c r="AF424" s="14"/>
      <c r="AG424" s="14"/>
      <c r="AH424" s="14"/>
      <c r="AI424" s="14"/>
      <c r="AJ424" s="14"/>
      <c r="AK424" s="15"/>
    </row>
    <row r="425" spans="1:37" ht="15.75" customHeight="1" x14ac:dyDescent="0.25">
      <c r="A425" s="13"/>
      <c r="B425" s="1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7"/>
      <c r="AB425" s="17"/>
      <c r="AC425" s="17"/>
      <c r="AD425" s="17"/>
      <c r="AE425" s="17"/>
      <c r="AF425" s="14"/>
      <c r="AG425" s="14"/>
      <c r="AH425" s="14"/>
      <c r="AI425" s="14"/>
      <c r="AJ425" s="14"/>
      <c r="AK425" s="15"/>
    </row>
    <row r="426" spans="1:37" ht="15.75" customHeight="1" x14ac:dyDescent="0.25">
      <c r="A426" s="13"/>
      <c r="B426" s="1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7"/>
      <c r="AB426" s="17"/>
      <c r="AC426" s="17"/>
      <c r="AD426" s="17"/>
      <c r="AE426" s="17"/>
      <c r="AF426" s="14"/>
      <c r="AG426" s="14"/>
      <c r="AH426" s="14"/>
      <c r="AI426" s="14"/>
      <c r="AJ426" s="14"/>
      <c r="AK426" s="15"/>
    </row>
    <row r="427" spans="1:37" ht="15.75" customHeight="1" x14ac:dyDescent="0.25">
      <c r="A427" s="13"/>
      <c r="B427" s="1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7"/>
      <c r="AB427" s="17"/>
      <c r="AC427" s="17"/>
      <c r="AD427" s="17"/>
      <c r="AE427" s="17"/>
      <c r="AF427" s="14"/>
      <c r="AG427" s="14"/>
      <c r="AH427" s="14"/>
      <c r="AI427" s="14"/>
      <c r="AJ427" s="14"/>
      <c r="AK427" s="15"/>
    </row>
    <row r="428" spans="1:37" ht="15.75" customHeight="1" x14ac:dyDescent="0.25">
      <c r="A428" s="13"/>
      <c r="B428" s="1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7"/>
      <c r="AB428" s="17"/>
      <c r="AC428" s="17"/>
      <c r="AD428" s="17"/>
      <c r="AE428" s="17"/>
      <c r="AF428" s="14"/>
      <c r="AG428" s="14"/>
      <c r="AH428" s="14"/>
      <c r="AI428" s="14"/>
      <c r="AJ428" s="14"/>
      <c r="AK428" s="15"/>
    </row>
    <row r="429" spans="1:37" ht="15.75" customHeight="1" x14ac:dyDescent="0.25">
      <c r="A429" s="13"/>
      <c r="B429" s="1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7"/>
      <c r="AB429" s="17"/>
      <c r="AC429" s="17"/>
      <c r="AD429" s="17"/>
      <c r="AE429" s="17"/>
      <c r="AF429" s="14"/>
      <c r="AG429" s="14"/>
      <c r="AH429" s="14"/>
      <c r="AI429" s="14"/>
      <c r="AJ429" s="14"/>
      <c r="AK429" s="15"/>
    </row>
    <row r="430" spans="1:37" ht="15.75" customHeight="1" x14ac:dyDescent="0.25">
      <c r="A430" s="13"/>
      <c r="B430" s="1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7"/>
      <c r="AB430" s="17"/>
      <c r="AC430" s="17"/>
      <c r="AD430" s="17"/>
      <c r="AE430" s="17"/>
      <c r="AF430" s="14"/>
      <c r="AG430" s="14"/>
      <c r="AH430" s="14"/>
      <c r="AI430" s="14"/>
      <c r="AJ430" s="14"/>
      <c r="AK430" s="15"/>
    </row>
    <row r="431" spans="1:37" ht="15.75" customHeight="1" x14ac:dyDescent="0.25">
      <c r="A431" s="13"/>
      <c r="B431" s="1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7"/>
      <c r="AB431" s="17"/>
      <c r="AC431" s="17"/>
      <c r="AD431" s="17"/>
      <c r="AE431" s="17"/>
      <c r="AF431" s="14"/>
      <c r="AG431" s="14"/>
      <c r="AH431" s="14"/>
      <c r="AI431" s="14"/>
      <c r="AJ431" s="14"/>
      <c r="AK431" s="15"/>
    </row>
    <row r="432" spans="1:37" ht="15.75" customHeight="1" x14ac:dyDescent="0.25">
      <c r="A432" s="13"/>
      <c r="B432" s="1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7"/>
      <c r="AB432" s="17"/>
      <c r="AC432" s="17"/>
      <c r="AD432" s="17"/>
      <c r="AE432" s="17"/>
      <c r="AF432" s="14"/>
      <c r="AG432" s="14"/>
      <c r="AH432" s="14"/>
      <c r="AI432" s="14"/>
      <c r="AJ432" s="14"/>
      <c r="AK432" s="15"/>
    </row>
    <row r="433" spans="1:37" ht="15.75" customHeight="1" x14ac:dyDescent="0.25">
      <c r="A433" s="13"/>
      <c r="B433" s="1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7"/>
      <c r="AB433" s="17"/>
      <c r="AC433" s="17"/>
      <c r="AD433" s="17"/>
      <c r="AE433" s="17"/>
      <c r="AF433" s="14"/>
      <c r="AG433" s="14"/>
      <c r="AH433" s="14"/>
      <c r="AI433" s="14"/>
      <c r="AJ433" s="14"/>
      <c r="AK433" s="15"/>
    </row>
    <row r="434" spans="1:37" ht="15.75" customHeight="1" x14ac:dyDescent="0.25">
      <c r="A434" s="13"/>
      <c r="B434" s="1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7"/>
      <c r="AB434" s="17"/>
      <c r="AC434" s="17"/>
      <c r="AD434" s="17"/>
      <c r="AE434" s="17"/>
      <c r="AF434" s="14"/>
      <c r="AG434" s="14"/>
      <c r="AH434" s="14"/>
      <c r="AI434" s="14"/>
      <c r="AJ434" s="14"/>
      <c r="AK434" s="15"/>
    </row>
    <row r="435" spans="1:37" ht="15.75" customHeight="1" x14ac:dyDescent="0.25">
      <c r="A435" s="13"/>
      <c r="B435" s="1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7"/>
      <c r="AB435" s="17"/>
      <c r="AC435" s="17"/>
      <c r="AD435" s="17"/>
      <c r="AE435" s="17"/>
      <c r="AF435" s="14"/>
      <c r="AG435" s="14"/>
      <c r="AH435" s="14"/>
      <c r="AI435" s="14"/>
      <c r="AJ435" s="14"/>
      <c r="AK435" s="15"/>
    </row>
    <row r="436" spans="1:37" ht="15.75" customHeight="1" x14ac:dyDescent="0.25">
      <c r="A436" s="13"/>
      <c r="B436" s="1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7"/>
      <c r="AB436" s="17"/>
      <c r="AC436" s="17"/>
      <c r="AD436" s="17"/>
      <c r="AE436" s="17"/>
      <c r="AF436" s="14"/>
      <c r="AG436" s="14"/>
      <c r="AH436" s="14"/>
      <c r="AI436" s="14"/>
      <c r="AJ436" s="14"/>
      <c r="AK436" s="15"/>
    </row>
    <row r="437" spans="1:37" ht="15.75" customHeight="1" x14ac:dyDescent="0.25">
      <c r="A437" s="13"/>
      <c r="B437" s="1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7"/>
      <c r="AB437" s="17"/>
      <c r="AC437" s="17"/>
      <c r="AD437" s="17"/>
      <c r="AE437" s="17"/>
      <c r="AF437" s="14"/>
      <c r="AG437" s="14"/>
      <c r="AH437" s="14"/>
      <c r="AI437" s="14"/>
      <c r="AJ437" s="14"/>
      <c r="AK437" s="15"/>
    </row>
    <row r="438" spans="1:37" ht="15.75" customHeight="1" x14ac:dyDescent="0.25">
      <c r="A438" s="13"/>
      <c r="B438" s="1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7"/>
      <c r="AB438" s="17"/>
      <c r="AC438" s="17"/>
      <c r="AD438" s="17"/>
      <c r="AE438" s="17"/>
      <c r="AF438" s="14"/>
      <c r="AG438" s="14"/>
      <c r="AH438" s="14"/>
      <c r="AI438" s="14"/>
      <c r="AJ438" s="14"/>
      <c r="AK438" s="15"/>
    </row>
    <row r="439" spans="1:37" ht="15.75" customHeight="1" x14ac:dyDescent="0.25">
      <c r="A439" s="13"/>
      <c r="B439" s="1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7"/>
      <c r="AB439" s="17"/>
      <c r="AC439" s="17"/>
      <c r="AD439" s="17"/>
      <c r="AE439" s="17"/>
      <c r="AF439" s="14"/>
      <c r="AG439" s="14"/>
      <c r="AH439" s="14"/>
      <c r="AI439" s="14"/>
      <c r="AJ439" s="14"/>
      <c r="AK439" s="15"/>
    </row>
    <row r="440" spans="1:37" ht="15.75" customHeight="1" x14ac:dyDescent="0.25">
      <c r="A440" s="13"/>
      <c r="B440" s="1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7"/>
      <c r="AB440" s="17"/>
      <c r="AC440" s="17"/>
      <c r="AD440" s="17"/>
      <c r="AE440" s="17"/>
      <c r="AF440" s="14"/>
      <c r="AG440" s="14"/>
      <c r="AH440" s="14"/>
      <c r="AI440" s="14"/>
      <c r="AJ440" s="14"/>
      <c r="AK440" s="15"/>
    </row>
    <row r="441" spans="1:37" ht="15.75" customHeight="1" x14ac:dyDescent="0.25">
      <c r="A441" s="13"/>
      <c r="B441" s="1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7"/>
      <c r="AB441" s="17"/>
      <c r="AC441" s="17"/>
      <c r="AD441" s="17"/>
      <c r="AE441" s="17"/>
      <c r="AF441" s="14"/>
      <c r="AG441" s="14"/>
      <c r="AH441" s="14"/>
      <c r="AI441" s="14"/>
      <c r="AJ441" s="14"/>
      <c r="AK441" s="15"/>
    </row>
    <row r="442" spans="1:37" ht="15.75" customHeight="1" x14ac:dyDescent="0.25">
      <c r="A442" s="13"/>
      <c r="B442" s="1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7"/>
      <c r="AB442" s="17"/>
      <c r="AC442" s="17"/>
      <c r="AD442" s="17"/>
      <c r="AE442" s="17"/>
      <c r="AF442" s="14"/>
      <c r="AG442" s="14"/>
      <c r="AH442" s="14"/>
      <c r="AI442" s="14"/>
      <c r="AJ442" s="14"/>
      <c r="AK442" s="15"/>
    </row>
    <row r="443" spans="1:37" ht="15.75" customHeight="1" x14ac:dyDescent="0.25">
      <c r="A443" s="13"/>
      <c r="B443" s="1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7"/>
      <c r="AB443" s="17"/>
      <c r="AC443" s="17"/>
      <c r="AD443" s="17"/>
      <c r="AE443" s="17"/>
      <c r="AF443" s="14"/>
      <c r="AG443" s="14"/>
      <c r="AH443" s="14"/>
      <c r="AI443" s="14"/>
      <c r="AJ443" s="14"/>
      <c r="AK443" s="15"/>
    </row>
    <row r="444" spans="1:37" ht="15.75" customHeight="1" x14ac:dyDescent="0.25">
      <c r="A444" s="13"/>
      <c r="B444" s="1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7"/>
      <c r="AB444" s="17"/>
      <c r="AC444" s="17"/>
      <c r="AD444" s="17"/>
      <c r="AE444" s="17"/>
      <c r="AF444" s="14"/>
      <c r="AG444" s="14"/>
      <c r="AH444" s="14"/>
      <c r="AI444" s="14"/>
      <c r="AJ444" s="14"/>
      <c r="AK444" s="15"/>
    </row>
    <row r="445" spans="1:37" ht="15.75" customHeight="1" x14ac:dyDescent="0.25">
      <c r="A445" s="13"/>
      <c r="B445" s="1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7"/>
      <c r="AB445" s="17"/>
      <c r="AC445" s="17"/>
      <c r="AD445" s="17"/>
      <c r="AE445" s="17"/>
      <c r="AF445" s="14"/>
      <c r="AG445" s="14"/>
      <c r="AH445" s="14"/>
      <c r="AI445" s="14"/>
      <c r="AJ445" s="14"/>
      <c r="AK445" s="15"/>
    </row>
    <row r="446" spans="1:37" ht="15.75" customHeight="1" x14ac:dyDescent="0.25">
      <c r="A446" s="13"/>
      <c r="B446" s="1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7"/>
      <c r="AB446" s="17"/>
      <c r="AC446" s="17"/>
      <c r="AD446" s="17"/>
      <c r="AE446" s="17"/>
      <c r="AF446" s="14"/>
      <c r="AG446" s="14"/>
      <c r="AH446" s="14"/>
      <c r="AI446" s="14"/>
      <c r="AJ446" s="14"/>
      <c r="AK446" s="15"/>
    </row>
    <row r="447" spans="1:37" ht="15.75" customHeight="1" x14ac:dyDescent="0.25">
      <c r="A447" s="13"/>
      <c r="B447" s="1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7"/>
      <c r="AB447" s="17"/>
      <c r="AC447" s="17"/>
      <c r="AD447" s="17"/>
      <c r="AE447" s="17"/>
      <c r="AF447" s="14"/>
      <c r="AG447" s="14"/>
      <c r="AH447" s="14"/>
      <c r="AI447" s="14"/>
      <c r="AJ447" s="14"/>
      <c r="AK447" s="15"/>
    </row>
    <row r="448" spans="1:37" ht="15.75" customHeight="1" x14ac:dyDescent="0.25">
      <c r="A448" s="13"/>
      <c r="B448" s="1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7"/>
      <c r="AB448" s="17"/>
      <c r="AC448" s="17"/>
      <c r="AD448" s="17"/>
      <c r="AE448" s="17"/>
      <c r="AF448" s="14"/>
      <c r="AG448" s="14"/>
      <c r="AH448" s="14"/>
      <c r="AI448" s="14"/>
      <c r="AJ448" s="14"/>
      <c r="AK448" s="15"/>
    </row>
    <row r="449" spans="1:37" ht="15.75" customHeight="1" x14ac:dyDescent="0.25">
      <c r="A449" s="13"/>
      <c r="B449" s="1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7"/>
      <c r="AB449" s="17"/>
      <c r="AC449" s="17"/>
      <c r="AD449" s="17"/>
      <c r="AE449" s="17"/>
      <c r="AF449" s="14"/>
      <c r="AG449" s="14"/>
      <c r="AH449" s="14"/>
      <c r="AI449" s="14"/>
      <c r="AJ449" s="14"/>
      <c r="AK449" s="15"/>
    </row>
    <row r="450" spans="1:37" ht="15.75" customHeight="1" x14ac:dyDescent="0.25">
      <c r="A450" s="13"/>
      <c r="B450" s="1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7"/>
      <c r="AB450" s="17"/>
      <c r="AC450" s="17"/>
      <c r="AD450" s="17"/>
      <c r="AE450" s="17"/>
      <c r="AF450" s="14"/>
      <c r="AG450" s="14"/>
      <c r="AH450" s="14"/>
      <c r="AI450" s="14"/>
      <c r="AJ450" s="14"/>
      <c r="AK450" s="15"/>
    </row>
    <row r="451" spans="1:37" ht="15.75" customHeight="1" x14ac:dyDescent="0.25">
      <c r="A451" s="13"/>
      <c r="B451" s="1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7"/>
      <c r="AB451" s="17"/>
      <c r="AC451" s="17"/>
      <c r="AD451" s="17"/>
      <c r="AE451" s="17"/>
      <c r="AF451" s="14"/>
      <c r="AG451" s="14"/>
      <c r="AH451" s="14"/>
      <c r="AI451" s="14"/>
      <c r="AJ451" s="14"/>
      <c r="AK451" s="15"/>
    </row>
    <row r="452" spans="1:37" ht="15.75" customHeight="1" x14ac:dyDescent="0.25">
      <c r="A452" s="13"/>
      <c r="B452" s="1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7"/>
      <c r="AB452" s="17"/>
      <c r="AC452" s="17"/>
      <c r="AD452" s="17"/>
      <c r="AE452" s="17"/>
      <c r="AF452" s="14"/>
      <c r="AG452" s="14"/>
      <c r="AH452" s="14"/>
      <c r="AI452" s="14"/>
      <c r="AJ452" s="14"/>
      <c r="AK452" s="15"/>
    </row>
    <row r="453" spans="1:37" ht="15.75" customHeight="1" x14ac:dyDescent="0.25">
      <c r="A453" s="13"/>
      <c r="B453" s="1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7"/>
      <c r="AB453" s="17"/>
      <c r="AC453" s="17"/>
      <c r="AD453" s="17"/>
      <c r="AE453" s="17"/>
      <c r="AF453" s="14"/>
      <c r="AG453" s="14"/>
      <c r="AH453" s="14"/>
      <c r="AI453" s="14"/>
      <c r="AJ453" s="14"/>
      <c r="AK453" s="15"/>
    </row>
    <row r="454" spans="1:37" ht="15.75" customHeight="1" x14ac:dyDescent="0.25">
      <c r="A454" s="13"/>
      <c r="B454" s="1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7"/>
      <c r="AB454" s="17"/>
      <c r="AC454" s="17"/>
      <c r="AD454" s="17"/>
      <c r="AE454" s="17"/>
      <c r="AF454" s="14"/>
      <c r="AG454" s="14"/>
      <c r="AH454" s="14"/>
      <c r="AI454" s="14"/>
      <c r="AJ454" s="14"/>
      <c r="AK454" s="15"/>
    </row>
    <row r="455" spans="1:37" ht="15.75" customHeight="1" x14ac:dyDescent="0.25">
      <c r="A455" s="13"/>
      <c r="B455" s="1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7"/>
      <c r="AB455" s="17"/>
      <c r="AC455" s="17"/>
      <c r="AD455" s="17"/>
      <c r="AE455" s="17"/>
      <c r="AF455" s="14"/>
      <c r="AG455" s="14"/>
      <c r="AH455" s="14"/>
      <c r="AI455" s="14"/>
      <c r="AJ455" s="14"/>
      <c r="AK455" s="15"/>
    </row>
    <row r="456" spans="1:37" ht="15.75" customHeight="1" x14ac:dyDescent="0.25">
      <c r="A456" s="13"/>
      <c r="B456" s="1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7"/>
      <c r="AB456" s="17"/>
      <c r="AC456" s="17"/>
      <c r="AD456" s="17"/>
      <c r="AE456" s="17"/>
      <c r="AF456" s="14"/>
      <c r="AG456" s="14"/>
      <c r="AH456" s="14"/>
      <c r="AI456" s="14"/>
      <c r="AJ456" s="14"/>
      <c r="AK456" s="15"/>
    </row>
    <row r="457" spans="1:37" ht="15.75" customHeight="1" x14ac:dyDescent="0.25">
      <c r="A457" s="13"/>
      <c r="B457" s="1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7"/>
      <c r="AB457" s="17"/>
      <c r="AC457" s="17"/>
      <c r="AD457" s="17"/>
      <c r="AE457" s="17"/>
      <c r="AF457" s="14"/>
      <c r="AG457" s="14"/>
      <c r="AH457" s="14"/>
      <c r="AI457" s="14"/>
      <c r="AJ457" s="14"/>
      <c r="AK457" s="15"/>
    </row>
    <row r="458" spans="1:37" ht="15.75" customHeight="1" x14ac:dyDescent="0.25">
      <c r="A458" s="13"/>
      <c r="B458" s="1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7"/>
      <c r="AB458" s="17"/>
      <c r="AC458" s="17"/>
      <c r="AD458" s="17"/>
      <c r="AE458" s="17"/>
      <c r="AF458" s="14"/>
      <c r="AG458" s="14"/>
      <c r="AH458" s="14"/>
      <c r="AI458" s="14"/>
      <c r="AJ458" s="14"/>
      <c r="AK458" s="15"/>
    </row>
    <row r="459" spans="1:37" ht="15.75" customHeight="1" x14ac:dyDescent="0.25">
      <c r="A459" s="13"/>
      <c r="B459" s="1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7"/>
      <c r="AB459" s="17"/>
      <c r="AC459" s="17"/>
      <c r="AD459" s="17"/>
      <c r="AE459" s="17"/>
      <c r="AF459" s="14"/>
      <c r="AG459" s="14"/>
      <c r="AH459" s="14"/>
      <c r="AI459" s="14"/>
      <c r="AJ459" s="14"/>
      <c r="AK459" s="15"/>
    </row>
    <row r="460" spans="1:37" ht="15.75" customHeight="1" x14ac:dyDescent="0.25">
      <c r="A460" s="13"/>
      <c r="B460" s="1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7"/>
      <c r="AB460" s="17"/>
      <c r="AC460" s="17"/>
      <c r="AD460" s="17"/>
      <c r="AE460" s="17"/>
      <c r="AF460" s="14"/>
      <c r="AG460" s="14"/>
      <c r="AH460" s="14"/>
      <c r="AI460" s="14"/>
      <c r="AJ460" s="14"/>
      <c r="AK460" s="15"/>
    </row>
    <row r="461" spans="1:37" ht="15.75" customHeight="1" x14ac:dyDescent="0.25">
      <c r="A461" s="13"/>
      <c r="B461" s="1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7"/>
      <c r="AB461" s="17"/>
      <c r="AC461" s="17"/>
      <c r="AD461" s="17"/>
      <c r="AE461" s="17"/>
      <c r="AF461" s="14"/>
      <c r="AG461" s="14"/>
      <c r="AH461" s="14"/>
      <c r="AI461" s="14"/>
      <c r="AJ461" s="14"/>
      <c r="AK461" s="15"/>
    </row>
    <row r="462" spans="1:37" ht="15.75" customHeight="1" x14ac:dyDescent="0.25">
      <c r="A462" s="13"/>
      <c r="B462" s="1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7"/>
      <c r="AB462" s="17"/>
      <c r="AC462" s="17"/>
      <c r="AD462" s="17"/>
      <c r="AE462" s="17"/>
      <c r="AF462" s="14"/>
      <c r="AG462" s="14"/>
      <c r="AH462" s="14"/>
      <c r="AI462" s="14"/>
      <c r="AJ462" s="14"/>
      <c r="AK462" s="15"/>
    </row>
    <row r="463" spans="1:37" ht="15.75" customHeight="1" x14ac:dyDescent="0.25">
      <c r="A463" s="13"/>
      <c r="B463" s="1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7"/>
      <c r="AB463" s="17"/>
      <c r="AC463" s="17"/>
      <c r="AD463" s="17"/>
      <c r="AE463" s="17"/>
      <c r="AF463" s="14"/>
      <c r="AG463" s="14"/>
      <c r="AH463" s="14"/>
      <c r="AI463" s="14"/>
      <c r="AJ463" s="14"/>
      <c r="AK463" s="15"/>
    </row>
    <row r="464" spans="1:37" ht="15.75" customHeight="1" x14ac:dyDescent="0.25">
      <c r="A464" s="13"/>
      <c r="B464" s="1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7"/>
      <c r="AB464" s="17"/>
      <c r="AC464" s="17"/>
      <c r="AD464" s="17"/>
      <c r="AE464" s="17"/>
      <c r="AF464" s="14"/>
      <c r="AG464" s="14"/>
      <c r="AH464" s="14"/>
      <c r="AI464" s="14"/>
      <c r="AJ464" s="14"/>
      <c r="AK464" s="15"/>
    </row>
    <row r="465" spans="1:37" ht="15.75" customHeight="1" x14ac:dyDescent="0.25">
      <c r="A465" s="13"/>
      <c r="B465" s="1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7"/>
      <c r="AB465" s="17"/>
      <c r="AC465" s="17"/>
      <c r="AD465" s="17"/>
      <c r="AE465" s="17"/>
      <c r="AF465" s="14"/>
      <c r="AG465" s="14"/>
      <c r="AH465" s="14"/>
      <c r="AI465" s="14"/>
      <c r="AJ465" s="14"/>
      <c r="AK465" s="15"/>
    </row>
    <row r="466" spans="1:37" ht="15.75" customHeight="1" x14ac:dyDescent="0.25">
      <c r="A466" s="13"/>
      <c r="B466" s="1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7"/>
      <c r="AB466" s="17"/>
      <c r="AC466" s="17"/>
      <c r="AD466" s="17"/>
      <c r="AE466" s="17"/>
      <c r="AF466" s="14"/>
      <c r="AG466" s="14"/>
      <c r="AH466" s="14"/>
      <c r="AI466" s="14"/>
      <c r="AJ466" s="14"/>
      <c r="AK466" s="15"/>
    </row>
    <row r="467" spans="1:37" ht="15.75" customHeight="1" x14ac:dyDescent="0.25">
      <c r="A467" s="13"/>
      <c r="B467" s="1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7"/>
      <c r="AB467" s="17"/>
      <c r="AC467" s="17"/>
      <c r="AD467" s="17"/>
      <c r="AE467" s="17"/>
      <c r="AF467" s="14"/>
      <c r="AG467" s="14"/>
      <c r="AH467" s="14"/>
      <c r="AI467" s="14"/>
      <c r="AJ467" s="14"/>
      <c r="AK467" s="15"/>
    </row>
    <row r="468" spans="1:37" ht="15.75" customHeight="1" x14ac:dyDescent="0.25">
      <c r="A468" s="13"/>
      <c r="B468" s="1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7"/>
      <c r="AB468" s="17"/>
      <c r="AC468" s="17"/>
      <c r="AD468" s="17"/>
      <c r="AE468" s="17"/>
      <c r="AF468" s="14"/>
      <c r="AG468" s="14"/>
      <c r="AH468" s="14"/>
      <c r="AI468" s="14"/>
      <c r="AJ468" s="14"/>
      <c r="AK468" s="15"/>
    </row>
    <row r="469" spans="1:37" ht="15.75" customHeight="1" x14ac:dyDescent="0.25">
      <c r="A469" s="13"/>
      <c r="B469" s="1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7"/>
      <c r="AB469" s="17"/>
      <c r="AC469" s="17"/>
      <c r="AD469" s="17"/>
      <c r="AE469" s="17"/>
      <c r="AF469" s="14"/>
      <c r="AG469" s="14"/>
      <c r="AH469" s="14"/>
      <c r="AI469" s="14"/>
      <c r="AJ469" s="14"/>
      <c r="AK469" s="15"/>
    </row>
    <row r="470" spans="1:37" ht="15.75" customHeight="1" x14ac:dyDescent="0.25">
      <c r="A470" s="13"/>
      <c r="B470" s="1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7"/>
      <c r="AB470" s="17"/>
      <c r="AC470" s="17"/>
      <c r="AD470" s="17"/>
      <c r="AE470" s="17"/>
      <c r="AF470" s="14"/>
      <c r="AG470" s="14"/>
      <c r="AH470" s="14"/>
      <c r="AI470" s="14"/>
      <c r="AJ470" s="14"/>
      <c r="AK470" s="15"/>
    </row>
    <row r="471" spans="1:37" ht="15.75" customHeight="1" x14ac:dyDescent="0.25">
      <c r="A471" s="13"/>
      <c r="B471" s="1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7"/>
      <c r="AB471" s="17"/>
      <c r="AC471" s="17"/>
      <c r="AD471" s="17"/>
      <c r="AE471" s="17"/>
      <c r="AF471" s="14"/>
      <c r="AG471" s="14"/>
      <c r="AH471" s="14"/>
      <c r="AI471" s="14"/>
      <c r="AJ471" s="14"/>
      <c r="AK471" s="15"/>
    </row>
    <row r="472" spans="1:37" ht="15.75" customHeight="1" x14ac:dyDescent="0.25">
      <c r="A472" s="13"/>
      <c r="B472" s="1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7"/>
      <c r="AB472" s="17"/>
      <c r="AC472" s="17"/>
      <c r="AD472" s="17"/>
      <c r="AE472" s="17"/>
      <c r="AF472" s="14"/>
      <c r="AG472" s="14"/>
      <c r="AH472" s="14"/>
      <c r="AI472" s="14"/>
      <c r="AJ472" s="14"/>
      <c r="AK472" s="15"/>
    </row>
    <row r="473" spans="1:37" ht="15.75" customHeight="1" x14ac:dyDescent="0.25">
      <c r="A473" s="13"/>
      <c r="B473" s="1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7"/>
      <c r="AB473" s="17"/>
      <c r="AC473" s="17"/>
      <c r="AD473" s="17"/>
      <c r="AE473" s="17"/>
      <c r="AF473" s="14"/>
      <c r="AG473" s="14"/>
      <c r="AH473" s="14"/>
      <c r="AI473" s="14"/>
      <c r="AJ473" s="14"/>
      <c r="AK473" s="15"/>
    </row>
    <row r="474" spans="1:37" ht="15.75" customHeight="1" x14ac:dyDescent="0.25">
      <c r="A474" s="13"/>
      <c r="B474" s="1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7"/>
      <c r="AB474" s="17"/>
      <c r="AC474" s="17"/>
      <c r="AD474" s="17"/>
      <c r="AE474" s="17"/>
      <c r="AF474" s="14"/>
      <c r="AG474" s="14"/>
      <c r="AH474" s="14"/>
      <c r="AI474" s="14"/>
      <c r="AJ474" s="14"/>
      <c r="AK474" s="15"/>
    </row>
    <row r="475" spans="1:37" ht="15.75" customHeight="1" x14ac:dyDescent="0.25">
      <c r="A475" s="13"/>
      <c r="B475" s="1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7"/>
      <c r="AB475" s="17"/>
      <c r="AC475" s="17"/>
      <c r="AD475" s="17"/>
      <c r="AE475" s="17"/>
      <c r="AF475" s="14"/>
      <c r="AG475" s="14"/>
      <c r="AH475" s="14"/>
      <c r="AI475" s="14"/>
      <c r="AJ475" s="14"/>
      <c r="AK475" s="15"/>
    </row>
    <row r="476" spans="1:37" ht="15.75" customHeight="1" x14ac:dyDescent="0.25">
      <c r="A476" s="13"/>
      <c r="B476" s="1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7"/>
      <c r="AB476" s="17"/>
      <c r="AC476" s="17"/>
      <c r="AD476" s="17"/>
      <c r="AE476" s="17"/>
      <c r="AF476" s="14"/>
      <c r="AG476" s="14"/>
      <c r="AH476" s="14"/>
      <c r="AI476" s="14"/>
      <c r="AJ476" s="14"/>
      <c r="AK476" s="15"/>
    </row>
    <row r="477" spans="1:37" ht="15.75" customHeight="1" x14ac:dyDescent="0.25">
      <c r="A477" s="13"/>
      <c r="B477" s="1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7"/>
      <c r="AB477" s="17"/>
      <c r="AC477" s="17"/>
      <c r="AD477" s="17"/>
      <c r="AE477" s="17"/>
      <c r="AF477" s="14"/>
      <c r="AG477" s="14"/>
      <c r="AH477" s="14"/>
      <c r="AI477" s="14"/>
      <c r="AJ477" s="14"/>
      <c r="AK477" s="15"/>
    </row>
    <row r="478" spans="1:37" ht="15.75" customHeight="1" x14ac:dyDescent="0.25">
      <c r="A478" s="13"/>
      <c r="B478" s="1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7"/>
      <c r="AB478" s="17"/>
      <c r="AC478" s="17"/>
      <c r="AD478" s="17"/>
      <c r="AE478" s="17"/>
      <c r="AF478" s="14"/>
      <c r="AG478" s="14"/>
      <c r="AH478" s="14"/>
      <c r="AI478" s="14"/>
      <c r="AJ478" s="14"/>
      <c r="AK478" s="15"/>
    </row>
    <row r="479" spans="1:37" ht="15.75" customHeight="1" x14ac:dyDescent="0.25">
      <c r="A479" s="13"/>
      <c r="B479" s="1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7"/>
      <c r="AB479" s="17"/>
      <c r="AC479" s="17"/>
      <c r="AD479" s="17"/>
      <c r="AE479" s="17"/>
      <c r="AF479" s="14"/>
      <c r="AG479" s="14"/>
      <c r="AH479" s="14"/>
      <c r="AI479" s="14"/>
      <c r="AJ479" s="14"/>
      <c r="AK479" s="15"/>
    </row>
    <row r="480" spans="1:37" ht="15.75" customHeight="1" x14ac:dyDescent="0.25">
      <c r="A480" s="13"/>
      <c r="B480" s="1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7"/>
      <c r="AB480" s="17"/>
      <c r="AC480" s="17"/>
      <c r="AD480" s="17"/>
      <c r="AE480" s="17"/>
      <c r="AF480" s="14"/>
      <c r="AG480" s="14"/>
      <c r="AH480" s="14"/>
      <c r="AI480" s="14"/>
      <c r="AJ480" s="14"/>
      <c r="AK480" s="15"/>
    </row>
    <row r="481" spans="1:37" ht="15.75" customHeight="1" x14ac:dyDescent="0.25">
      <c r="A481" s="13"/>
      <c r="B481" s="1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7"/>
      <c r="AB481" s="17"/>
      <c r="AC481" s="17"/>
      <c r="AD481" s="17"/>
      <c r="AE481" s="17"/>
      <c r="AF481" s="14"/>
      <c r="AG481" s="14"/>
      <c r="AH481" s="14"/>
      <c r="AI481" s="14"/>
      <c r="AJ481" s="14"/>
      <c r="AK481" s="15"/>
    </row>
    <row r="482" spans="1:37" ht="15.75" customHeight="1" x14ac:dyDescent="0.25">
      <c r="A482" s="13"/>
      <c r="B482" s="1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7"/>
      <c r="AB482" s="17"/>
      <c r="AC482" s="17"/>
      <c r="AD482" s="17"/>
      <c r="AE482" s="17"/>
      <c r="AF482" s="14"/>
      <c r="AG482" s="14"/>
      <c r="AH482" s="14"/>
      <c r="AI482" s="14"/>
      <c r="AJ482" s="14"/>
      <c r="AK482" s="15"/>
    </row>
    <row r="483" spans="1:37" ht="15.75" customHeight="1" x14ac:dyDescent="0.25">
      <c r="A483" s="13"/>
      <c r="B483" s="1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7"/>
      <c r="AB483" s="17"/>
      <c r="AC483" s="17"/>
      <c r="AD483" s="17"/>
      <c r="AE483" s="17"/>
      <c r="AF483" s="14"/>
      <c r="AG483" s="14"/>
      <c r="AH483" s="14"/>
      <c r="AI483" s="14"/>
      <c r="AJ483" s="14"/>
      <c r="AK483" s="15"/>
    </row>
    <row r="484" spans="1:37" ht="15.75" customHeight="1" x14ac:dyDescent="0.25">
      <c r="A484" s="13"/>
      <c r="B484" s="1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7"/>
      <c r="AB484" s="17"/>
      <c r="AC484" s="17"/>
      <c r="AD484" s="17"/>
      <c r="AE484" s="17"/>
      <c r="AF484" s="14"/>
      <c r="AG484" s="14"/>
      <c r="AH484" s="14"/>
      <c r="AI484" s="14"/>
      <c r="AJ484" s="14"/>
      <c r="AK484" s="15"/>
    </row>
    <row r="485" spans="1:37" ht="15.75" customHeight="1" x14ac:dyDescent="0.25">
      <c r="A485" s="13"/>
      <c r="B485" s="1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7"/>
      <c r="AB485" s="17"/>
      <c r="AC485" s="17"/>
      <c r="AD485" s="17"/>
      <c r="AE485" s="17"/>
      <c r="AF485" s="14"/>
      <c r="AG485" s="14"/>
      <c r="AH485" s="14"/>
      <c r="AI485" s="14"/>
      <c r="AJ485" s="14"/>
      <c r="AK485" s="15"/>
    </row>
    <row r="486" spans="1:37" ht="15.75" customHeight="1" x14ac:dyDescent="0.25">
      <c r="A486" s="13"/>
      <c r="B486" s="1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7"/>
      <c r="AB486" s="17"/>
      <c r="AC486" s="17"/>
      <c r="AD486" s="17"/>
      <c r="AE486" s="17"/>
      <c r="AF486" s="14"/>
      <c r="AG486" s="14"/>
      <c r="AH486" s="14"/>
      <c r="AI486" s="14"/>
      <c r="AJ486" s="14"/>
      <c r="AK486" s="15"/>
    </row>
    <row r="487" spans="1:37" ht="15.75" customHeight="1" x14ac:dyDescent="0.25">
      <c r="A487" s="13"/>
      <c r="B487" s="1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7"/>
      <c r="AB487" s="17"/>
      <c r="AC487" s="17"/>
      <c r="AD487" s="17"/>
      <c r="AE487" s="17"/>
      <c r="AF487" s="14"/>
      <c r="AG487" s="14"/>
      <c r="AH487" s="14"/>
      <c r="AI487" s="14"/>
      <c r="AJ487" s="14"/>
      <c r="AK487" s="15"/>
    </row>
    <row r="488" spans="1:37" ht="15.75" customHeight="1" x14ac:dyDescent="0.25">
      <c r="A488" s="13"/>
      <c r="B488" s="1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7"/>
      <c r="AB488" s="17"/>
      <c r="AC488" s="17"/>
      <c r="AD488" s="17"/>
      <c r="AE488" s="17"/>
      <c r="AF488" s="14"/>
      <c r="AG488" s="14"/>
      <c r="AH488" s="14"/>
      <c r="AI488" s="14"/>
      <c r="AJ488" s="14"/>
      <c r="AK488" s="15"/>
    </row>
    <row r="489" spans="1:37" ht="15.75" customHeight="1" x14ac:dyDescent="0.25">
      <c r="A489" s="13"/>
      <c r="B489" s="1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7"/>
      <c r="AB489" s="17"/>
      <c r="AC489" s="17"/>
      <c r="AD489" s="17"/>
      <c r="AE489" s="17"/>
      <c r="AF489" s="14"/>
      <c r="AG489" s="14"/>
      <c r="AH489" s="14"/>
      <c r="AI489" s="14"/>
      <c r="AJ489" s="14"/>
      <c r="AK489" s="15"/>
    </row>
    <row r="490" spans="1:37" ht="15.75" customHeight="1" x14ac:dyDescent="0.25">
      <c r="A490" s="13"/>
      <c r="B490" s="1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7"/>
      <c r="AB490" s="17"/>
      <c r="AC490" s="17"/>
      <c r="AD490" s="17"/>
      <c r="AE490" s="17"/>
      <c r="AF490" s="14"/>
      <c r="AG490" s="14"/>
      <c r="AH490" s="14"/>
      <c r="AI490" s="14"/>
      <c r="AJ490" s="14"/>
      <c r="AK490" s="15"/>
    </row>
    <row r="491" spans="1:37" ht="15.75" customHeight="1" x14ac:dyDescent="0.25">
      <c r="A491" s="13"/>
      <c r="B491" s="1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7"/>
      <c r="AB491" s="17"/>
      <c r="AC491" s="17"/>
      <c r="AD491" s="17"/>
      <c r="AE491" s="17"/>
      <c r="AF491" s="14"/>
      <c r="AG491" s="14"/>
      <c r="AH491" s="14"/>
      <c r="AI491" s="14"/>
      <c r="AJ491" s="14"/>
      <c r="AK491" s="15"/>
    </row>
    <row r="492" spans="1:37" ht="15.75" customHeight="1" x14ac:dyDescent="0.25">
      <c r="A492" s="13"/>
      <c r="B492" s="1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7"/>
      <c r="AB492" s="17"/>
      <c r="AC492" s="17"/>
      <c r="AD492" s="17"/>
      <c r="AE492" s="17"/>
      <c r="AF492" s="14"/>
      <c r="AG492" s="14"/>
      <c r="AH492" s="14"/>
      <c r="AI492" s="14"/>
      <c r="AJ492" s="14"/>
      <c r="AK492" s="15"/>
    </row>
    <row r="493" spans="1:37" ht="15.75" customHeight="1" x14ac:dyDescent="0.25">
      <c r="A493" s="13"/>
      <c r="B493" s="1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7"/>
      <c r="AB493" s="17"/>
      <c r="AC493" s="17"/>
      <c r="AD493" s="17"/>
      <c r="AE493" s="17"/>
      <c r="AF493" s="14"/>
      <c r="AG493" s="14"/>
      <c r="AH493" s="14"/>
      <c r="AI493" s="14"/>
      <c r="AJ493" s="14"/>
      <c r="AK493" s="15"/>
    </row>
    <row r="494" spans="1:37" ht="15.75" customHeight="1" x14ac:dyDescent="0.25">
      <c r="A494" s="13"/>
      <c r="B494" s="1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7"/>
      <c r="AB494" s="17"/>
      <c r="AC494" s="17"/>
      <c r="AD494" s="17"/>
      <c r="AE494" s="17"/>
      <c r="AF494" s="14"/>
      <c r="AG494" s="14"/>
      <c r="AH494" s="14"/>
      <c r="AI494" s="14"/>
      <c r="AJ494" s="14"/>
      <c r="AK494" s="15"/>
    </row>
    <row r="495" spans="1:37" ht="15.75" customHeight="1" x14ac:dyDescent="0.25">
      <c r="A495" s="13"/>
      <c r="B495" s="1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7"/>
      <c r="AB495" s="17"/>
      <c r="AC495" s="17"/>
      <c r="AD495" s="17"/>
      <c r="AE495" s="17"/>
      <c r="AF495" s="14"/>
      <c r="AG495" s="14"/>
      <c r="AH495" s="14"/>
      <c r="AI495" s="14"/>
      <c r="AJ495" s="14"/>
      <c r="AK495" s="15"/>
    </row>
    <row r="496" spans="1:37" ht="15.75" customHeight="1" x14ac:dyDescent="0.25">
      <c r="A496" s="13"/>
      <c r="B496" s="1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7"/>
      <c r="AB496" s="17"/>
      <c r="AC496" s="17"/>
      <c r="AD496" s="17"/>
      <c r="AE496" s="17"/>
      <c r="AF496" s="14"/>
      <c r="AG496" s="14"/>
      <c r="AH496" s="14"/>
      <c r="AI496" s="14"/>
      <c r="AJ496" s="14"/>
      <c r="AK496" s="15"/>
    </row>
    <row r="497" spans="1:37" ht="15.75" customHeight="1" x14ac:dyDescent="0.25">
      <c r="A497" s="13"/>
      <c r="B497" s="1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7"/>
      <c r="AB497" s="17"/>
      <c r="AC497" s="17"/>
      <c r="AD497" s="17"/>
      <c r="AE497" s="17"/>
      <c r="AF497" s="14"/>
      <c r="AG497" s="14"/>
      <c r="AH497" s="14"/>
      <c r="AI497" s="14"/>
      <c r="AJ497" s="14"/>
      <c r="AK497" s="15"/>
    </row>
    <row r="498" spans="1:37" ht="15.75" customHeight="1" x14ac:dyDescent="0.25">
      <c r="A498" s="13"/>
      <c r="B498" s="1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7"/>
      <c r="AB498" s="17"/>
      <c r="AC498" s="17"/>
      <c r="AD498" s="17"/>
      <c r="AE498" s="17"/>
      <c r="AF498" s="14"/>
      <c r="AG498" s="14"/>
      <c r="AH498" s="14"/>
      <c r="AI498" s="14"/>
      <c r="AJ498" s="14"/>
      <c r="AK498" s="15"/>
    </row>
    <row r="499" spans="1:37" ht="15.75" customHeight="1" x14ac:dyDescent="0.25">
      <c r="A499" s="13"/>
      <c r="B499" s="1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7"/>
      <c r="AB499" s="17"/>
      <c r="AC499" s="17"/>
      <c r="AD499" s="17"/>
      <c r="AE499" s="17"/>
      <c r="AF499" s="14"/>
      <c r="AG499" s="14"/>
      <c r="AH499" s="14"/>
      <c r="AI499" s="14"/>
      <c r="AJ499" s="14"/>
      <c r="AK499" s="15"/>
    </row>
    <row r="500" spans="1:37" ht="15.75" customHeight="1" x14ac:dyDescent="0.25">
      <c r="A500" s="13"/>
      <c r="B500" s="1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7"/>
      <c r="AB500" s="17"/>
      <c r="AC500" s="17"/>
      <c r="AD500" s="17"/>
      <c r="AE500" s="17"/>
      <c r="AF500" s="14"/>
      <c r="AG500" s="14"/>
      <c r="AH500" s="14"/>
      <c r="AI500" s="14"/>
      <c r="AJ500" s="14"/>
      <c r="AK500" s="15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58" t="s">
        <v>96</v>
      </c>
      <c r="B1" s="58"/>
      <c r="C1" s="58"/>
      <c r="D1" s="58"/>
      <c r="E1" s="58"/>
      <c r="F1" s="58"/>
      <c r="G1" s="58"/>
      <c r="H1" s="58"/>
    </row>
    <row r="2" spans="1:9" ht="21.75" customHeight="1" x14ac:dyDescent="0.25">
      <c r="A2" s="18" t="s">
        <v>97</v>
      </c>
      <c r="B2" s="18" t="s">
        <v>98</v>
      </c>
      <c r="C2" s="18" t="s">
        <v>99</v>
      </c>
      <c r="D2" s="18" t="s">
        <v>100</v>
      </c>
      <c r="E2" s="18" t="s">
        <v>101</v>
      </c>
      <c r="F2" s="18" t="s">
        <v>102</v>
      </c>
      <c r="G2" s="18" t="s">
        <v>103</v>
      </c>
      <c r="H2" s="18" t="s">
        <v>104</v>
      </c>
      <c r="I2" s="18" t="s">
        <v>105</v>
      </c>
    </row>
    <row r="3" spans="1:9" ht="15.75" customHeight="1" x14ac:dyDescent="0.25">
      <c r="A3" s="19" t="s">
        <v>106</v>
      </c>
      <c r="B3" s="19" t="s">
        <v>107</v>
      </c>
      <c r="C3" s="20">
        <v>46096</v>
      </c>
      <c r="D3" s="20">
        <v>46157</v>
      </c>
      <c r="E3" s="21">
        <f ca="1">IFERROR(D3-TODAY(),"")</f>
        <v>1</v>
      </c>
      <c r="F3" s="22">
        <v>320000</v>
      </c>
      <c r="G3" s="16">
        <v>1197</v>
      </c>
      <c r="H3" s="23">
        <f>IFERROR(F3*G3,0)</f>
        <v>383040000</v>
      </c>
      <c r="I3" s="19" t="s">
        <v>108</v>
      </c>
    </row>
    <row r="4" spans="1:9" ht="15.75" customHeight="1" x14ac:dyDescent="0.25">
      <c r="A4" s="19" t="s">
        <v>109</v>
      </c>
      <c r="B4" s="19" t="s">
        <v>110</v>
      </c>
      <c r="C4" s="20">
        <v>46113</v>
      </c>
      <c r="D4" s="20">
        <v>46172</v>
      </c>
      <c r="E4" s="21">
        <f ca="1">IFERROR(D4-TODAY(),"")</f>
        <v>16</v>
      </c>
      <c r="F4" s="22">
        <v>185000</v>
      </c>
      <c r="G4" s="16">
        <v>1197</v>
      </c>
      <c r="H4" s="23">
        <f>IFERROR(F4*G4,0)</f>
        <v>221445000</v>
      </c>
      <c r="I4" s="19" t="s">
        <v>108</v>
      </c>
    </row>
    <row r="5" spans="1:9" ht="15.75" customHeight="1" x14ac:dyDescent="0.25">
      <c r="A5" s="19" t="s">
        <v>111</v>
      </c>
      <c r="B5" s="19" t="s">
        <v>112</v>
      </c>
      <c r="C5" s="20">
        <v>46122</v>
      </c>
      <c r="D5" s="20">
        <v>46183</v>
      </c>
      <c r="E5" s="21">
        <f ca="1">IFERROR(D5-TODAY(),"")</f>
        <v>27</v>
      </c>
      <c r="F5" s="22">
        <v>240000</v>
      </c>
      <c r="G5" s="16">
        <v>1197</v>
      </c>
      <c r="H5" s="23">
        <f>IFERROR(F5*G5,0)</f>
        <v>287280000</v>
      </c>
      <c r="I5" s="19" t="s">
        <v>108</v>
      </c>
    </row>
    <row r="6" spans="1:9" ht="15.75" customHeight="1" x14ac:dyDescent="0.25">
      <c r="A6" s="19" t="s">
        <v>113</v>
      </c>
      <c r="B6" s="19" t="s">
        <v>114</v>
      </c>
      <c r="C6" s="20">
        <v>46132</v>
      </c>
      <c r="D6" s="20">
        <v>46193</v>
      </c>
      <c r="E6" s="21">
        <f ca="1">IFERROR(D6-TODAY(),"")</f>
        <v>37</v>
      </c>
      <c r="F6" s="22">
        <v>495000</v>
      </c>
      <c r="G6" s="16">
        <v>1197</v>
      </c>
      <c r="H6" s="23">
        <f>IFERROR(F6*G6,0)</f>
        <v>592515000</v>
      </c>
      <c r="I6" s="19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58" t="s">
        <v>115</v>
      </c>
      <c r="B1" s="58"/>
      <c r="C1" s="58"/>
      <c r="D1" s="58"/>
      <c r="E1" s="58"/>
      <c r="F1" s="58"/>
    </row>
    <row r="2" spans="1:6" ht="21.75" customHeight="1" x14ac:dyDescent="0.25">
      <c r="A2" s="18" t="s">
        <v>60</v>
      </c>
      <c r="B2" s="18" t="s">
        <v>116</v>
      </c>
      <c r="C2" s="18" t="s">
        <v>117</v>
      </c>
      <c r="D2" s="18" t="s">
        <v>118</v>
      </c>
      <c r="E2" s="18" t="s">
        <v>119</v>
      </c>
      <c r="F2" s="18" t="s">
        <v>120</v>
      </c>
    </row>
    <row r="3" spans="1:6" ht="15.75" customHeight="1" x14ac:dyDescent="0.25">
      <c r="A3" s="20">
        <v>46140</v>
      </c>
      <c r="B3" s="16">
        <v>1194</v>
      </c>
      <c r="C3" s="22">
        <v>285000</v>
      </c>
      <c r="D3" s="22">
        <v>140000</v>
      </c>
      <c r="E3" s="24">
        <f>C3+D3</f>
        <v>425000</v>
      </c>
      <c r="F3" s="22">
        <v>87000</v>
      </c>
    </row>
    <row r="4" spans="1:6" ht="15.75" customHeight="1" x14ac:dyDescent="0.25">
      <c r="A4" s="20">
        <v>46141</v>
      </c>
      <c r="B4" s="16">
        <v>1196</v>
      </c>
      <c r="C4" s="22">
        <v>268000</v>
      </c>
      <c r="D4" s="22">
        <v>135000</v>
      </c>
      <c r="E4" s="24">
        <f>C4+D4</f>
        <v>403000</v>
      </c>
      <c r="F4" s="22">
        <v>72000</v>
      </c>
    </row>
    <row r="5" spans="1:6" ht="15.75" customHeight="1" x14ac:dyDescent="0.25">
      <c r="A5" s="20">
        <v>46142</v>
      </c>
      <c r="B5" s="16">
        <v>1197</v>
      </c>
      <c r="C5" s="22">
        <v>301000</v>
      </c>
      <c r="D5" s="22">
        <v>148000</v>
      </c>
      <c r="E5" s="24">
        <f>C5+D5</f>
        <v>449000</v>
      </c>
      <c r="F5" s="22">
        <v>95000</v>
      </c>
    </row>
    <row r="6" spans="1:6" ht="15.75" customHeight="1" x14ac:dyDescent="0.25">
      <c r="A6" s="20">
        <v>46144</v>
      </c>
      <c r="B6" s="16">
        <v>1198.5</v>
      </c>
      <c r="C6" s="22">
        <v>275000</v>
      </c>
      <c r="D6" s="22">
        <v>128000</v>
      </c>
      <c r="E6" s="24">
        <f>C6+D6</f>
        <v>403000</v>
      </c>
      <c r="F6" s="22">
        <v>68000</v>
      </c>
    </row>
    <row r="7" spans="1:6" ht="15.75" customHeight="1" x14ac:dyDescent="0.25">
      <c r="A7" s="20">
        <v>46147</v>
      </c>
      <c r="B7" s="16">
        <v>1197</v>
      </c>
      <c r="C7" s="22">
        <v>285000</v>
      </c>
      <c r="D7" s="22">
        <v>140000</v>
      </c>
      <c r="E7" s="24">
        <f>C7+D7</f>
        <v>425000</v>
      </c>
      <c r="F7" s="22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58" t="s">
        <v>121</v>
      </c>
      <c r="B1" s="58"/>
      <c r="C1" s="58"/>
      <c r="D1" s="58"/>
      <c r="E1" s="58"/>
      <c r="F1" s="58"/>
      <c r="G1" s="58"/>
    </row>
    <row r="2" spans="1:7" ht="15.75" customHeight="1" x14ac:dyDescent="0.25">
      <c r="A2" s="66" t="s">
        <v>122</v>
      </c>
      <c r="B2" s="66"/>
      <c r="C2" s="66"/>
      <c r="D2" s="66"/>
      <c r="E2" s="66"/>
      <c r="F2" s="66"/>
      <c r="G2" s="66"/>
    </row>
    <row r="3" spans="1:7" ht="21.75" customHeight="1" x14ac:dyDescent="0.25">
      <c r="A3" s="18" t="s">
        <v>60</v>
      </c>
      <c r="B3" s="18" t="s">
        <v>123</v>
      </c>
      <c r="C3" s="18" t="s">
        <v>124</v>
      </c>
      <c r="D3" s="18" t="s">
        <v>125</v>
      </c>
      <c r="E3" s="18" t="s">
        <v>126</v>
      </c>
      <c r="F3" s="18" t="s">
        <v>102</v>
      </c>
      <c r="G3" s="18" t="s">
        <v>105</v>
      </c>
    </row>
    <row r="4" spans="1:7" ht="15.75" customHeight="1" x14ac:dyDescent="0.25">
      <c r="A4" s="13">
        <v>46148</v>
      </c>
      <c r="B4" s="25" t="s">
        <v>127</v>
      </c>
      <c r="C4" s="26" t="s">
        <v>128</v>
      </c>
      <c r="D4" s="14">
        <v>42000000</v>
      </c>
      <c r="E4" s="27">
        <v>1197</v>
      </c>
      <c r="F4" s="28">
        <f t="shared" ref="F4:F12" si="0">IFERROR(D4/E4,0)</f>
        <v>35087.719298245611</v>
      </c>
      <c r="G4" s="15" t="s">
        <v>108</v>
      </c>
    </row>
    <row r="5" spans="1:7" ht="15.75" customHeight="1" x14ac:dyDescent="0.25">
      <c r="A5" s="13">
        <v>46149</v>
      </c>
      <c r="B5" s="29" t="s">
        <v>129</v>
      </c>
      <c r="C5" s="26" t="s">
        <v>130</v>
      </c>
      <c r="D5" s="14">
        <v>87000000</v>
      </c>
      <c r="E5" s="27">
        <v>1197</v>
      </c>
      <c r="F5" s="30">
        <f t="shared" si="0"/>
        <v>72681.704260651633</v>
      </c>
      <c r="G5" s="15" t="s">
        <v>108</v>
      </c>
    </row>
    <row r="6" spans="1:7" ht="15.75" customHeight="1" x14ac:dyDescent="0.25">
      <c r="A6" s="13">
        <v>46150</v>
      </c>
      <c r="B6" s="25" t="s">
        <v>127</v>
      </c>
      <c r="C6" s="26" t="s">
        <v>131</v>
      </c>
      <c r="D6" s="14">
        <v>65000000</v>
      </c>
      <c r="E6" s="27">
        <v>1197</v>
      </c>
      <c r="F6" s="28">
        <f t="shared" si="0"/>
        <v>54302.422723475356</v>
      </c>
      <c r="G6" s="15" t="s">
        <v>108</v>
      </c>
    </row>
    <row r="7" spans="1:7" ht="15.75" customHeight="1" x14ac:dyDescent="0.25">
      <c r="A7" s="13">
        <v>46151</v>
      </c>
      <c r="B7" s="29" t="s">
        <v>129</v>
      </c>
      <c r="C7" s="26" t="s">
        <v>132</v>
      </c>
      <c r="D7" s="14">
        <v>48500000</v>
      </c>
      <c r="E7" s="27">
        <v>1197</v>
      </c>
      <c r="F7" s="30">
        <f t="shared" si="0"/>
        <v>40517.96157059315</v>
      </c>
      <c r="G7" s="15" t="s">
        <v>108</v>
      </c>
    </row>
    <row r="8" spans="1:7" ht="15.75" customHeight="1" x14ac:dyDescent="0.25">
      <c r="A8" s="13">
        <v>46152</v>
      </c>
      <c r="B8" s="25" t="s">
        <v>127</v>
      </c>
      <c r="C8" s="26" t="s">
        <v>133</v>
      </c>
      <c r="D8" s="14">
        <v>113715000</v>
      </c>
      <c r="E8" s="27">
        <v>1197</v>
      </c>
      <c r="F8" s="28">
        <f t="shared" si="0"/>
        <v>95000</v>
      </c>
      <c r="G8" s="15" t="s">
        <v>108</v>
      </c>
    </row>
    <row r="9" spans="1:7" ht="15.75" customHeight="1" x14ac:dyDescent="0.25">
      <c r="A9" s="13">
        <v>46152</v>
      </c>
      <c r="B9" s="29" t="s">
        <v>129</v>
      </c>
      <c r="C9" s="26" t="s">
        <v>134</v>
      </c>
      <c r="D9" s="14">
        <v>96000000</v>
      </c>
      <c r="E9" s="27">
        <v>1197</v>
      </c>
      <c r="F9" s="30">
        <f t="shared" si="0"/>
        <v>80200.501253132839</v>
      </c>
      <c r="G9" s="15" t="s">
        <v>108</v>
      </c>
    </row>
    <row r="10" spans="1:7" ht="15.75" customHeight="1" x14ac:dyDescent="0.25">
      <c r="A10" s="13">
        <v>46154</v>
      </c>
      <c r="B10" s="29" t="s">
        <v>129</v>
      </c>
      <c r="C10" s="26" t="s">
        <v>135</v>
      </c>
      <c r="D10" s="14">
        <v>23000000</v>
      </c>
      <c r="E10" s="27">
        <v>1197</v>
      </c>
      <c r="F10" s="30">
        <f t="shared" si="0"/>
        <v>19214.703425229742</v>
      </c>
      <c r="G10" s="15" t="s">
        <v>108</v>
      </c>
    </row>
    <row r="11" spans="1:7" ht="15.75" customHeight="1" x14ac:dyDescent="0.25">
      <c r="A11" s="13">
        <v>46157</v>
      </c>
      <c r="B11" s="25" t="s">
        <v>127</v>
      </c>
      <c r="C11" s="26" t="s">
        <v>136</v>
      </c>
      <c r="D11" s="14">
        <v>145000000</v>
      </c>
      <c r="E11" s="27">
        <v>1197</v>
      </c>
      <c r="F11" s="28">
        <f t="shared" si="0"/>
        <v>121136.17376775271</v>
      </c>
      <c r="G11" s="15" t="s">
        <v>108</v>
      </c>
    </row>
    <row r="12" spans="1:7" ht="15.75" customHeight="1" x14ac:dyDescent="0.25">
      <c r="A12" s="13">
        <v>46162</v>
      </c>
      <c r="B12" s="29" t="s">
        <v>129</v>
      </c>
      <c r="C12" s="26" t="s">
        <v>137</v>
      </c>
      <c r="D12" s="14">
        <v>95760000</v>
      </c>
      <c r="E12" s="27">
        <v>1197</v>
      </c>
      <c r="F12" s="30">
        <f t="shared" si="0"/>
        <v>80000</v>
      </c>
      <c r="G12" s="15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A86" sqref="A86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58" t="s">
        <v>138</v>
      </c>
      <c r="B1" s="58"/>
      <c r="C1" s="58"/>
      <c r="D1" s="58"/>
      <c r="E1" s="58"/>
      <c r="F1" s="58"/>
      <c r="G1" s="58"/>
      <c r="H1" s="58"/>
    </row>
    <row r="2" spans="1:8" ht="18" customHeight="1" x14ac:dyDescent="0.25">
      <c r="A2" s="67" t="s">
        <v>139</v>
      </c>
      <c r="B2" s="67"/>
      <c r="C2" s="67"/>
      <c r="D2" s="67"/>
      <c r="E2" s="67"/>
      <c r="F2" s="67"/>
      <c r="G2" s="67"/>
      <c r="H2" s="67"/>
    </row>
    <row r="3" spans="1:8" ht="31.5" customHeight="1" x14ac:dyDescent="0.25">
      <c r="A3" s="18" t="s">
        <v>60</v>
      </c>
      <c r="B3" s="18" t="s">
        <v>116</v>
      </c>
      <c r="C3" s="18" t="s">
        <v>140</v>
      </c>
      <c r="D3" s="18" t="s">
        <v>141</v>
      </c>
      <c r="E3" s="18" t="s">
        <v>142</v>
      </c>
      <c r="F3" s="31" t="s">
        <v>143</v>
      </c>
      <c r="G3" s="31" t="s">
        <v>144</v>
      </c>
      <c r="H3" s="18" t="s">
        <v>145</v>
      </c>
    </row>
    <row r="4" spans="1:8" ht="15.75" customHeight="1" x14ac:dyDescent="0.25">
      <c r="A4" s="32">
        <f>IF(CARGA_DIARIA!A4="","",CARGA_DIARIA!A4)</f>
        <v>46029</v>
      </c>
      <c r="B4" s="33">
        <f>IF(CARGA_DIARIA!A4="","",CARGA_DIARIA!B4)</f>
        <v>1463</v>
      </c>
      <c r="C4" s="34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5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5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6" t="s">
        <v>146</v>
      </c>
      <c r="G4" s="36" t="s">
        <v>146</v>
      </c>
      <c r="H4" s="37">
        <f>IF(CARGA_DIARIA!A4="","",C4-D4-E4)</f>
        <v>2022212.7026657555</v>
      </c>
    </row>
    <row r="5" spans="1:8" ht="15.75" customHeight="1" x14ac:dyDescent="0.25">
      <c r="A5" s="32">
        <f>IF(CARGA_DIARIA!A5="","",CARGA_DIARIA!A5)</f>
        <v>46030</v>
      </c>
      <c r="B5" s="33">
        <f>IF(CARGA_DIARIA!A5="","",CARGA_DIARIA!B5)</f>
        <v>1469</v>
      </c>
      <c r="C5" s="34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5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5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6" t="s">
        <v>146</v>
      </c>
      <c r="G5" s="36" t="s">
        <v>146</v>
      </c>
      <c r="H5" s="37">
        <f>IF(CARGA_DIARIA!A5="","",C5-D5-E5)</f>
        <v>1104020.9305990487</v>
      </c>
    </row>
    <row r="6" spans="1:8" ht="15.75" customHeight="1" x14ac:dyDescent="0.25">
      <c r="A6" s="32">
        <f>IF(CARGA_DIARIA!A6="","",CARGA_DIARIA!A6)</f>
        <v>46031</v>
      </c>
      <c r="B6" s="33">
        <f>IF(CARGA_DIARIA!A6="","",CARGA_DIARIA!B6)</f>
        <v>1455</v>
      </c>
      <c r="C6" s="34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5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5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6" t="s">
        <v>146</v>
      </c>
      <c r="G6" s="36" t="s">
        <v>146</v>
      </c>
      <c r="H6" s="37">
        <f>IF(CARGA_DIARIA!A6="","",C6-D6-E6)</f>
        <v>2839726.9552302416</v>
      </c>
    </row>
    <row r="7" spans="1:8" ht="15.75" customHeight="1" x14ac:dyDescent="0.25">
      <c r="A7" s="32">
        <f>IF(CARGA_DIARIA!A7="","",CARGA_DIARIA!A7)</f>
        <v>46034</v>
      </c>
      <c r="B7" s="33">
        <f>IF(CARGA_DIARIA!A7="","",CARGA_DIARIA!B7)</f>
        <v>1465.5</v>
      </c>
      <c r="C7" s="34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5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5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6" t="s">
        <v>146</v>
      </c>
      <c r="G7" s="36" t="s">
        <v>146</v>
      </c>
      <c r="H7" s="37">
        <f>IF(CARGA_DIARIA!A7="","",C7-D7-E7)</f>
        <v>2507577.1027226225</v>
      </c>
    </row>
    <row r="8" spans="1:8" ht="15.75" customHeight="1" x14ac:dyDescent="0.25">
      <c r="A8" s="32">
        <f>IF(CARGA_DIARIA!A8="","",CARGA_DIARIA!A8)</f>
        <v>46035</v>
      </c>
      <c r="B8" s="33">
        <f>IF(CARGA_DIARIA!A8="","",CARGA_DIARIA!B8)</f>
        <v>1462</v>
      </c>
      <c r="C8" s="34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5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5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6" t="s">
        <v>146</v>
      </c>
      <c r="G8" s="36" t="s">
        <v>146</v>
      </c>
      <c r="H8" s="37">
        <f>IF(CARGA_DIARIA!A8="","",C8-D8-E8)</f>
        <v>3093407.3359781131</v>
      </c>
    </row>
    <row r="9" spans="1:8" ht="19.5" customHeight="1" x14ac:dyDescent="0.25">
      <c r="A9" s="32">
        <f>IF(CARGA_DIARIA!A9="","",CARGA_DIARIA!A9)</f>
        <v>46036</v>
      </c>
      <c r="B9" s="33">
        <f>IF(CARGA_DIARIA!A9="","",CARGA_DIARIA!B9)</f>
        <v>1464.5</v>
      </c>
      <c r="C9" s="34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5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5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8" t="s">
        <v>146</v>
      </c>
      <c r="G9" s="38" t="s">
        <v>146</v>
      </c>
      <c r="H9" s="37">
        <f>IF(CARGA_DIARIA!A9="","",C9-D9-E9)</f>
        <v>2815560.8539672233</v>
      </c>
    </row>
    <row r="10" spans="1:8" ht="15.75" customHeight="1" x14ac:dyDescent="0.25">
      <c r="A10" s="32">
        <f>IF(CARGA_DIARIA!A10="","",CARGA_DIARIA!A10)</f>
        <v>46037</v>
      </c>
      <c r="B10" s="33">
        <f>IF(CARGA_DIARIA!A10="","",CARGA_DIARIA!B10)</f>
        <v>1450</v>
      </c>
      <c r="C10" s="34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5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5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8" t="s">
        <v>146</v>
      </c>
      <c r="G10" s="38" t="s">
        <v>146</v>
      </c>
      <c r="H10" s="37">
        <f>IF(CARGA_DIARIA!A10="","",C10-D10-E10)</f>
        <v>3029261.7688275855</v>
      </c>
    </row>
    <row r="11" spans="1:8" ht="15.75" customHeight="1" x14ac:dyDescent="0.25">
      <c r="A11" s="32">
        <f>IF(CARGA_DIARIA!A11="","",CARGA_DIARIA!A11)</f>
        <v>46038</v>
      </c>
      <c r="B11" s="33">
        <f>IF(CARGA_DIARIA!A11="","",CARGA_DIARIA!B11)</f>
        <v>1440</v>
      </c>
      <c r="C11" s="34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5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5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8" t="s">
        <v>146</v>
      </c>
      <c r="G11" s="38" t="s">
        <v>146</v>
      </c>
      <c r="H11" s="37">
        <f>IF(CARGA_DIARIA!A11="","",C11-D11-E11)</f>
        <v>3978145.2409513909</v>
      </c>
    </row>
    <row r="12" spans="1:8" ht="15.75" customHeight="1" x14ac:dyDescent="0.25">
      <c r="A12" s="32">
        <f>IF(CARGA_DIARIA!A12="","",CARGA_DIARIA!A12)</f>
        <v>46041</v>
      </c>
      <c r="B12" s="33">
        <f>IF(CARGA_DIARIA!A12="","",CARGA_DIARIA!B12)</f>
        <v>1428</v>
      </c>
      <c r="C12" s="34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5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5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8" t="s">
        <v>146</v>
      </c>
      <c r="G12" s="38" t="s">
        <v>146</v>
      </c>
      <c r="H12" s="37">
        <f>IF(CARGA_DIARIA!A12="","",C12-D12-E12)</f>
        <v>5725340.1900560204</v>
      </c>
    </row>
    <row r="13" spans="1:8" ht="15.75" customHeight="1" x14ac:dyDescent="0.25">
      <c r="A13" s="32">
        <f>IF(CARGA_DIARIA!A13="","",CARGA_DIARIA!A13)</f>
        <v>46042</v>
      </c>
      <c r="B13" s="33">
        <f>IF(CARGA_DIARIA!A13="","",CARGA_DIARIA!B13)</f>
        <v>1428.5</v>
      </c>
      <c r="C13" s="34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5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5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8" t="s">
        <v>146</v>
      </c>
      <c r="G13" s="38" t="s">
        <v>146</v>
      </c>
      <c r="H13" s="37">
        <f>IF(CARGA_DIARIA!A13="","",C13-D13-E13)</f>
        <v>5332231.657271089</v>
      </c>
    </row>
    <row r="14" spans="1:8" ht="15.75" customHeight="1" x14ac:dyDescent="0.25">
      <c r="A14" s="32">
        <f>IF(CARGA_DIARIA!A14="","",CARGA_DIARIA!A14)</f>
        <v>46043</v>
      </c>
      <c r="B14" s="33">
        <f>IF(CARGA_DIARIA!A14="","",CARGA_DIARIA!B14)</f>
        <v>1432</v>
      </c>
      <c r="C14" s="34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5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5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8" t="s">
        <v>146</v>
      </c>
      <c r="G14" s="38" t="s">
        <v>146</v>
      </c>
      <c r="H14" s="37">
        <f>IF(CARGA_DIARIA!A14="","",C14-D14-E14)</f>
        <v>5676988.6943296082</v>
      </c>
    </row>
    <row r="15" spans="1:8" ht="15.75" customHeight="1" x14ac:dyDescent="0.25">
      <c r="A15" s="32">
        <f>IF(CARGA_DIARIA!A15="","",CARGA_DIARIA!A15)</f>
        <v>46044</v>
      </c>
      <c r="B15" s="33">
        <f>IF(CARGA_DIARIA!A15="","",CARGA_DIARIA!B15)</f>
        <v>1427</v>
      </c>
      <c r="C15" s="34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5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5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8" t="s">
        <v>146</v>
      </c>
      <c r="G15" s="38" t="s">
        <v>146</v>
      </c>
      <c r="H15" s="37">
        <f>IF(CARGA_DIARIA!A15="","",C15-D15-E15)</f>
        <v>6240611.6957813632</v>
      </c>
    </row>
    <row r="16" spans="1:8" ht="15.75" customHeight="1" x14ac:dyDescent="0.25">
      <c r="A16" s="32">
        <f>IF(CARGA_DIARIA!A16="","",CARGA_DIARIA!A16)</f>
        <v>46045</v>
      </c>
      <c r="B16" s="33">
        <f>IF(CARGA_DIARIA!A16="","",CARGA_DIARIA!B16)</f>
        <v>1421</v>
      </c>
      <c r="C16" s="34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5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5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8" t="s">
        <v>146</v>
      </c>
      <c r="G16" s="38" t="s">
        <v>146</v>
      </c>
      <c r="H16" s="37">
        <f>IF(CARGA_DIARIA!A16="","",C16-D16-E16)</f>
        <v>7138318.9665165376</v>
      </c>
    </row>
    <row r="17" spans="1:8" ht="15.75" customHeight="1" x14ac:dyDescent="0.25">
      <c r="A17" s="32">
        <f>IF(CARGA_DIARIA!A17="","",CARGA_DIARIA!A17)</f>
        <v>46048</v>
      </c>
      <c r="B17" s="33">
        <f>IF(CARGA_DIARIA!A17="","",CARGA_DIARIA!B17)</f>
        <v>1428</v>
      </c>
      <c r="C17" s="34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5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5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8" t="s">
        <v>146</v>
      </c>
      <c r="G17" s="38" t="s">
        <v>146</v>
      </c>
      <c r="H17" s="37">
        <f>IF(CARGA_DIARIA!A17="","",C17-D17-E17)</f>
        <v>8092604.4317086842</v>
      </c>
    </row>
    <row r="18" spans="1:8" ht="15.75" customHeight="1" x14ac:dyDescent="0.25">
      <c r="A18" s="32">
        <f>IF(CARGA_DIARIA!A18="","",CARGA_DIARIA!A18)</f>
        <v>46049</v>
      </c>
      <c r="B18" s="33">
        <f>IF(CARGA_DIARIA!A18="","",CARGA_DIARIA!B18)</f>
        <v>1435</v>
      </c>
      <c r="C18" s="34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5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5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8" t="s">
        <v>146</v>
      </c>
      <c r="G18" s="38" t="s">
        <v>146</v>
      </c>
      <c r="H18" s="37">
        <f>IF(CARGA_DIARIA!A18="","",C18-D18-E18)</f>
        <v>7513249.912333101</v>
      </c>
    </row>
    <row r="19" spans="1:8" ht="15.75" customHeight="1" x14ac:dyDescent="0.25">
      <c r="A19" s="32">
        <f>IF(CARGA_DIARIA!A19="","",CARGA_DIARIA!A19)</f>
        <v>46050</v>
      </c>
      <c r="B19" s="33">
        <f>IF(CARGA_DIARIA!A19="","",CARGA_DIARIA!B19)</f>
        <v>1437</v>
      </c>
      <c r="C19" s="34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5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5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8" t="s">
        <v>146</v>
      </c>
      <c r="G19" s="38" t="s">
        <v>146</v>
      </c>
      <c r="H19" s="37">
        <f>IF(CARGA_DIARIA!A19="","",C19-D19-E19)</f>
        <v>8114158.3859916478</v>
      </c>
    </row>
    <row r="20" spans="1:8" ht="15.75" customHeight="1" x14ac:dyDescent="0.25">
      <c r="A20" s="32">
        <f>IF(CARGA_DIARIA!A20="","",CARGA_DIARIA!A20)</f>
        <v>46051</v>
      </c>
      <c r="B20" s="33">
        <f>IF(CARGA_DIARIA!A20="","",CARGA_DIARIA!B20)</f>
        <v>1437</v>
      </c>
      <c r="C20" s="34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5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5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8" t="s">
        <v>146</v>
      </c>
      <c r="G20" s="38" t="s">
        <v>146</v>
      </c>
      <c r="H20" s="37">
        <f>IF(CARGA_DIARIA!A20="","",C20-D20-E20)</f>
        <v>12450884.631955115</v>
      </c>
    </row>
    <row r="21" spans="1:8" ht="15.75" customHeight="1" x14ac:dyDescent="0.25">
      <c r="A21" s="32">
        <f>IF(CARGA_DIARIA!A21="","",CARGA_DIARIA!A21)</f>
        <v>46052</v>
      </c>
      <c r="B21" s="33">
        <f>IF(CARGA_DIARIA!A21="","",CARGA_DIARIA!B21)</f>
        <v>1443</v>
      </c>
      <c r="C21" s="34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5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5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8" t="s">
        <v>146</v>
      </c>
      <c r="G21" s="38" t="s">
        <v>146</v>
      </c>
      <c r="H21" s="37">
        <f>IF(CARGA_DIARIA!A21="","",C21-D21-E21)</f>
        <v>11549906.623603601</v>
      </c>
    </row>
    <row r="22" spans="1:8" ht="15.75" customHeight="1" x14ac:dyDescent="0.25">
      <c r="A22" s="32">
        <f>IF(CARGA_DIARIA!A22="","",CARGA_DIARIA!A22)</f>
        <v>46055</v>
      </c>
      <c r="B22" s="33">
        <f>IF(CARGA_DIARIA!A22="","",CARGA_DIARIA!B22)</f>
        <v>1444</v>
      </c>
      <c r="C22" s="34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5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5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8" t="s">
        <v>146</v>
      </c>
      <c r="G22" s="38" t="s">
        <v>146</v>
      </c>
      <c r="H22" s="37">
        <f>IF(CARGA_DIARIA!A22="","",C22-D22-E22)</f>
        <v>12745644.168202113</v>
      </c>
    </row>
    <row r="23" spans="1:8" ht="15.75" customHeight="1" x14ac:dyDescent="0.25">
      <c r="A23" s="32">
        <f>IF(CARGA_DIARIA!A23="","",CARGA_DIARIA!A23)</f>
        <v>46056</v>
      </c>
      <c r="B23" s="33">
        <f>IF(CARGA_DIARIA!A23="","",CARGA_DIARIA!B23)</f>
        <v>1447</v>
      </c>
      <c r="C23" s="34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5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5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8" t="s">
        <v>146</v>
      </c>
      <c r="G23" s="38" t="s">
        <v>146</v>
      </c>
      <c r="H23" s="37">
        <f>IF(CARGA_DIARIA!A23="","",C23-D23-E23)</f>
        <v>11214664.150914893</v>
      </c>
    </row>
    <row r="24" spans="1:8" ht="15.75" customHeight="1" x14ac:dyDescent="0.25">
      <c r="A24" s="32">
        <f>IF(CARGA_DIARIA!A24="","",CARGA_DIARIA!A24)</f>
        <v>46057</v>
      </c>
      <c r="B24" s="33">
        <f>IF(CARGA_DIARIA!A24="","",CARGA_DIARIA!B24)</f>
        <v>1444</v>
      </c>
      <c r="C24" s="34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5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5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8" t="s">
        <v>146</v>
      </c>
      <c r="G24" s="38" t="s">
        <v>146</v>
      </c>
      <c r="H24" s="37">
        <f>IF(CARGA_DIARIA!A24="","",C24-D24-E24)</f>
        <v>9013853.5075372905</v>
      </c>
    </row>
    <row r="25" spans="1:8" ht="15.75" customHeight="1" x14ac:dyDescent="0.25">
      <c r="A25" s="32">
        <f>IF(CARGA_DIARIA!A25="","",CARGA_DIARIA!A25)</f>
        <v>46058</v>
      </c>
      <c r="B25" s="33">
        <f>IF(CARGA_DIARIA!A25="","",CARGA_DIARIA!B25)</f>
        <v>1444.5</v>
      </c>
      <c r="C25" s="34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5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5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8" t="s">
        <v>146</v>
      </c>
      <c r="G25" s="38" t="s">
        <v>146</v>
      </c>
      <c r="H25" s="37">
        <f>IF(CARGA_DIARIA!A25="","",C25-D25-E25)</f>
        <v>10723783.512467913</v>
      </c>
    </row>
    <row r="26" spans="1:8" ht="15.75" customHeight="1" x14ac:dyDescent="0.25">
      <c r="A26" s="32">
        <f>IF(CARGA_DIARIA!A26="","",CARGA_DIARIA!A26)</f>
        <v>46059</v>
      </c>
      <c r="B26" s="33">
        <f>IF(CARGA_DIARIA!A26="","",CARGA_DIARIA!B26)</f>
        <v>1444.5</v>
      </c>
      <c r="C26" s="34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5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5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8" t="s">
        <v>146</v>
      </c>
      <c r="G26" s="38" t="s">
        <v>146</v>
      </c>
      <c r="H26" s="37">
        <f>IF(CARGA_DIARIA!A26="","",C26-D26-E26)</f>
        <v>12208352.848381378</v>
      </c>
    </row>
    <row r="27" spans="1:8" ht="15.75" customHeight="1" x14ac:dyDescent="0.25">
      <c r="A27" s="32">
        <f>IF(CARGA_DIARIA!A27="","",CARGA_DIARIA!A27)</f>
        <v>46062</v>
      </c>
      <c r="B27" s="33">
        <f>IF(CARGA_DIARIA!A27="","",CARGA_DIARIA!B27)</f>
        <v>1420</v>
      </c>
      <c r="C27" s="34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5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5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8" t="s">
        <v>146</v>
      </c>
      <c r="G27" s="38" t="s">
        <v>146</v>
      </c>
      <c r="H27" s="37">
        <f>IF(CARGA_DIARIA!A27="","",C27-D27-E27)</f>
        <v>14428136.856430877</v>
      </c>
    </row>
    <row r="28" spans="1:8" ht="15.75" customHeight="1" x14ac:dyDescent="0.25">
      <c r="A28" s="32">
        <f>IF(CARGA_DIARIA!A28="","",CARGA_DIARIA!A28)</f>
        <v>46063</v>
      </c>
      <c r="B28" s="33">
        <f>IF(CARGA_DIARIA!A28="","",CARGA_DIARIA!B28)</f>
        <v>1424</v>
      </c>
      <c r="C28" s="34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5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5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8" t="s">
        <v>146</v>
      </c>
      <c r="G28" s="38" t="s">
        <v>146</v>
      </c>
      <c r="H28" s="37">
        <f>IF(CARGA_DIARIA!A28="","",C28-D28-E28)</f>
        <v>13200091.590193432</v>
      </c>
    </row>
    <row r="29" spans="1:8" ht="15.75" customHeight="1" x14ac:dyDescent="0.25">
      <c r="A29" s="32">
        <f>IF(CARGA_DIARIA!A29="","",CARGA_DIARIA!A29)</f>
        <v>46064</v>
      </c>
      <c r="B29" s="33">
        <f>IF(CARGA_DIARIA!A29="","",CARGA_DIARIA!B29)</f>
        <v>1401</v>
      </c>
      <c r="C29" s="34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5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5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8" t="s">
        <v>146</v>
      </c>
      <c r="G29" s="38" t="s">
        <v>146</v>
      </c>
      <c r="H29" s="37">
        <f>IF(CARGA_DIARIA!A29="","",C29-D29-E29)</f>
        <v>17126335.802834939</v>
      </c>
    </row>
    <row r="30" spans="1:8" ht="15.75" customHeight="1" x14ac:dyDescent="0.25">
      <c r="A30" s="32">
        <f>IF(CARGA_DIARIA!A30="","",CARGA_DIARIA!A30)</f>
        <v>46065</v>
      </c>
      <c r="B30" s="33">
        <f>IF(CARGA_DIARIA!A30="","",CARGA_DIARIA!B30)</f>
        <v>1397</v>
      </c>
      <c r="C30" s="34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5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5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8" t="s">
        <v>146</v>
      </c>
      <c r="G30" s="38" t="s">
        <v>146</v>
      </c>
      <c r="H30" s="37">
        <f>IF(CARGA_DIARIA!A30="","",C30-D30-E30)</f>
        <v>18514420.360084575</v>
      </c>
    </row>
    <row r="31" spans="1:8" ht="15.75" customHeight="1" x14ac:dyDescent="0.25">
      <c r="A31" s="32">
        <f>IF(CARGA_DIARIA!A31="","",CARGA_DIARIA!A31)</f>
        <v>46066</v>
      </c>
      <c r="B31" s="33">
        <f>IF(CARGA_DIARIA!A31="","",CARGA_DIARIA!B31)</f>
        <v>1390</v>
      </c>
      <c r="C31" s="34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5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5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8" t="s">
        <v>146</v>
      </c>
      <c r="G31" s="38" t="s">
        <v>146</v>
      </c>
      <c r="H31" s="37">
        <f>IF(CARGA_DIARIA!A31="","",C31-D31-E31)</f>
        <v>19091373.077658165</v>
      </c>
    </row>
    <row r="32" spans="1:8" ht="15.75" customHeight="1" x14ac:dyDescent="0.25">
      <c r="A32" s="32">
        <f>IF(CARGA_DIARIA!A32="","",CARGA_DIARIA!A32)</f>
        <v>46071</v>
      </c>
      <c r="B32" s="33">
        <f>IF(CARGA_DIARIA!A32="","",CARGA_DIARIA!B32)</f>
        <v>1392</v>
      </c>
      <c r="C32" s="34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5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5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8" t="s">
        <v>146</v>
      </c>
      <c r="G32" s="38" t="s">
        <v>146</v>
      </c>
      <c r="H32" s="37">
        <f>IF(CARGA_DIARIA!A32="","",C32-D32-E32)</f>
        <v>22208310.782843173</v>
      </c>
    </row>
    <row r="33" spans="1:8" ht="15.75" customHeight="1" x14ac:dyDescent="0.25">
      <c r="A33" s="32">
        <f>IF(CARGA_DIARIA!A33="","",CARGA_DIARIA!A33)</f>
        <v>46072</v>
      </c>
      <c r="B33" s="33">
        <f>IF(CARGA_DIARIA!A33="","",CARGA_DIARIA!B33)</f>
        <v>1400</v>
      </c>
      <c r="C33" s="34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5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5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8" t="s">
        <v>146</v>
      </c>
      <c r="G33" s="38" t="s">
        <v>146</v>
      </c>
      <c r="H33" s="37">
        <f>IF(CARGA_DIARIA!A33="","",C33-D33-E33)</f>
        <v>22317010.824115608</v>
      </c>
    </row>
    <row r="34" spans="1:8" ht="15.75" customHeight="1" x14ac:dyDescent="0.25">
      <c r="A34" s="32">
        <f>IF(CARGA_DIARIA!A34="","",CARGA_DIARIA!A34)</f>
        <v>46073</v>
      </c>
      <c r="B34" s="33">
        <f>IF(CARGA_DIARIA!A34="","",CARGA_DIARIA!B34)</f>
        <v>1400</v>
      </c>
      <c r="C34" s="34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5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5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8" t="s">
        <v>146</v>
      </c>
      <c r="G34" s="38" t="s">
        <v>146</v>
      </c>
      <c r="H34" s="37">
        <f>IF(CARGA_DIARIA!A34="","",C34-D34-E34)</f>
        <v>21679717.817937039</v>
      </c>
    </row>
    <row r="35" spans="1:8" ht="15.75" customHeight="1" x14ac:dyDescent="0.25">
      <c r="A35" s="32">
        <f>IF(CARGA_DIARIA!A35="","",CARGA_DIARIA!A35)</f>
        <v>46076</v>
      </c>
      <c r="B35" s="33">
        <f>IF(CARGA_DIARIA!A35="","",CARGA_DIARIA!B35)</f>
        <v>1381</v>
      </c>
      <c r="C35" s="34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5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5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8" t="s">
        <v>146</v>
      </c>
      <c r="G35" s="38" t="s">
        <v>146</v>
      </c>
      <c r="H35" s="37">
        <f>IF(CARGA_DIARIA!A35="","",C35-D35-E35)</f>
        <v>26287582.891807731</v>
      </c>
    </row>
    <row r="36" spans="1:8" ht="15.75" customHeight="1" x14ac:dyDescent="0.25">
      <c r="A36" s="32">
        <f>IF(CARGA_DIARIA!A36="","",CARGA_DIARIA!A36)</f>
        <v>46077</v>
      </c>
      <c r="B36" s="33">
        <f>IF(CARGA_DIARIA!A36="","",CARGA_DIARIA!B36)</f>
        <v>1360.5</v>
      </c>
      <c r="C36" s="34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5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5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8" t="s">
        <v>146</v>
      </c>
      <c r="G36" s="38" t="s">
        <v>146</v>
      </c>
      <c r="H36" s="37">
        <f>IF(CARGA_DIARIA!A36="","",C36-D36-E36)</f>
        <v>27079535.867413267</v>
      </c>
    </row>
    <row r="37" spans="1:8" ht="15.75" customHeight="1" x14ac:dyDescent="0.25">
      <c r="A37" s="32">
        <f>IF(CARGA_DIARIA!A37="","",CARGA_DIARIA!A37)</f>
        <v>46078</v>
      </c>
      <c r="B37" s="33">
        <f>IF(CARGA_DIARIA!A37="","",CARGA_DIARIA!B37)</f>
        <v>1373.5</v>
      </c>
      <c r="C37" s="34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5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5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8" t="s">
        <v>146</v>
      </c>
      <c r="G37" s="38" t="s">
        <v>146</v>
      </c>
      <c r="H37" s="37">
        <f>IF(CARGA_DIARIA!A37="","",C37-D37-E37)</f>
        <v>21449880.460704595</v>
      </c>
    </row>
    <row r="38" spans="1:8" ht="15.75" customHeight="1" x14ac:dyDescent="0.25">
      <c r="A38" s="32">
        <f>IF(CARGA_DIARIA!A38="","",CARGA_DIARIA!A38)</f>
        <v>46079</v>
      </c>
      <c r="B38" s="33">
        <f>IF(CARGA_DIARIA!A38="","",CARGA_DIARIA!B38)</f>
        <v>1383.5</v>
      </c>
      <c r="C38" s="34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5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5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8" t="s">
        <v>146</v>
      </c>
      <c r="G38" s="38" t="s">
        <v>146</v>
      </c>
      <c r="H38" s="37">
        <f>IF(CARGA_DIARIA!A38="","",C38-D38-E38)</f>
        <v>21716652.234856188</v>
      </c>
    </row>
    <row r="39" spans="1:8" ht="15.75" customHeight="1" x14ac:dyDescent="0.25">
      <c r="A39" s="32">
        <f>IF(CARGA_DIARIA!A39="","",CARGA_DIARIA!A39)</f>
        <v>46080</v>
      </c>
      <c r="B39" s="33">
        <f>IF(CARGA_DIARIA!A39="","",CARGA_DIARIA!B39)</f>
        <v>1401</v>
      </c>
      <c r="C39" s="34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5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5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8" t="s">
        <v>146</v>
      </c>
      <c r="G39" s="38" t="s">
        <v>146</v>
      </c>
      <c r="H39" s="37">
        <f>IF(CARGA_DIARIA!A39="","",C39-D39-E39)</f>
        <v>17957095.069332551</v>
      </c>
    </row>
    <row r="40" spans="1:8" ht="15.75" customHeight="1" x14ac:dyDescent="0.25">
      <c r="A40" s="32">
        <f>IF(CARGA_DIARIA!A40="","",CARGA_DIARIA!A40)</f>
        <v>46083</v>
      </c>
      <c r="B40" s="33">
        <f>IF(CARGA_DIARIA!A40="","",CARGA_DIARIA!B40)</f>
        <v>1407</v>
      </c>
      <c r="C40" s="34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5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5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8" t="s">
        <v>146</v>
      </c>
      <c r="G40" s="38" t="s">
        <v>146</v>
      </c>
      <c r="H40" s="37">
        <f>IF(CARGA_DIARIA!A40="","",C40-D40-E40)</f>
        <v>16633283.10577016</v>
      </c>
    </row>
    <row r="41" spans="1:8" ht="15.75" customHeight="1" x14ac:dyDescent="0.25">
      <c r="A41" s="32">
        <f>IF(CARGA_DIARIA!A41="","",CARGA_DIARIA!A41)</f>
        <v>46084</v>
      </c>
      <c r="B41" s="33">
        <f>IF(CARGA_DIARIA!A41="","",CARGA_DIARIA!B41)</f>
        <v>1403</v>
      </c>
      <c r="C41" s="34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5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5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8" t="s">
        <v>146</v>
      </c>
      <c r="G41" s="38" t="s">
        <v>146</v>
      </c>
      <c r="H41" s="37">
        <f>IF(CARGA_DIARIA!A41="","",C41-D41-E41)</f>
        <v>16853819.340071499</v>
      </c>
    </row>
    <row r="42" spans="1:8" ht="15.75" customHeight="1" x14ac:dyDescent="0.25">
      <c r="A42" s="32">
        <f>IF(CARGA_DIARIA!A42="","",CARGA_DIARIA!A42)</f>
        <v>46085</v>
      </c>
      <c r="B42" s="33">
        <f>IF(CARGA_DIARIA!A42="","",CARGA_DIARIA!B42)</f>
        <v>1407</v>
      </c>
      <c r="C42" s="34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5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5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8" t="s">
        <v>146</v>
      </c>
      <c r="G42" s="38" t="s">
        <v>146</v>
      </c>
      <c r="H42" s="37">
        <f>IF(CARGA_DIARIA!A42="","",C42-D42-E42)</f>
        <v>10435847.112941448</v>
      </c>
    </row>
    <row r="43" spans="1:8" ht="15.75" customHeight="1" x14ac:dyDescent="0.25">
      <c r="A43" s="32">
        <f>IF(CARGA_DIARIA!A43="","",CARGA_DIARIA!A43)</f>
        <v>46086</v>
      </c>
      <c r="B43" s="33">
        <f>IF(CARGA_DIARIA!A43="","",CARGA_DIARIA!B43)</f>
        <v>1400.5</v>
      </c>
      <c r="C43" s="34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5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5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8" t="s">
        <v>146</v>
      </c>
      <c r="G43" s="38" t="s">
        <v>146</v>
      </c>
      <c r="H43" s="37">
        <f>IF(CARGA_DIARIA!A43="","",C43-D43-E43)</f>
        <v>11965844.43775326</v>
      </c>
    </row>
    <row r="44" spans="1:8" ht="15.75" customHeight="1" x14ac:dyDescent="0.25">
      <c r="A44" s="32">
        <f>IF(CARGA_DIARIA!A44="","",CARGA_DIARIA!A44)</f>
        <v>46087</v>
      </c>
      <c r="B44" s="33">
        <f>IF(CARGA_DIARIA!A44="","",CARGA_DIARIA!B44)</f>
        <v>1405</v>
      </c>
      <c r="C44" s="34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5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5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8" t="s">
        <v>146</v>
      </c>
      <c r="G44" s="38" t="s">
        <v>146</v>
      </c>
      <c r="H44" s="37">
        <f>IF(CARGA_DIARIA!A44="","",C44-D44-E44)</f>
        <v>11620119.730233308</v>
      </c>
    </row>
    <row r="45" spans="1:8" ht="15.75" customHeight="1" x14ac:dyDescent="0.25">
      <c r="A45" s="32">
        <f>IF(CARGA_DIARIA!A45="","",CARGA_DIARIA!A45)</f>
        <v>46090</v>
      </c>
      <c r="B45" s="33">
        <f>IF(CARGA_DIARIA!A45="","",CARGA_DIARIA!B45)</f>
        <v>1405</v>
      </c>
      <c r="C45" s="34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5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5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8" t="s">
        <v>146</v>
      </c>
      <c r="G45" s="38" t="s">
        <v>146</v>
      </c>
      <c r="H45" s="37">
        <f>IF(CARGA_DIARIA!A45="","",C45-D45-E45)</f>
        <v>14412290.136046827</v>
      </c>
    </row>
    <row r="46" spans="1:8" ht="15.75" customHeight="1" x14ac:dyDescent="0.25">
      <c r="A46" s="32">
        <f>IF(CARGA_DIARIA!A46="","",CARGA_DIARIA!A46)</f>
        <v>46091</v>
      </c>
      <c r="B46" s="33">
        <f>IF(CARGA_DIARIA!A46="","",CARGA_DIARIA!B46)</f>
        <v>1417</v>
      </c>
      <c r="C46" s="34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5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5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8" t="s">
        <v>146</v>
      </c>
      <c r="G46" s="38" t="s">
        <v>146</v>
      </c>
      <c r="H46" s="37">
        <f>IF(CARGA_DIARIA!A46="","",C46-D46-E46)</f>
        <v>12119947.134390917</v>
      </c>
    </row>
    <row r="47" spans="1:8" ht="15.75" customHeight="1" x14ac:dyDescent="0.25">
      <c r="A47" s="32">
        <f>IF(CARGA_DIARIA!A47="","",CARGA_DIARIA!A47)</f>
        <v>46092</v>
      </c>
      <c r="B47" s="33">
        <f>IF(CARGA_DIARIA!A47="","",CARGA_DIARIA!B47)</f>
        <v>1401</v>
      </c>
      <c r="C47" s="34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5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5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8" t="s">
        <v>146</v>
      </c>
      <c r="G47" s="38" t="s">
        <v>146</v>
      </c>
      <c r="H47" s="37">
        <f>IF(CARGA_DIARIA!A47="","",C47-D47-E47)</f>
        <v>11243440.055020519</v>
      </c>
    </row>
    <row r="48" spans="1:8" ht="15.75" customHeight="1" x14ac:dyDescent="0.25">
      <c r="A48" s="32">
        <f>IF(CARGA_DIARIA!A48="","",CARGA_DIARIA!A48)</f>
        <v>46093</v>
      </c>
      <c r="B48" s="33">
        <f>IF(CARGA_DIARIA!A48="","",CARGA_DIARIA!B48)</f>
        <v>1393</v>
      </c>
      <c r="C48" s="34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5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5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8" t="s">
        <v>146</v>
      </c>
      <c r="G48" s="38" t="s">
        <v>146</v>
      </c>
      <c r="H48" s="37">
        <f>IF(CARGA_DIARIA!A48="","",C48-D48-E48)</f>
        <v>11578415.30095692</v>
      </c>
    </row>
    <row r="49" spans="1:8" ht="15.75" customHeight="1" x14ac:dyDescent="0.25">
      <c r="A49" s="32">
        <f>IF(CARGA_DIARIA!A49="","",CARGA_DIARIA!A49)</f>
        <v>46094</v>
      </c>
      <c r="B49" s="33">
        <f>IF(CARGA_DIARIA!A49="","",CARGA_DIARIA!B49)</f>
        <v>1397</v>
      </c>
      <c r="C49" s="34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5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5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8" t="s">
        <v>146</v>
      </c>
      <c r="G49" s="38" t="s">
        <v>146</v>
      </c>
      <c r="H49" s="37">
        <f>IF(CARGA_DIARIA!A49="","",C49-D49-E49)</f>
        <v>11639769.023119705</v>
      </c>
    </row>
    <row r="50" spans="1:8" ht="15.75" customHeight="1" x14ac:dyDescent="0.25">
      <c r="A50" s="32">
        <f>IF(CARGA_DIARIA!A50="","",CARGA_DIARIA!A50)</f>
        <v>46097</v>
      </c>
      <c r="B50" s="33">
        <f>IF(CARGA_DIARIA!A50="","",CARGA_DIARIA!B50)</f>
        <v>1386</v>
      </c>
      <c r="C50" s="34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5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5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8" t="s">
        <v>146</v>
      </c>
      <c r="G50" s="38" t="s">
        <v>146</v>
      </c>
      <c r="H50" s="37">
        <f>IF(CARGA_DIARIA!A50="","",C50-D50-E50)</f>
        <v>13244502.321332803</v>
      </c>
    </row>
    <row r="51" spans="1:8" ht="15.75" customHeight="1" x14ac:dyDescent="0.25">
      <c r="A51" s="32">
        <f>IF(CARGA_DIARIA!A51="","",CARGA_DIARIA!A51)</f>
        <v>46098</v>
      </c>
      <c r="B51" s="33">
        <f>IF(CARGA_DIARIA!A51="","",CARGA_DIARIA!B51)</f>
        <v>1390</v>
      </c>
      <c r="C51" s="34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5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5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8" t="s">
        <v>146</v>
      </c>
      <c r="G51" s="38" t="s">
        <v>146</v>
      </c>
      <c r="H51" s="37">
        <f>IF(CARGA_DIARIA!A51="","",C51-D51-E51)</f>
        <v>13507880.763376949</v>
      </c>
    </row>
    <row r="52" spans="1:8" ht="15.75" customHeight="1" x14ac:dyDescent="0.25">
      <c r="A52" s="32">
        <f>IF(CARGA_DIARIA!A52="","",CARGA_DIARIA!A52)</f>
        <v>46099</v>
      </c>
      <c r="B52" s="33">
        <f>IF(CARGA_DIARIA!A52="","",CARGA_DIARIA!B52)</f>
        <v>1394</v>
      </c>
      <c r="C52" s="34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5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5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8" t="s">
        <v>146</v>
      </c>
      <c r="G52" s="38" t="s">
        <v>146</v>
      </c>
      <c r="H52" s="37">
        <f>IF(CARGA_DIARIA!A52="","",C52-D52-E52)</f>
        <v>13286689.102183172</v>
      </c>
    </row>
    <row r="53" spans="1:8" ht="15.75" customHeight="1" x14ac:dyDescent="0.25">
      <c r="A53" s="32">
        <f>IF(CARGA_DIARIA!A53="","",CARGA_DIARIA!A53)</f>
        <v>46100</v>
      </c>
      <c r="B53" s="33">
        <f>IF(CARGA_DIARIA!A53="","",CARGA_DIARIA!B53)</f>
        <v>1397</v>
      </c>
      <c r="C53" s="34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5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5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8" t="s">
        <v>146</v>
      </c>
      <c r="G53" s="38" t="s">
        <v>146</v>
      </c>
      <c r="H53" s="37">
        <f>IF(CARGA_DIARIA!A53="","",C53-D53-E53)</f>
        <v>12529570.949529974</v>
      </c>
    </row>
    <row r="54" spans="1:8" ht="15.75" customHeight="1" x14ac:dyDescent="0.25">
      <c r="A54" s="32">
        <f>IF(CARGA_DIARIA!A54="","",CARGA_DIARIA!A54)</f>
        <v>46101</v>
      </c>
      <c r="B54" s="33">
        <f>IF(CARGA_DIARIA!A54="","",CARGA_DIARIA!B54)</f>
        <v>1391</v>
      </c>
      <c r="C54" s="34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5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5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8" t="s">
        <v>146</v>
      </c>
      <c r="G54" s="38" t="s">
        <v>146</v>
      </c>
      <c r="H54" s="37">
        <f>IF(CARGA_DIARIA!A54="","",C54-D54-E54)</f>
        <v>13573846.982598355</v>
      </c>
    </row>
    <row r="55" spans="1:8" ht="15.75" customHeight="1" x14ac:dyDescent="0.25">
      <c r="A55" s="32">
        <f>IF(CARGA_DIARIA!A55="","",CARGA_DIARIA!A55)</f>
        <v>46106</v>
      </c>
      <c r="B55" s="33">
        <f>IF(CARGA_DIARIA!A55="","",CARGA_DIARIA!B55)</f>
        <v>1392</v>
      </c>
      <c r="C55" s="34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5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5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8" t="s">
        <v>146</v>
      </c>
      <c r="G55" s="38" t="s">
        <v>146</v>
      </c>
      <c r="H55" s="37">
        <f>IF(CARGA_DIARIA!A55="","",C55-D55-E55)</f>
        <v>15348097.709244724</v>
      </c>
    </row>
    <row r="56" spans="1:8" ht="15.75" customHeight="1" x14ac:dyDescent="0.25">
      <c r="A56" s="32">
        <f>IF(CARGA_DIARIA!A56="","",CARGA_DIARIA!A56)</f>
        <v>46107</v>
      </c>
      <c r="B56" s="33">
        <f>IF(CARGA_DIARIA!A56="","",CARGA_DIARIA!B56)</f>
        <v>1375</v>
      </c>
      <c r="C56" s="34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5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5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8" t="s">
        <v>146</v>
      </c>
      <c r="G56" s="38" t="s">
        <v>146</v>
      </c>
      <c r="H56" s="37">
        <f>IF(CARGA_DIARIA!A56="","",C56-D56-E56)</f>
        <v>15231921.689944575</v>
      </c>
    </row>
    <row r="57" spans="1:8" ht="15.75" customHeight="1" x14ac:dyDescent="0.25">
      <c r="A57" s="32">
        <f>IF(CARGA_DIARIA!A57="","",CARGA_DIARIA!A57)</f>
        <v>46108</v>
      </c>
      <c r="B57" s="33">
        <f>IF(CARGA_DIARIA!A57="","",CARGA_DIARIA!B57)</f>
        <v>1366</v>
      </c>
      <c r="C57" s="34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5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5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8" t="s">
        <v>146</v>
      </c>
      <c r="G57" s="38" t="s">
        <v>146</v>
      </c>
      <c r="H57" s="37">
        <f>IF(CARGA_DIARIA!A57="","",C57-D57-E57)</f>
        <v>15255978.689658633</v>
      </c>
    </row>
    <row r="58" spans="1:8" ht="15.75" customHeight="1" x14ac:dyDescent="0.25">
      <c r="A58" s="32">
        <f>IF(CARGA_DIARIA!A58="","",CARGA_DIARIA!A58)</f>
        <v>46111</v>
      </c>
      <c r="B58" s="33">
        <f>IF(CARGA_DIARIA!A58="","",CARGA_DIARIA!B58)</f>
        <v>1371.5</v>
      </c>
      <c r="C58" s="34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5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5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8" t="s">
        <v>146</v>
      </c>
      <c r="G58" s="38" t="s">
        <v>146</v>
      </c>
      <c r="H58" s="37">
        <f>IF(CARGA_DIARIA!A58="","",C58-D58-E58)</f>
        <v>14955457.340499904</v>
      </c>
    </row>
    <row r="59" spans="1:8" ht="15.75" customHeight="1" x14ac:dyDescent="0.25">
      <c r="A59" s="32">
        <f>IF(CARGA_DIARIA!A59="","",CARGA_DIARIA!A59)</f>
        <v>46112</v>
      </c>
      <c r="B59" s="33">
        <f>IF(CARGA_DIARIA!A59="","",CARGA_DIARIA!B59)</f>
        <v>1371.5</v>
      </c>
      <c r="C59" s="34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5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5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8" t="s">
        <v>146</v>
      </c>
      <c r="G59" s="38" t="s">
        <v>146</v>
      </c>
      <c r="H59" s="37">
        <f>IF(CARGA_DIARIA!A59="","",C59-D59-E59)</f>
        <v>11979978.178068439</v>
      </c>
    </row>
    <row r="60" spans="1:8" ht="15.75" customHeight="1" x14ac:dyDescent="0.25">
      <c r="A60" s="32">
        <f>IF(CARGA_DIARIA!A60="","",CARGA_DIARIA!A60)</f>
        <v>46118</v>
      </c>
      <c r="B60" s="33">
        <f>IF(CARGA_DIARIA!A60="","",CARGA_DIARIA!B60)</f>
        <v>1383</v>
      </c>
      <c r="C60" s="34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5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5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8" t="s">
        <v>146</v>
      </c>
      <c r="G60" s="38" t="s">
        <v>146</v>
      </c>
      <c r="H60" s="37">
        <f>IF(CARGA_DIARIA!A60="","",C60-D60-E60)</f>
        <v>11401799.13942774</v>
      </c>
    </row>
    <row r="61" spans="1:8" ht="15.75" customHeight="1" x14ac:dyDescent="0.25">
      <c r="A61" s="32">
        <f>IF(CARGA_DIARIA!A61="","",CARGA_DIARIA!A61)</f>
        <v>46119</v>
      </c>
      <c r="B61" s="33">
        <f>IF(CARGA_DIARIA!A61="","",CARGA_DIARIA!B61)</f>
        <v>1382</v>
      </c>
      <c r="C61" s="34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5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5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8" t="s">
        <v>146</v>
      </c>
      <c r="G61" s="38" t="s">
        <v>146</v>
      </c>
      <c r="H61" s="37">
        <f>IF(CARGA_DIARIA!A61="","",C61-D61-E61)</f>
        <v>11095639.535447203</v>
      </c>
    </row>
    <row r="62" spans="1:8" ht="15.75" customHeight="1" x14ac:dyDescent="0.25">
      <c r="A62" s="32">
        <f>IF(CARGA_DIARIA!A62="","",CARGA_DIARIA!A62)</f>
        <v>46120</v>
      </c>
      <c r="B62" s="33">
        <f>IF(CARGA_DIARIA!A62="","",CARGA_DIARIA!B62)</f>
        <v>1382.5</v>
      </c>
      <c r="C62" s="34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5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5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8" t="s">
        <v>146</v>
      </c>
      <c r="G62" s="38" t="s">
        <v>146</v>
      </c>
      <c r="H62" s="37">
        <f>IF(CARGA_DIARIA!A62="","",C62-D62-E62)</f>
        <v>11126010.388287738</v>
      </c>
    </row>
    <row r="63" spans="1:8" ht="15.75" customHeight="1" x14ac:dyDescent="0.25">
      <c r="A63" s="32">
        <f>IF(CARGA_DIARIA!A63="","",CARGA_DIARIA!A63)</f>
        <v>46121</v>
      </c>
      <c r="B63" s="33">
        <f>IF(CARGA_DIARIA!A63="","",CARGA_DIARIA!B63)</f>
        <v>1382.5</v>
      </c>
      <c r="C63" s="34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5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5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8" t="s">
        <v>146</v>
      </c>
      <c r="G63" s="38" t="s">
        <v>146</v>
      </c>
      <c r="H63" s="37">
        <f>IF(CARGA_DIARIA!A63="","",C63-D63-E63)</f>
        <v>13224406.672602389</v>
      </c>
    </row>
    <row r="64" spans="1:8" ht="15.75" customHeight="1" x14ac:dyDescent="0.25">
      <c r="A64" s="32">
        <f>IF(CARGA_DIARIA!A64="","",CARGA_DIARIA!A64)</f>
        <v>46122</v>
      </c>
      <c r="B64" s="33">
        <f>IF(CARGA_DIARIA!A64="","",CARGA_DIARIA!B64)</f>
        <v>1382</v>
      </c>
      <c r="C64" s="34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5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5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8" t="s">
        <v>146</v>
      </c>
      <c r="G64" s="38" t="s">
        <v>146</v>
      </c>
      <c r="H64" s="37">
        <f>IF(CARGA_DIARIA!A64="","",C64-D64-E64)</f>
        <v>15077311.222036928</v>
      </c>
    </row>
    <row r="65" spans="1:8" ht="15.75" customHeight="1" x14ac:dyDescent="0.25">
      <c r="A65" s="32">
        <f>IF(CARGA_DIARIA!A65="","",CARGA_DIARIA!A65)</f>
        <v>46125</v>
      </c>
      <c r="B65" s="33">
        <f>IF(CARGA_DIARIA!A65="","",CARGA_DIARIA!B65)</f>
        <v>1371.5</v>
      </c>
      <c r="C65" s="34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5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5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8" t="s">
        <v>146</v>
      </c>
      <c r="G65" s="38" t="s">
        <v>146</v>
      </c>
      <c r="H65" s="37">
        <f>IF(CARGA_DIARIA!A65="","",C65-D65-E65)</f>
        <v>14567493.864838257</v>
      </c>
    </row>
    <row r="66" spans="1:8" ht="15.75" customHeight="1" x14ac:dyDescent="0.25">
      <c r="A66" s="32">
        <f>IF(CARGA_DIARIA!A66="","",CARGA_DIARIA!A66)</f>
        <v>46126</v>
      </c>
      <c r="B66" s="33">
        <f>IF(CARGA_DIARIA!A66="","",CARGA_DIARIA!B66)</f>
        <v>1360</v>
      </c>
      <c r="C66" s="34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5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5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8" t="s">
        <v>146</v>
      </c>
      <c r="G66" s="38" t="s">
        <v>146</v>
      </c>
      <c r="H66" s="37">
        <f>IF(CARGA_DIARIA!A66="","",C66-D66-E66)</f>
        <v>13346685.89335167</v>
      </c>
    </row>
    <row r="67" spans="1:8" ht="15.75" customHeight="1" x14ac:dyDescent="0.25">
      <c r="A67" s="32">
        <f>IF(CARGA_DIARIA!A67="","",CARGA_DIARIA!A67)</f>
        <v>46127</v>
      </c>
      <c r="B67" s="33">
        <f>IF(CARGA_DIARIA!A67="","",CARGA_DIARIA!B67)</f>
        <v>1352</v>
      </c>
      <c r="C67" s="34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5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5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8" t="s">
        <v>146</v>
      </c>
      <c r="G67" s="38" t="s">
        <v>146</v>
      </c>
      <c r="H67" s="37">
        <f>IF(CARGA_DIARIA!A67="","",C67-D67-E67)</f>
        <v>12921703.513471894</v>
      </c>
    </row>
    <row r="68" spans="1:8" ht="15.75" customHeight="1" x14ac:dyDescent="0.25">
      <c r="A68" s="32">
        <f>IF(CARGA_DIARIA!A68="","",CARGA_DIARIA!A68)</f>
        <v>46128</v>
      </c>
      <c r="B68" s="33">
        <f>IF(CARGA_DIARIA!A68="","",CARGA_DIARIA!B68)</f>
        <v>1360</v>
      </c>
      <c r="C68" s="34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5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5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8" t="s">
        <v>146</v>
      </c>
      <c r="G68" s="38" t="s">
        <v>146</v>
      </c>
      <c r="H68" s="37">
        <f>IF(CARGA_DIARIA!A68="","",C68-D68-E68)</f>
        <v>12648661.215028144</v>
      </c>
    </row>
    <row r="69" spans="1:8" ht="15.75" customHeight="1" x14ac:dyDescent="0.25">
      <c r="A69" s="32">
        <f>IF(CARGA_DIARIA!A69="","",CARGA_DIARIA!A69)</f>
        <v>46129</v>
      </c>
      <c r="B69" s="33">
        <f>IF(CARGA_DIARIA!A69="","",CARGA_DIARIA!B69)</f>
        <v>1350.5</v>
      </c>
      <c r="C69" s="34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5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5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8" t="s">
        <v>146</v>
      </c>
      <c r="G69" s="38" t="s">
        <v>146</v>
      </c>
      <c r="H69" s="37">
        <f>IF(CARGA_DIARIA!A69="","",C69-D69-E69)</f>
        <v>12628684.678054757</v>
      </c>
    </row>
    <row r="70" spans="1:8" ht="15.75" customHeight="1" x14ac:dyDescent="0.25">
      <c r="A70" s="32">
        <f>IF(CARGA_DIARIA!A70="","",CARGA_DIARIA!A70)</f>
        <v>46132</v>
      </c>
      <c r="B70" s="33">
        <f>IF(CARGA_DIARIA!A70="","",CARGA_DIARIA!B70)</f>
        <v>1355.5</v>
      </c>
      <c r="C70" s="34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5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5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8" t="s">
        <v>146</v>
      </c>
      <c r="G70" s="38" t="s">
        <v>146</v>
      </c>
      <c r="H70" s="37">
        <f>IF(CARGA_DIARIA!A70="","",C70-D70-E70)</f>
        <v>13734825.83936785</v>
      </c>
    </row>
    <row r="71" spans="1:8" ht="15.75" customHeight="1" x14ac:dyDescent="0.25">
      <c r="A71" s="32">
        <f>IF(CARGA_DIARIA!A71="","",CARGA_DIARIA!A71)</f>
        <v>46133</v>
      </c>
      <c r="B71" s="33">
        <f>IF(CARGA_DIARIA!A71="","",CARGA_DIARIA!B71)</f>
        <v>1372</v>
      </c>
      <c r="C71" s="34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5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5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8" t="s">
        <v>146</v>
      </c>
      <c r="G71" s="38" t="s">
        <v>146</v>
      </c>
      <c r="H71" s="37">
        <f>IF(CARGA_DIARIA!A71="","",C71-D71-E71)</f>
        <v>15008627.273551526</v>
      </c>
    </row>
    <row r="72" spans="1:8" ht="15.75" customHeight="1" x14ac:dyDescent="0.25">
      <c r="A72" s="32">
        <f>IF(CARGA_DIARIA!A72="","",CARGA_DIARIA!A72)</f>
        <v>46134</v>
      </c>
      <c r="B72" s="33">
        <f>IF(CARGA_DIARIA!A72="","",CARGA_DIARIA!B72)</f>
        <v>1377</v>
      </c>
      <c r="C72" s="34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5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5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8" t="s">
        <v>146</v>
      </c>
      <c r="G72" s="38" t="s">
        <v>146</v>
      </c>
      <c r="H72" s="37">
        <f>IF(CARGA_DIARIA!A72="","",C72-D72-E72)</f>
        <v>15304240.355589228</v>
      </c>
    </row>
    <row r="73" spans="1:8" ht="15.75" customHeight="1" x14ac:dyDescent="0.25">
      <c r="A73" s="32">
        <f>IF(CARGA_DIARIA!A73="","",CARGA_DIARIA!A73)</f>
        <v>46135</v>
      </c>
      <c r="B73" s="33">
        <f>IF(CARGA_DIARIA!A73="","",CARGA_DIARIA!B73)</f>
        <v>1373.5</v>
      </c>
      <c r="C73" s="34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5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5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8" t="s">
        <v>146</v>
      </c>
      <c r="G73" s="38" t="s">
        <v>146</v>
      </c>
      <c r="H73" s="37">
        <f>IF(CARGA_DIARIA!A73="","",C73-D73-E73)</f>
        <v>15479928.446675641</v>
      </c>
    </row>
    <row r="74" spans="1:8" ht="15.75" customHeight="1" x14ac:dyDescent="0.25">
      <c r="A74" s="32">
        <f>IF(CARGA_DIARIA!A74="","",CARGA_DIARIA!A74)</f>
        <v>46136</v>
      </c>
      <c r="B74" s="33">
        <f>IF(CARGA_DIARIA!A74="","",CARGA_DIARIA!B74)</f>
        <v>1382</v>
      </c>
      <c r="C74" s="34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5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5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8" t="s">
        <v>146</v>
      </c>
      <c r="G74" s="38" t="s">
        <v>146</v>
      </c>
      <c r="H74" s="37">
        <f>IF(CARGA_DIARIA!A74="","",C74-D74-E74)</f>
        <v>16150389.834201183</v>
      </c>
    </row>
    <row r="75" spans="1:8" ht="15.75" customHeight="1" x14ac:dyDescent="0.25">
      <c r="A75" s="32">
        <f>IF(CARGA_DIARIA!A75="","",CARGA_DIARIA!A75)</f>
        <v>46139</v>
      </c>
      <c r="B75" s="33">
        <f>IF(CARGA_DIARIA!A75="","",CARGA_DIARIA!B75)</f>
        <v>1392</v>
      </c>
      <c r="C75" s="34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5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5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8" t="s">
        <v>146</v>
      </c>
      <c r="G75" s="38" t="s">
        <v>146</v>
      </c>
      <c r="H75" s="37">
        <f>IF(CARGA_DIARIA!A75="","",C75-D75-E75)</f>
        <v>18054693.702074267</v>
      </c>
    </row>
    <row r="76" spans="1:8" ht="15.75" customHeight="1" x14ac:dyDescent="0.25">
      <c r="A76" s="32">
        <f>IF(CARGA_DIARIA!A76="","",CARGA_DIARIA!A76)</f>
        <v>46140</v>
      </c>
      <c r="B76" s="33">
        <f>IF(CARGA_DIARIA!A76="","",CARGA_DIARIA!B76)</f>
        <v>1406</v>
      </c>
      <c r="C76" s="34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5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5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8" t="s">
        <v>146</v>
      </c>
      <c r="G76" s="38" t="s">
        <v>146</v>
      </c>
      <c r="H76" s="37">
        <f>IF(CARGA_DIARIA!A76="","",C76-D76-E76)</f>
        <v>18093199.671149969</v>
      </c>
    </row>
    <row r="77" spans="1:8" ht="15.75" customHeight="1" x14ac:dyDescent="0.25">
      <c r="A77" s="32">
        <f>IF(CARGA_DIARIA!A77="","",CARGA_DIARIA!A77)</f>
        <v>46141</v>
      </c>
      <c r="B77" s="33">
        <f>IF(CARGA_DIARIA!A77="","",CARGA_DIARIA!B77)</f>
        <v>1400</v>
      </c>
      <c r="C77" s="34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5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5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8" t="s">
        <v>146</v>
      </c>
      <c r="G77" s="38" t="s">
        <v>146</v>
      </c>
      <c r="H77" s="37">
        <f>IF(CARGA_DIARIA!A77="","",C77-D77-E77)</f>
        <v>17723700.394414037</v>
      </c>
    </row>
    <row r="78" spans="1:8" ht="15.75" customHeight="1" x14ac:dyDescent="0.25">
      <c r="A78" s="32">
        <f>IF(CARGA_DIARIA!A78="","",CARGA_DIARIA!A78)</f>
        <v>46142</v>
      </c>
      <c r="B78" s="33">
        <f>IF(CARGA_DIARIA!A78="","",CARGA_DIARIA!B78)</f>
        <v>1400</v>
      </c>
      <c r="C78" s="34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5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5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8" t="s">
        <v>146</v>
      </c>
      <c r="G78" s="38" t="s">
        <v>146</v>
      </c>
      <c r="H78" s="37">
        <f>IF(CARGA_DIARIA!A78="","",C78-D78-E78)</f>
        <v>8335026.1058426127</v>
      </c>
    </row>
    <row r="79" spans="1:8" ht="15.75" customHeight="1" x14ac:dyDescent="0.25">
      <c r="A79" s="32">
        <f>IF(CARGA_DIARIA!A79="","",CARGA_DIARIA!A79)</f>
        <v>46146</v>
      </c>
      <c r="B79" s="33">
        <f>IF(CARGA_DIARIA!A79="","",CARGA_DIARIA!B79)</f>
        <v>1375</v>
      </c>
      <c r="C79" s="34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5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5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8" t="s">
        <v>146</v>
      </c>
      <c r="G79" s="38" t="s">
        <v>146</v>
      </c>
      <c r="H79" s="37">
        <f>IF(CARGA_DIARIA!A79="","",C79-D79-E79)</f>
        <v>8169869.8710482121</v>
      </c>
    </row>
    <row r="80" spans="1:8" ht="15.75" customHeight="1" x14ac:dyDescent="0.25">
      <c r="A80" s="32">
        <f>IF(CARGA_DIARIA!A80="","",CARGA_DIARIA!A80)</f>
        <v>46147</v>
      </c>
      <c r="B80" s="33">
        <f>IF(CARGA_DIARIA!A80="","",CARGA_DIARIA!B80)</f>
        <v>1396.5</v>
      </c>
      <c r="C80" s="34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5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5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8" t="s">
        <v>146</v>
      </c>
      <c r="G80" s="38" t="s">
        <v>146</v>
      </c>
      <c r="H80" s="37">
        <f>IF(CARGA_DIARIA!A80="","",C80-D80-E80)</f>
        <v>7219948.6381040327</v>
      </c>
    </row>
    <row r="81" spans="1:8" ht="15.75" customHeight="1" x14ac:dyDescent="0.25">
      <c r="A81" s="32">
        <f>IF(CARGA_DIARIA!A81="","",CARGA_DIARIA!A81)</f>
        <v>46148</v>
      </c>
      <c r="B81" s="33">
        <f>IF(CARGA_DIARIA!A81="","",CARGA_DIARIA!B81)</f>
        <v>1394</v>
      </c>
      <c r="C81" s="34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5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5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8" t="s">
        <v>146</v>
      </c>
      <c r="G81" s="38" t="s">
        <v>146</v>
      </c>
      <c r="H81" s="37">
        <f>IF(CARGA_DIARIA!A81="","",C81-D81-E81)</f>
        <v>7725852.1428503953</v>
      </c>
    </row>
    <row r="82" spans="1:8" ht="15.75" customHeight="1" x14ac:dyDescent="0.25">
      <c r="A82" s="32">
        <f>IF(CARGA_DIARIA!A82="","",CARGA_DIARIA!A82)</f>
        <v>46149</v>
      </c>
      <c r="B82" s="33">
        <f>IF(CARGA_DIARIA!A82="","",CARGA_DIARIA!B82)</f>
        <v>1383</v>
      </c>
      <c r="C82" s="34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5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5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8" t="s">
        <v>146</v>
      </c>
      <c r="G82" s="38" t="s">
        <v>146</v>
      </c>
      <c r="H82" s="37">
        <f>IF(CARGA_DIARIA!A82="","",C82-D82-E82)</f>
        <v>8135864.6082401089</v>
      </c>
    </row>
    <row r="83" spans="1:8" ht="15.75" customHeight="1" x14ac:dyDescent="0.25">
      <c r="A83" s="32">
        <f>IF(CARGA_DIARIA!A83="","",CARGA_DIARIA!A83)</f>
        <v>46150</v>
      </c>
      <c r="B83" s="33">
        <f>IF(CARGA_DIARIA!A83="","",CARGA_DIARIA!B83)</f>
        <v>1388</v>
      </c>
      <c r="C83" s="34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5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5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8" t="s">
        <v>146</v>
      </c>
      <c r="G83" s="38" t="s">
        <v>146</v>
      </c>
      <c r="H83" s="37">
        <f>IF(CARGA_DIARIA!A83="","",C83-D83-E83)</f>
        <v>7652026.3249853291</v>
      </c>
    </row>
    <row r="84" spans="1:8" ht="15.75" customHeight="1" x14ac:dyDescent="0.25">
      <c r="A84" s="32">
        <f>IF(CARGA_DIARIA!A84="","",CARGA_DIARIA!A84)</f>
        <v>46153</v>
      </c>
      <c r="B84" s="33">
        <f>IF(CARGA_DIARIA!A84="","",CARGA_DIARIA!B84)</f>
        <v>1389</v>
      </c>
      <c r="C84" s="34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5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5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8" t="s">
        <v>146</v>
      </c>
      <c r="G84" s="38" t="s">
        <v>146</v>
      </c>
      <c r="H84" s="37">
        <f>IF(CARGA_DIARIA!A84="","",C84-D84-E84)</f>
        <v>7994450.6873919703</v>
      </c>
    </row>
    <row r="85" spans="1:8" ht="15.75" customHeight="1" x14ac:dyDescent="0.25">
      <c r="A85" s="32">
        <f>IF(CARGA_DIARIA!A85="","",CARGA_DIARIA!A85)</f>
        <v>46154</v>
      </c>
      <c r="B85" s="33">
        <f>IF(CARGA_DIARIA!A85="","",CARGA_DIARIA!B85)</f>
        <v>1391</v>
      </c>
      <c r="C85" s="34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5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5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8" t="s">
        <v>146</v>
      </c>
      <c r="G85" s="38" t="s">
        <v>146</v>
      </c>
      <c r="H85" s="37">
        <f>IF(CARGA_DIARIA!A85="","",C85-D85-E85)</f>
        <v>9004398.9018395878</v>
      </c>
    </row>
    <row r="86" spans="1:8" ht="15.75" customHeight="1" x14ac:dyDescent="0.25">
      <c r="A86" s="32">
        <f>IF(CARGA_DIARIA!A86="","",CARGA_DIARIA!A86)</f>
        <v>46155</v>
      </c>
      <c r="B86" s="33">
        <f>IF(CARGA_DIARIA!A86="","",CARGA_DIARIA!B86)</f>
        <v>1382.5</v>
      </c>
      <c r="C86" s="34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5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5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8" t="s">
        <v>146</v>
      </c>
      <c r="G86" s="38" t="s">
        <v>146</v>
      </c>
      <c r="H86" s="37">
        <f>IF(CARGA_DIARIA!A86="","",C86-D86-E86)</f>
        <v>8778679.9555377401</v>
      </c>
    </row>
    <row r="87" spans="1:8" ht="15.75" customHeight="1" x14ac:dyDescent="0.25">
      <c r="A87" s="32">
        <f>IF(CARGA_DIARIA!A87="","",CARGA_DIARIA!A87)</f>
        <v>46156</v>
      </c>
      <c r="B87" s="33">
        <f>IF(CARGA_DIARIA!A87="","",CARGA_DIARIA!B87)</f>
        <v>1386</v>
      </c>
      <c r="C87" s="34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5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5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8" t="s">
        <v>146</v>
      </c>
      <c r="G87" s="38" t="s">
        <v>146</v>
      </c>
      <c r="H87" s="37">
        <f>IF(CARGA_DIARIA!A87="","",C87-D87-E87)</f>
        <v>8955905.8585281223</v>
      </c>
    </row>
    <row r="88" spans="1:8" ht="15.75" customHeight="1" x14ac:dyDescent="0.25">
      <c r="A88" s="32" t="str">
        <f>IF(CARGA_DIARIA!A88="","",CARGA_DIARIA!A88)</f>
        <v/>
      </c>
      <c r="B88" s="33" t="str">
        <f>IF(CARGA_DIARIA!A88="","",CARGA_DIARIA!B88)</f>
        <v/>
      </c>
      <c r="C88" s="34" t="str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/>
      </c>
      <c r="D88" s="35" t="str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35" t="str">
        <f>IF(CARGA_DIARIA!A88="","",IF(CARGA_DIARIA!B88=0,0,(CARGA_DIARIA!X88+CARGA_DIARIA!Y88+CARGA_DIARIA!Z88+CARGA_DIARIA!AA88)/CARGA_DIARIA!B88+CARGA_DIARIA!AB88+CARGA_DIARIA!AC88+CARGA_DIARIA!AD88+CARGA_DIARIA!AE88))</f>
        <v/>
      </c>
      <c r="F88" s="38" t="s">
        <v>146</v>
      </c>
      <c r="G88" s="38" t="s">
        <v>146</v>
      </c>
      <c r="H88" s="37" t="str">
        <f>IF(CARGA_DIARIA!A88="","",C88-D88-E88)</f>
        <v/>
      </c>
    </row>
    <row r="89" spans="1:8" ht="15.75" customHeight="1" x14ac:dyDescent="0.25">
      <c r="A89" s="32" t="str">
        <f>IF(CARGA_DIARIA!A89="","",CARGA_DIARIA!A89)</f>
        <v/>
      </c>
      <c r="B89" s="33" t="str">
        <f>IF(CARGA_DIARIA!A89="","",CARGA_DIARIA!B89)</f>
        <v/>
      </c>
      <c r="C89" s="34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35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35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38" t="s">
        <v>146</v>
      </c>
      <c r="G89" s="38" t="s">
        <v>146</v>
      </c>
      <c r="H89" s="37" t="str">
        <f>IF(CARGA_DIARIA!A89="","",C89-D89-E89)</f>
        <v/>
      </c>
    </row>
    <row r="90" spans="1:8" ht="15.75" customHeight="1" x14ac:dyDescent="0.25">
      <c r="A90" s="32" t="str">
        <f>IF(CARGA_DIARIA!A90="","",CARGA_DIARIA!A90)</f>
        <v/>
      </c>
      <c r="B90" s="33" t="str">
        <f>IF(CARGA_DIARIA!A90="","",CARGA_DIARIA!B90)</f>
        <v/>
      </c>
      <c r="C90" s="34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5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5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8" t="s">
        <v>146</v>
      </c>
      <c r="G90" s="38" t="s">
        <v>146</v>
      </c>
      <c r="H90" s="37" t="str">
        <f>IF(CARGA_DIARIA!A90="","",C90-D90-E90)</f>
        <v/>
      </c>
    </row>
    <row r="91" spans="1:8" ht="15.75" customHeight="1" x14ac:dyDescent="0.25">
      <c r="A91" s="32" t="str">
        <f>IF(CARGA_DIARIA!A91="","",CARGA_DIARIA!A91)</f>
        <v/>
      </c>
      <c r="B91" s="33" t="str">
        <f>IF(CARGA_DIARIA!A91="","",CARGA_DIARIA!B91)</f>
        <v/>
      </c>
      <c r="C91" s="34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5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5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8" t="s">
        <v>146</v>
      </c>
      <c r="G91" s="38" t="s">
        <v>146</v>
      </c>
      <c r="H91" s="37" t="str">
        <f>IF(CARGA_DIARIA!A91="","",C91-D91-E91)</f>
        <v/>
      </c>
    </row>
    <row r="92" spans="1:8" ht="15.75" customHeight="1" x14ac:dyDescent="0.25">
      <c r="A92" s="32" t="str">
        <f>IF(CARGA_DIARIA!A92="","",CARGA_DIARIA!A92)</f>
        <v/>
      </c>
      <c r="B92" s="33" t="str">
        <f>IF(CARGA_DIARIA!A92="","",CARGA_DIARIA!B92)</f>
        <v/>
      </c>
      <c r="C92" s="34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5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5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8" t="s">
        <v>146</v>
      </c>
      <c r="G92" s="38" t="s">
        <v>146</v>
      </c>
      <c r="H92" s="37" t="str">
        <f>IF(CARGA_DIARIA!A92="","",C92-D92-E92)</f>
        <v/>
      </c>
    </row>
    <row r="93" spans="1:8" ht="15.75" customHeight="1" x14ac:dyDescent="0.25">
      <c r="A93" s="32" t="str">
        <f>IF(CARGA_DIARIA!A93="","",CARGA_DIARIA!A93)</f>
        <v/>
      </c>
      <c r="B93" s="33" t="str">
        <f>IF(CARGA_DIARIA!A93="","",CARGA_DIARIA!B93)</f>
        <v/>
      </c>
      <c r="C93" s="34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5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5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8" t="s">
        <v>146</v>
      </c>
      <c r="G93" s="38" t="s">
        <v>146</v>
      </c>
      <c r="H93" s="37" t="str">
        <f>IF(CARGA_DIARIA!A93="","",C93-D93-E93)</f>
        <v/>
      </c>
    </row>
    <row r="94" spans="1:8" ht="15.75" customHeight="1" x14ac:dyDescent="0.25">
      <c r="A94" s="32" t="str">
        <f>IF(CARGA_DIARIA!A94="","",CARGA_DIARIA!A94)</f>
        <v/>
      </c>
      <c r="B94" s="33" t="str">
        <f>IF(CARGA_DIARIA!A94="","",CARGA_DIARIA!B94)</f>
        <v/>
      </c>
      <c r="C94" s="34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5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5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8" t="s">
        <v>146</v>
      </c>
      <c r="G94" s="38" t="s">
        <v>146</v>
      </c>
      <c r="H94" s="37" t="str">
        <f>IF(CARGA_DIARIA!A94="","",C94-D94-E94)</f>
        <v/>
      </c>
    </row>
    <row r="95" spans="1:8" ht="15.75" customHeight="1" x14ac:dyDescent="0.25">
      <c r="A95" s="32" t="str">
        <f>IF(CARGA_DIARIA!A95="","",CARGA_DIARIA!A95)</f>
        <v/>
      </c>
      <c r="B95" s="33" t="str">
        <f>IF(CARGA_DIARIA!A95="","",CARGA_DIARIA!B95)</f>
        <v/>
      </c>
      <c r="C95" s="34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5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5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8" t="s">
        <v>146</v>
      </c>
      <c r="G95" s="38" t="s">
        <v>146</v>
      </c>
      <c r="H95" s="37" t="str">
        <f>IF(CARGA_DIARIA!A95="","",C95-D95-E95)</f>
        <v/>
      </c>
    </row>
    <row r="96" spans="1:8" ht="15.75" customHeight="1" x14ac:dyDescent="0.25">
      <c r="A96" s="32" t="str">
        <f>IF(CARGA_DIARIA!A96="","",CARGA_DIARIA!A96)</f>
        <v/>
      </c>
      <c r="B96" s="33" t="str">
        <f>IF(CARGA_DIARIA!A96="","",CARGA_DIARIA!B96)</f>
        <v/>
      </c>
      <c r="C96" s="34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5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5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8" t="s">
        <v>146</v>
      </c>
      <c r="G96" s="38" t="s">
        <v>146</v>
      </c>
      <c r="H96" s="37" t="str">
        <f>IF(CARGA_DIARIA!A96="","",C96-D96-E96)</f>
        <v/>
      </c>
    </row>
    <row r="97" spans="1:8" ht="15.75" customHeight="1" x14ac:dyDescent="0.25">
      <c r="A97" s="32" t="str">
        <f>IF(CARGA_DIARIA!A97="","",CARGA_DIARIA!A97)</f>
        <v/>
      </c>
      <c r="B97" s="33" t="str">
        <f>IF(CARGA_DIARIA!A97="","",CARGA_DIARIA!B97)</f>
        <v/>
      </c>
      <c r="C97" s="34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5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5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8" t="s">
        <v>146</v>
      </c>
      <c r="G97" s="38" t="s">
        <v>146</v>
      </c>
      <c r="H97" s="37" t="str">
        <f>IF(CARGA_DIARIA!A97="","",C97-D97-E97)</f>
        <v/>
      </c>
    </row>
    <row r="98" spans="1:8" ht="15.75" customHeight="1" x14ac:dyDescent="0.25">
      <c r="A98" s="32" t="str">
        <f>IF(CARGA_DIARIA!A98="","",CARGA_DIARIA!A98)</f>
        <v/>
      </c>
      <c r="B98" s="33" t="str">
        <f>IF(CARGA_DIARIA!A98="","",CARGA_DIARIA!B98)</f>
        <v/>
      </c>
      <c r="C98" s="34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5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5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8" t="s">
        <v>146</v>
      </c>
      <c r="G98" s="38" t="s">
        <v>146</v>
      </c>
      <c r="H98" s="37" t="str">
        <f>IF(CARGA_DIARIA!A98="","",C98-D98-E98)</f>
        <v/>
      </c>
    </row>
    <row r="99" spans="1:8" ht="15.75" customHeight="1" x14ac:dyDescent="0.25">
      <c r="A99" s="32" t="str">
        <f>IF(CARGA_DIARIA!A99="","",CARGA_DIARIA!A99)</f>
        <v/>
      </c>
      <c r="B99" s="33" t="str">
        <f>IF(CARGA_DIARIA!A99="","",CARGA_DIARIA!B99)</f>
        <v/>
      </c>
      <c r="C99" s="34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5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5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8" t="s">
        <v>146</v>
      </c>
      <c r="G99" s="38" t="s">
        <v>146</v>
      </c>
      <c r="H99" s="37" t="str">
        <f>IF(CARGA_DIARIA!A99="","",C99-D99-E99)</f>
        <v/>
      </c>
    </row>
    <row r="100" spans="1:8" ht="15.75" customHeight="1" x14ac:dyDescent="0.25">
      <c r="A100" s="32" t="str">
        <f>IF(CARGA_DIARIA!A100="","",CARGA_DIARIA!A100)</f>
        <v/>
      </c>
      <c r="B100" s="33" t="str">
        <f>IF(CARGA_DIARIA!A100="","",CARGA_DIARIA!B100)</f>
        <v/>
      </c>
      <c r="C100" s="34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5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5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8" t="s">
        <v>146</v>
      </c>
      <c r="G100" s="38" t="s">
        <v>146</v>
      </c>
      <c r="H100" s="37" t="str">
        <f>IF(CARGA_DIARIA!A100="","",C100-D100-E100)</f>
        <v/>
      </c>
    </row>
    <row r="101" spans="1:8" ht="15.75" customHeight="1" x14ac:dyDescent="0.25">
      <c r="A101" s="32" t="str">
        <f>IF(CARGA_DIARIA!A101="","",CARGA_DIARIA!A101)</f>
        <v/>
      </c>
      <c r="B101" s="33" t="str">
        <f>IF(CARGA_DIARIA!A101="","",CARGA_DIARIA!B101)</f>
        <v/>
      </c>
      <c r="C101" s="34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5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5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8" t="s">
        <v>146</v>
      </c>
      <c r="G101" s="38" t="s">
        <v>146</v>
      </c>
      <c r="H101" s="37" t="str">
        <f>IF(CARGA_DIARIA!A101="","",C101-D101-E101)</f>
        <v/>
      </c>
    </row>
    <row r="102" spans="1:8" ht="15.75" customHeight="1" x14ac:dyDescent="0.25">
      <c r="A102" s="32" t="str">
        <f>IF(CARGA_DIARIA!A102="","",CARGA_DIARIA!A102)</f>
        <v/>
      </c>
      <c r="B102" s="33" t="str">
        <f>IF(CARGA_DIARIA!A102="","",CARGA_DIARIA!B102)</f>
        <v/>
      </c>
      <c r="C102" s="34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5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5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8" t="s">
        <v>146</v>
      </c>
      <c r="G102" s="38" t="s">
        <v>146</v>
      </c>
      <c r="H102" s="37" t="str">
        <f>IF(CARGA_DIARIA!A102="","",C102-D102-E102)</f>
        <v/>
      </c>
    </row>
    <row r="103" spans="1:8" ht="15.75" customHeight="1" x14ac:dyDescent="0.25">
      <c r="A103" s="32" t="str">
        <f>IF(CARGA_DIARIA!A103="","",CARGA_DIARIA!A103)</f>
        <v/>
      </c>
      <c r="B103" s="33" t="str">
        <f>IF(CARGA_DIARIA!A103="","",CARGA_DIARIA!B103)</f>
        <v/>
      </c>
      <c r="C103" s="34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5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5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8" t="s">
        <v>146</v>
      </c>
      <c r="G103" s="38" t="s">
        <v>146</v>
      </c>
      <c r="H103" s="37" t="str">
        <f>IF(CARGA_DIARIA!A103="","",C103-D103-E103)</f>
        <v/>
      </c>
    </row>
    <row r="104" spans="1:8" ht="15.75" customHeight="1" x14ac:dyDescent="0.25">
      <c r="A104" s="32" t="str">
        <f>IF(CARGA_DIARIA!A104="","",CARGA_DIARIA!A104)</f>
        <v/>
      </c>
      <c r="B104" s="33" t="str">
        <f>IF(CARGA_DIARIA!A104="","",CARGA_DIARIA!B104)</f>
        <v/>
      </c>
      <c r="C104" s="34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5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5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8" t="s">
        <v>146</v>
      </c>
      <c r="G104" s="38" t="s">
        <v>146</v>
      </c>
      <c r="H104" s="37" t="str">
        <f>IF(CARGA_DIARIA!A104="","",C104-D104-E104)</f>
        <v/>
      </c>
    </row>
    <row r="105" spans="1:8" ht="15.75" customHeight="1" x14ac:dyDescent="0.25">
      <c r="A105" s="32" t="str">
        <f>IF(CARGA_DIARIA!A105="","",CARGA_DIARIA!A105)</f>
        <v/>
      </c>
      <c r="B105" s="33" t="str">
        <f>IF(CARGA_DIARIA!A105="","",CARGA_DIARIA!B105)</f>
        <v/>
      </c>
      <c r="C105" s="34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5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5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8" t="s">
        <v>146</v>
      </c>
      <c r="G105" s="38" t="s">
        <v>146</v>
      </c>
      <c r="H105" s="37" t="str">
        <f>IF(CARGA_DIARIA!A105="","",C105-D105-E105)</f>
        <v/>
      </c>
    </row>
    <row r="106" spans="1:8" ht="15.75" customHeight="1" x14ac:dyDescent="0.25">
      <c r="A106" s="32" t="str">
        <f>IF(CARGA_DIARIA!A106="","",CARGA_DIARIA!A106)</f>
        <v/>
      </c>
      <c r="B106" s="33" t="str">
        <f>IF(CARGA_DIARIA!A106="","",CARGA_DIARIA!B106)</f>
        <v/>
      </c>
      <c r="C106" s="34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5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5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8" t="s">
        <v>146</v>
      </c>
      <c r="G106" s="38" t="s">
        <v>146</v>
      </c>
      <c r="H106" s="37" t="str">
        <f>IF(CARGA_DIARIA!A106="","",C106-D106-E106)</f>
        <v/>
      </c>
    </row>
    <row r="107" spans="1:8" ht="15.75" customHeight="1" x14ac:dyDescent="0.25">
      <c r="A107" s="32" t="str">
        <f>IF(CARGA_DIARIA!A107="","",CARGA_DIARIA!A107)</f>
        <v/>
      </c>
      <c r="B107" s="33" t="str">
        <f>IF(CARGA_DIARIA!A107="","",CARGA_DIARIA!B107)</f>
        <v/>
      </c>
      <c r="C107" s="34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5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5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8" t="s">
        <v>146</v>
      </c>
      <c r="G107" s="38" t="s">
        <v>146</v>
      </c>
      <c r="H107" s="37" t="str">
        <f>IF(CARGA_DIARIA!A107="","",C107-D107-E107)</f>
        <v/>
      </c>
    </row>
    <row r="108" spans="1:8" ht="15.75" customHeight="1" x14ac:dyDescent="0.25">
      <c r="A108" s="32" t="str">
        <f>IF(CARGA_DIARIA!A108="","",CARGA_DIARIA!A108)</f>
        <v/>
      </c>
      <c r="B108" s="33" t="str">
        <f>IF(CARGA_DIARIA!A108="","",CARGA_DIARIA!B108)</f>
        <v/>
      </c>
      <c r="C108" s="34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5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5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8" t="s">
        <v>146</v>
      </c>
      <c r="G108" s="38" t="s">
        <v>146</v>
      </c>
      <c r="H108" s="37" t="str">
        <f>IF(CARGA_DIARIA!A108="","",C108-D108-E108)</f>
        <v/>
      </c>
    </row>
    <row r="109" spans="1:8" ht="15.75" customHeight="1" x14ac:dyDescent="0.25">
      <c r="A109" s="32" t="str">
        <f>IF(CARGA_DIARIA!A109="","",CARGA_DIARIA!A109)</f>
        <v/>
      </c>
      <c r="B109" s="33" t="str">
        <f>IF(CARGA_DIARIA!A109="","",CARGA_DIARIA!B109)</f>
        <v/>
      </c>
      <c r="C109" s="34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5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5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8" t="s">
        <v>146</v>
      </c>
      <c r="G109" s="38" t="s">
        <v>146</v>
      </c>
      <c r="H109" s="37" t="str">
        <f>IF(CARGA_DIARIA!A109="","",C109-D109-E109)</f>
        <v/>
      </c>
    </row>
    <row r="110" spans="1:8" ht="15.75" customHeight="1" x14ac:dyDescent="0.25">
      <c r="A110" s="32" t="str">
        <f>IF(CARGA_DIARIA!A110="","",CARGA_DIARIA!A110)</f>
        <v/>
      </c>
      <c r="B110" s="33" t="str">
        <f>IF(CARGA_DIARIA!A110="","",CARGA_DIARIA!B110)</f>
        <v/>
      </c>
      <c r="C110" s="34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5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5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8" t="s">
        <v>146</v>
      </c>
      <c r="G110" s="38" t="s">
        <v>146</v>
      </c>
      <c r="H110" s="37" t="str">
        <f>IF(CARGA_DIARIA!A110="","",C110-D110-E110)</f>
        <v/>
      </c>
    </row>
    <row r="111" spans="1:8" ht="15.75" customHeight="1" x14ac:dyDescent="0.25">
      <c r="A111" s="32" t="str">
        <f>IF(CARGA_DIARIA!A111="","",CARGA_DIARIA!A111)</f>
        <v/>
      </c>
      <c r="B111" s="33" t="str">
        <f>IF(CARGA_DIARIA!A111="","",CARGA_DIARIA!B111)</f>
        <v/>
      </c>
      <c r="C111" s="34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5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5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8" t="s">
        <v>146</v>
      </c>
      <c r="G111" s="38" t="s">
        <v>146</v>
      </c>
      <c r="H111" s="37" t="str">
        <f>IF(CARGA_DIARIA!A111="","",C111-D111-E111)</f>
        <v/>
      </c>
    </row>
    <row r="112" spans="1:8" ht="15.75" customHeight="1" x14ac:dyDescent="0.25">
      <c r="A112" s="32" t="str">
        <f>IF(CARGA_DIARIA!A112="","",CARGA_DIARIA!A112)</f>
        <v/>
      </c>
      <c r="B112" s="33" t="str">
        <f>IF(CARGA_DIARIA!A112="","",CARGA_DIARIA!B112)</f>
        <v/>
      </c>
      <c r="C112" s="34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5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5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8" t="s">
        <v>146</v>
      </c>
      <c r="G112" s="38" t="s">
        <v>146</v>
      </c>
      <c r="H112" s="37" t="str">
        <f>IF(CARGA_DIARIA!A112="","",C112-D112-E112)</f>
        <v/>
      </c>
    </row>
    <row r="113" spans="1:8" ht="15.75" customHeight="1" x14ac:dyDescent="0.25">
      <c r="A113" s="32" t="str">
        <f>IF(CARGA_DIARIA!A113="","",CARGA_DIARIA!A113)</f>
        <v/>
      </c>
      <c r="B113" s="33" t="str">
        <f>IF(CARGA_DIARIA!A113="","",CARGA_DIARIA!B113)</f>
        <v/>
      </c>
      <c r="C113" s="34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5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5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8" t="s">
        <v>146</v>
      </c>
      <c r="G113" s="38" t="s">
        <v>146</v>
      </c>
      <c r="H113" s="37" t="str">
        <f>IF(CARGA_DIARIA!A113="","",C113-D113-E113)</f>
        <v/>
      </c>
    </row>
    <row r="114" spans="1:8" ht="15.75" customHeight="1" x14ac:dyDescent="0.25">
      <c r="A114" s="32" t="str">
        <f>IF(CARGA_DIARIA!A114="","",CARGA_DIARIA!A114)</f>
        <v/>
      </c>
      <c r="B114" s="33" t="str">
        <f>IF(CARGA_DIARIA!A114="","",CARGA_DIARIA!B114)</f>
        <v/>
      </c>
      <c r="C114" s="34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5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5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8" t="s">
        <v>146</v>
      </c>
      <c r="G114" s="38" t="s">
        <v>146</v>
      </c>
      <c r="H114" s="37" t="str">
        <f>IF(CARGA_DIARIA!A114="","",C114-D114-E114)</f>
        <v/>
      </c>
    </row>
    <row r="115" spans="1:8" ht="15.75" customHeight="1" x14ac:dyDescent="0.25">
      <c r="A115" s="32" t="str">
        <f>IF(CARGA_DIARIA!A115="","",CARGA_DIARIA!A115)</f>
        <v/>
      </c>
      <c r="B115" s="33" t="str">
        <f>IF(CARGA_DIARIA!A115="","",CARGA_DIARIA!B115)</f>
        <v/>
      </c>
      <c r="C115" s="34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5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5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8" t="s">
        <v>146</v>
      </c>
      <c r="G115" s="38" t="s">
        <v>146</v>
      </c>
      <c r="H115" s="37" t="str">
        <f>IF(CARGA_DIARIA!A115="","",C115-D115-E115)</f>
        <v/>
      </c>
    </row>
    <row r="116" spans="1:8" ht="15.75" customHeight="1" x14ac:dyDescent="0.25">
      <c r="A116" s="32" t="str">
        <f>IF(CARGA_DIARIA!A116="","",CARGA_DIARIA!A116)</f>
        <v/>
      </c>
      <c r="B116" s="33" t="str">
        <f>IF(CARGA_DIARIA!A116="","",CARGA_DIARIA!B116)</f>
        <v/>
      </c>
      <c r="C116" s="34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5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5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8" t="s">
        <v>146</v>
      </c>
      <c r="G116" s="38" t="s">
        <v>146</v>
      </c>
      <c r="H116" s="37" t="str">
        <f>IF(CARGA_DIARIA!A116="","",C116-D116-E116)</f>
        <v/>
      </c>
    </row>
    <row r="117" spans="1:8" ht="15.75" customHeight="1" x14ac:dyDescent="0.25">
      <c r="A117" s="32" t="str">
        <f>IF(CARGA_DIARIA!A117="","",CARGA_DIARIA!A117)</f>
        <v/>
      </c>
      <c r="B117" s="33" t="str">
        <f>IF(CARGA_DIARIA!A117="","",CARGA_DIARIA!B117)</f>
        <v/>
      </c>
      <c r="C117" s="34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5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5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8" t="s">
        <v>146</v>
      </c>
      <c r="G117" s="38" t="s">
        <v>146</v>
      </c>
      <c r="H117" s="37" t="str">
        <f>IF(CARGA_DIARIA!A117="","",C117-D117-E117)</f>
        <v/>
      </c>
    </row>
    <row r="118" spans="1:8" ht="15.75" customHeight="1" x14ac:dyDescent="0.25">
      <c r="A118" s="32" t="str">
        <f>IF(CARGA_DIARIA!A118="","",CARGA_DIARIA!A118)</f>
        <v/>
      </c>
      <c r="B118" s="33" t="str">
        <f>IF(CARGA_DIARIA!A118="","",CARGA_DIARIA!B118)</f>
        <v/>
      </c>
      <c r="C118" s="34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5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5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8" t="s">
        <v>146</v>
      </c>
      <c r="G118" s="38" t="s">
        <v>146</v>
      </c>
      <c r="H118" s="37" t="str">
        <f>IF(CARGA_DIARIA!A118="","",C118-D118-E118)</f>
        <v/>
      </c>
    </row>
    <row r="119" spans="1:8" ht="15.75" customHeight="1" x14ac:dyDescent="0.25">
      <c r="A119" s="32" t="str">
        <f>IF(CARGA_DIARIA!A119="","",CARGA_DIARIA!A119)</f>
        <v/>
      </c>
      <c r="B119" s="33" t="str">
        <f>IF(CARGA_DIARIA!A119="","",CARGA_DIARIA!B119)</f>
        <v/>
      </c>
      <c r="C119" s="34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5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5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8" t="s">
        <v>146</v>
      </c>
      <c r="G119" s="38" t="s">
        <v>146</v>
      </c>
      <c r="H119" s="37" t="str">
        <f>IF(CARGA_DIARIA!A119="","",C119-D119-E119)</f>
        <v/>
      </c>
    </row>
    <row r="120" spans="1:8" ht="15.75" customHeight="1" x14ac:dyDescent="0.25">
      <c r="A120" s="32" t="str">
        <f>IF(CARGA_DIARIA!A120="","",CARGA_DIARIA!A120)</f>
        <v/>
      </c>
      <c r="B120" s="33" t="str">
        <f>IF(CARGA_DIARIA!A120="","",CARGA_DIARIA!B120)</f>
        <v/>
      </c>
      <c r="C120" s="34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5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5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8" t="s">
        <v>146</v>
      </c>
      <c r="G120" s="38" t="s">
        <v>146</v>
      </c>
      <c r="H120" s="37" t="str">
        <f>IF(CARGA_DIARIA!A120="","",C120-D120-E120)</f>
        <v/>
      </c>
    </row>
    <row r="121" spans="1:8" ht="15.75" customHeight="1" x14ac:dyDescent="0.25">
      <c r="A121" s="32" t="str">
        <f>IF(CARGA_DIARIA!A121="","",CARGA_DIARIA!A121)</f>
        <v/>
      </c>
      <c r="B121" s="33" t="str">
        <f>IF(CARGA_DIARIA!A121="","",CARGA_DIARIA!B121)</f>
        <v/>
      </c>
      <c r="C121" s="34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5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5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8" t="s">
        <v>146</v>
      </c>
      <c r="G121" s="38" t="s">
        <v>146</v>
      </c>
      <c r="H121" s="37" t="str">
        <f>IF(CARGA_DIARIA!A121="","",C121-D121-E121)</f>
        <v/>
      </c>
    </row>
    <row r="122" spans="1:8" ht="15.75" customHeight="1" x14ac:dyDescent="0.25">
      <c r="A122" s="32" t="str">
        <f>IF(CARGA_DIARIA!A122="","",CARGA_DIARIA!A122)</f>
        <v/>
      </c>
      <c r="B122" s="33" t="str">
        <f>IF(CARGA_DIARIA!A122="","",CARGA_DIARIA!B122)</f>
        <v/>
      </c>
      <c r="C122" s="34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5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5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8" t="s">
        <v>146</v>
      </c>
      <c r="G122" s="38" t="s">
        <v>146</v>
      </c>
      <c r="H122" s="37" t="str">
        <f>IF(CARGA_DIARIA!A122="","",C122-D122-E122)</f>
        <v/>
      </c>
    </row>
    <row r="123" spans="1:8" ht="15.75" customHeight="1" x14ac:dyDescent="0.25">
      <c r="A123" s="32" t="str">
        <f>IF(CARGA_DIARIA!A123="","",CARGA_DIARIA!A123)</f>
        <v/>
      </c>
      <c r="B123" s="33" t="str">
        <f>IF(CARGA_DIARIA!A123="","",CARGA_DIARIA!B123)</f>
        <v/>
      </c>
      <c r="C123" s="34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5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5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8" t="s">
        <v>146</v>
      </c>
      <c r="G123" s="38" t="s">
        <v>146</v>
      </c>
      <c r="H123" s="37" t="str">
        <f>IF(CARGA_DIARIA!A123="","",C123-D123-E123)</f>
        <v/>
      </c>
    </row>
    <row r="124" spans="1:8" ht="15.75" customHeight="1" x14ac:dyDescent="0.25">
      <c r="A124" s="32" t="str">
        <f>IF(CARGA_DIARIA!A124="","",CARGA_DIARIA!A124)</f>
        <v/>
      </c>
      <c r="B124" s="33" t="str">
        <f>IF(CARGA_DIARIA!A124="","",CARGA_DIARIA!B124)</f>
        <v/>
      </c>
      <c r="C124" s="34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5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5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8" t="s">
        <v>146</v>
      </c>
      <c r="G124" s="38" t="s">
        <v>146</v>
      </c>
      <c r="H124" s="37" t="str">
        <f>IF(CARGA_DIARIA!A124="","",C124-D124-E124)</f>
        <v/>
      </c>
    </row>
    <row r="125" spans="1:8" ht="15.75" customHeight="1" x14ac:dyDescent="0.25">
      <c r="A125" s="32" t="str">
        <f>IF(CARGA_DIARIA!A125="","",CARGA_DIARIA!A125)</f>
        <v/>
      </c>
      <c r="B125" s="33" t="str">
        <f>IF(CARGA_DIARIA!A125="","",CARGA_DIARIA!B125)</f>
        <v/>
      </c>
      <c r="C125" s="34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5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5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8" t="s">
        <v>146</v>
      </c>
      <c r="G125" s="38" t="s">
        <v>146</v>
      </c>
      <c r="H125" s="37" t="str">
        <f>IF(CARGA_DIARIA!A125="","",C125-D125-E125)</f>
        <v/>
      </c>
    </row>
    <row r="126" spans="1:8" ht="15.75" customHeight="1" x14ac:dyDescent="0.25">
      <c r="A126" s="32" t="str">
        <f>IF(CARGA_DIARIA!A126="","",CARGA_DIARIA!A126)</f>
        <v/>
      </c>
      <c r="B126" s="33" t="str">
        <f>IF(CARGA_DIARIA!A126="","",CARGA_DIARIA!B126)</f>
        <v/>
      </c>
      <c r="C126" s="34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5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5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8" t="s">
        <v>146</v>
      </c>
      <c r="G126" s="38" t="s">
        <v>146</v>
      </c>
      <c r="H126" s="37" t="str">
        <f>IF(CARGA_DIARIA!A126="","",C126-D126-E126)</f>
        <v/>
      </c>
    </row>
    <row r="127" spans="1:8" ht="15.75" customHeight="1" x14ac:dyDescent="0.25">
      <c r="A127" s="32" t="str">
        <f>IF(CARGA_DIARIA!A127="","",CARGA_DIARIA!A127)</f>
        <v/>
      </c>
      <c r="B127" s="33" t="str">
        <f>IF(CARGA_DIARIA!A127="","",CARGA_DIARIA!B127)</f>
        <v/>
      </c>
      <c r="C127" s="34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5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5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8" t="s">
        <v>146</v>
      </c>
      <c r="G127" s="38" t="s">
        <v>146</v>
      </c>
      <c r="H127" s="37" t="str">
        <f>IF(CARGA_DIARIA!A127="","",C127-D127-E127)</f>
        <v/>
      </c>
    </row>
    <row r="128" spans="1:8" ht="15.75" customHeight="1" x14ac:dyDescent="0.25">
      <c r="A128" s="32" t="str">
        <f>IF(CARGA_DIARIA!A128="","",CARGA_DIARIA!A128)</f>
        <v/>
      </c>
      <c r="B128" s="33" t="str">
        <f>IF(CARGA_DIARIA!A128="","",CARGA_DIARIA!B128)</f>
        <v/>
      </c>
      <c r="C128" s="34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5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5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8" t="s">
        <v>146</v>
      </c>
      <c r="G128" s="38" t="s">
        <v>146</v>
      </c>
      <c r="H128" s="37" t="str">
        <f>IF(CARGA_DIARIA!A128="","",C128-D128-E128)</f>
        <v/>
      </c>
    </row>
    <row r="129" spans="1:8" ht="15.75" customHeight="1" x14ac:dyDescent="0.25">
      <c r="A129" s="32" t="str">
        <f>IF(CARGA_DIARIA!A129="","",CARGA_DIARIA!A129)</f>
        <v/>
      </c>
      <c r="B129" s="33" t="str">
        <f>IF(CARGA_DIARIA!A129="","",CARGA_DIARIA!B129)</f>
        <v/>
      </c>
      <c r="C129" s="34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5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5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8" t="s">
        <v>146</v>
      </c>
      <c r="G129" s="38" t="s">
        <v>146</v>
      </c>
      <c r="H129" s="37" t="str">
        <f>IF(CARGA_DIARIA!A129="","",C129-D129-E129)</f>
        <v/>
      </c>
    </row>
    <row r="130" spans="1:8" ht="15.75" customHeight="1" x14ac:dyDescent="0.25">
      <c r="A130" s="32" t="str">
        <f>IF(CARGA_DIARIA!A130="","",CARGA_DIARIA!A130)</f>
        <v/>
      </c>
      <c r="B130" s="33" t="str">
        <f>IF(CARGA_DIARIA!A130="","",CARGA_DIARIA!B130)</f>
        <v/>
      </c>
      <c r="C130" s="34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5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5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8" t="s">
        <v>146</v>
      </c>
      <c r="G130" s="38" t="s">
        <v>146</v>
      </c>
      <c r="H130" s="37" t="str">
        <f>IF(CARGA_DIARIA!A130="","",C130-D130-E130)</f>
        <v/>
      </c>
    </row>
    <row r="131" spans="1:8" ht="15.75" customHeight="1" x14ac:dyDescent="0.25">
      <c r="A131" s="32" t="str">
        <f>IF(CARGA_DIARIA!A131="","",CARGA_DIARIA!A131)</f>
        <v/>
      </c>
      <c r="B131" s="33" t="str">
        <f>IF(CARGA_DIARIA!A131="","",CARGA_DIARIA!B131)</f>
        <v/>
      </c>
      <c r="C131" s="34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5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5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8" t="s">
        <v>146</v>
      </c>
      <c r="G131" s="38" t="s">
        <v>146</v>
      </c>
      <c r="H131" s="37" t="str">
        <f>IF(CARGA_DIARIA!A131="","",C131-D131-E131)</f>
        <v/>
      </c>
    </row>
    <row r="132" spans="1:8" ht="15.75" customHeight="1" x14ac:dyDescent="0.25">
      <c r="A132" s="32" t="str">
        <f>IF(CARGA_DIARIA!A132="","",CARGA_DIARIA!A132)</f>
        <v/>
      </c>
      <c r="B132" s="33" t="str">
        <f>IF(CARGA_DIARIA!A132="","",CARGA_DIARIA!B132)</f>
        <v/>
      </c>
      <c r="C132" s="34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5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5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8" t="s">
        <v>146</v>
      </c>
      <c r="G132" s="38" t="s">
        <v>146</v>
      </c>
      <c r="H132" s="37" t="str">
        <f>IF(CARGA_DIARIA!A132="","",C132-D132-E132)</f>
        <v/>
      </c>
    </row>
    <row r="133" spans="1:8" ht="15.75" customHeight="1" x14ac:dyDescent="0.25">
      <c r="A133" s="32" t="str">
        <f>IF(CARGA_DIARIA!A133="","",CARGA_DIARIA!A133)</f>
        <v/>
      </c>
      <c r="B133" s="33" t="str">
        <f>IF(CARGA_DIARIA!A133="","",CARGA_DIARIA!B133)</f>
        <v/>
      </c>
      <c r="C133" s="34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5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5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8" t="s">
        <v>146</v>
      </c>
      <c r="G133" s="38" t="s">
        <v>146</v>
      </c>
      <c r="H133" s="37" t="str">
        <f>IF(CARGA_DIARIA!A133="","",C133-D133-E133)</f>
        <v/>
      </c>
    </row>
    <row r="134" spans="1:8" ht="15.75" customHeight="1" x14ac:dyDescent="0.25">
      <c r="A134" s="32" t="str">
        <f>IF(CARGA_DIARIA!A134="","",CARGA_DIARIA!A134)</f>
        <v/>
      </c>
      <c r="B134" s="33" t="str">
        <f>IF(CARGA_DIARIA!A134="","",CARGA_DIARIA!B134)</f>
        <v/>
      </c>
      <c r="C134" s="34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5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5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8" t="s">
        <v>146</v>
      </c>
      <c r="G134" s="38" t="s">
        <v>146</v>
      </c>
      <c r="H134" s="37" t="str">
        <f>IF(CARGA_DIARIA!A134="","",C134-D134-E134)</f>
        <v/>
      </c>
    </row>
    <row r="135" spans="1:8" ht="15.75" customHeight="1" x14ac:dyDescent="0.25">
      <c r="A135" s="32" t="str">
        <f>IF(CARGA_DIARIA!A135="","",CARGA_DIARIA!A135)</f>
        <v/>
      </c>
      <c r="B135" s="33" t="str">
        <f>IF(CARGA_DIARIA!A135="","",CARGA_DIARIA!B135)</f>
        <v/>
      </c>
      <c r="C135" s="34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5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5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8" t="s">
        <v>146</v>
      </c>
      <c r="G135" s="38" t="s">
        <v>146</v>
      </c>
      <c r="H135" s="37" t="str">
        <f>IF(CARGA_DIARIA!A135="","",C135-D135-E135)</f>
        <v/>
      </c>
    </row>
    <row r="136" spans="1:8" ht="15.75" customHeight="1" x14ac:dyDescent="0.25">
      <c r="A136" s="32" t="str">
        <f>IF(CARGA_DIARIA!A136="","",CARGA_DIARIA!A136)</f>
        <v/>
      </c>
      <c r="B136" s="33" t="str">
        <f>IF(CARGA_DIARIA!A136="","",CARGA_DIARIA!B136)</f>
        <v/>
      </c>
      <c r="C136" s="34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5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5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8" t="s">
        <v>146</v>
      </c>
      <c r="G136" s="38" t="s">
        <v>146</v>
      </c>
      <c r="H136" s="37" t="str">
        <f>IF(CARGA_DIARIA!A136="","",C136-D136-E136)</f>
        <v/>
      </c>
    </row>
    <row r="137" spans="1:8" ht="15.75" customHeight="1" x14ac:dyDescent="0.25">
      <c r="A137" s="32" t="str">
        <f>IF(CARGA_DIARIA!A137="","",CARGA_DIARIA!A137)</f>
        <v/>
      </c>
      <c r="B137" s="33" t="str">
        <f>IF(CARGA_DIARIA!A137="","",CARGA_DIARIA!B137)</f>
        <v/>
      </c>
      <c r="C137" s="34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5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5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8" t="s">
        <v>146</v>
      </c>
      <c r="G137" s="38" t="s">
        <v>146</v>
      </c>
      <c r="H137" s="37" t="str">
        <f>IF(CARGA_DIARIA!A137="","",C137-D137-E137)</f>
        <v/>
      </c>
    </row>
    <row r="138" spans="1:8" ht="15.75" customHeight="1" x14ac:dyDescent="0.25">
      <c r="A138" s="32" t="str">
        <f>IF(CARGA_DIARIA!A138="","",CARGA_DIARIA!A138)</f>
        <v/>
      </c>
      <c r="B138" s="33" t="str">
        <f>IF(CARGA_DIARIA!A138="","",CARGA_DIARIA!B138)</f>
        <v/>
      </c>
      <c r="C138" s="34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5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5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8" t="s">
        <v>146</v>
      </c>
      <c r="G138" s="38" t="s">
        <v>146</v>
      </c>
      <c r="H138" s="37" t="str">
        <f>IF(CARGA_DIARIA!A138="","",C138-D138-E138)</f>
        <v/>
      </c>
    </row>
    <row r="139" spans="1:8" ht="15.75" customHeight="1" x14ac:dyDescent="0.25">
      <c r="A139" s="32" t="str">
        <f>IF(CARGA_DIARIA!A139="","",CARGA_DIARIA!A139)</f>
        <v/>
      </c>
      <c r="B139" s="33" t="str">
        <f>IF(CARGA_DIARIA!A139="","",CARGA_DIARIA!B139)</f>
        <v/>
      </c>
      <c r="C139" s="34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5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5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8" t="s">
        <v>146</v>
      </c>
      <c r="G139" s="38" t="s">
        <v>146</v>
      </c>
      <c r="H139" s="37" t="str">
        <f>IF(CARGA_DIARIA!A139="","",C139-D139-E139)</f>
        <v/>
      </c>
    </row>
    <row r="140" spans="1:8" ht="15.75" customHeight="1" x14ac:dyDescent="0.25">
      <c r="A140" s="32" t="str">
        <f>IF(CARGA_DIARIA!A140="","",CARGA_DIARIA!A140)</f>
        <v/>
      </c>
      <c r="B140" s="33" t="str">
        <f>IF(CARGA_DIARIA!A140="","",CARGA_DIARIA!B140)</f>
        <v/>
      </c>
      <c r="C140" s="34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5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5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8" t="s">
        <v>146</v>
      </c>
      <c r="G140" s="38" t="s">
        <v>146</v>
      </c>
      <c r="H140" s="37" t="str">
        <f>IF(CARGA_DIARIA!A140="","",C140-D140-E140)</f>
        <v/>
      </c>
    </row>
    <row r="141" spans="1:8" ht="15.75" customHeight="1" x14ac:dyDescent="0.25">
      <c r="A141" s="32" t="str">
        <f>IF(CARGA_DIARIA!A141="","",CARGA_DIARIA!A141)</f>
        <v/>
      </c>
      <c r="B141" s="33" t="str">
        <f>IF(CARGA_DIARIA!A141="","",CARGA_DIARIA!B141)</f>
        <v/>
      </c>
      <c r="C141" s="34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5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5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8" t="s">
        <v>146</v>
      </c>
      <c r="G141" s="38" t="s">
        <v>146</v>
      </c>
      <c r="H141" s="37" t="str">
        <f>IF(CARGA_DIARIA!A141="","",C141-D141-E141)</f>
        <v/>
      </c>
    </row>
    <row r="142" spans="1:8" ht="15.75" customHeight="1" x14ac:dyDescent="0.25">
      <c r="A142" s="32" t="str">
        <f>IF(CARGA_DIARIA!A142="","",CARGA_DIARIA!A142)</f>
        <v/>
      </c>
      <c r="B142" s="33" t="str">
        <f>IF(CARGA_DIARIA!A142="","",CARGA_DIARIA!B142)</f>
        <v/>
      </c>
      <c r="C142" s="34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5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5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8" t="s">
        <v>146</v>
      </c>
      <c r="G142" s="38" t="s">
        <v>146</v>
      </c>
      <c r="H142" s="37" t="str">
        <f>IF(CARGA_DIARIA!A142="","",C142-D142-E142)</f>
        <v/>
      </c>
    </row>
    <row r="143" spans="1:8" ht="15.75" customHeight="1" x14ac:dyDescent="0.25">
      <c r="A143" s="32" t="str">
        <f>IF(CARGA_DIARIA!A143="","",CARGA_DIARIA!A143)</f>
        <v/>
      </c>
      <c r="B143" s="33" t="str">
        <f>IF(CARGA_DIARIA!A143="","",CARGA_DIARIA!B143)</f>
        <v/>
      </c>
      <c r="C143" s="34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5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5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8" t="s">
        <v>146</v>
      </c>
      <c r="G143" s="38" t="s">
        <v>146</v>
      </c>
      <c r="H143" s="37" t="str">
        <f>IF(CARGA_DIARIA!A143="","",C143-D143-E143)</f>
        <v/>
      </c>
    </row>
    <row r="144" spans="1:8" ht="15.75" customHeight="1" x14ac:dyDescent="0.25">
      <c r="A144" s="32" t="str">
        <f>IF(CARGA_DIARIA!A144="","",CARGA_DIARIA!A144)</f>
        <v/>
      </c>
      <c r="B144" s="33" t="str">
        <f>IF(CARGA_DIARIA!A144="","",CARGA_DIARIA!B144)</f>
        <v/>
      </c>
      <c r="C144" s="34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5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5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8" t="s">
        <v>146</v>
      </c>
      <c r="G144" s="38" t="s">
        <v>146</v>
      </c>
      <c r="H144" s="37" t="str">
        <f>IF(CARGA_DIARIA!A144="","",C144-D144-E144)</f>
        <v/>
      </c>
    </row>
    <row r="145" spans="1:8" ht="15.75" customHeight="1" x14ac:dyDescent="0.25">
      <c r="A145" s="32" t="str">
        <f>IF(CARGA_DIARIA!A145="","",CARGA_DIARIA!A145)</f>
        <v/>
      </c>
      <c r="B145" s="33" t="str">
        <f>IF(CARGA_DIARIA!A145="","",CARGA_DIARIA!B145)</f>
        <v/>
      </c>
      <c r="C145" s="34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5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5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8" t="s">
        <v>146</v>
      </c>
      <c r="G145" s="38" t="s">
        <v>146</v>
      </c>
      <c r="H145" s="37" t="str">
        <f>IF(CARGA_DIARIA!A145="","",C145-D145-E145)</f>
        <v/>
      </c>
    </row>
    <row r="146" spans="1:8" ht="15.75" customHeight="1" x14ac:dyDescent="0.25">
      <c r="A146" s="32" t="str">
        <f>IF(CARGA_DIARIA!A146="","",CARGA_DIARIA!A146)</f>
        <v/>
      </c>
      <c r="B146" s="33" t="str">
        <f>IF(CARGA_DIARIA!A146="","",CARGA_DIARIA!B146)</f>
        <v/>
      </c>
      <c r="C146" s="34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5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5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8" t="s">
        <v>146</v>
      </c>
      <c r="G146" s="38" t="s">
        <v>146</v>
      </c>
      <c r="H146" s="37" t="str">
        <f>IF(CARGA_DIARIA!A146="","",C146-D146-E146)</f>
        <v/>
      </c>
    </row>
    <row r="147" spans="1:8" ht="15.75" customHeight="1" x14ac:dyDescent="0.25">
      <c r="A147" s="32" t="str">
        <f>IF(CARGA_DIARIA!A147="","",CARGA_DIARIA!A147)</f>
        <v/>
      </c>
      <c r="B147" s="33" t="str">
        <f>IF(CARGA_DIARIA!A147="","",CARGA_DIARIA!B147)</f>
        <v/>
      </c>
      <c r="C147" s="34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5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5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8" t="s">
        <v>146</v>
      </c>
      <c r="G147" s="38" t="s">
        <v>146</v>
      </c>
      <c r="H147" s="37" t="str">
        <f>IF(CARGA_DIARIA!A147="","",C147-D147-E147)</f>
        <v/>
      </c>
    </row>
    <row r="148" spans="1:8" ht="15.75" customHeight="1" x14ac:dyDescent="0.25">
      <c r="A148" s="32" t="str">
        <f>IF(CARGA_DIARIA!A148="","",CARGA_DIARIA!A148)</f>
        <v/>
      </c>
      <c r="B148" s="33" t="str">
        <f>IF(CARGA_DIARIA!A148="","",CARGA_DIARIA!B148)</f>
        <v/>
      </c>
      <c r="C148" s="34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5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5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8" t="s">
        <v>146</v>
      </c>
      <c r="G148" s="38" t="s">
        <v>146</v>
      </c>
      <c r="H148" s="37" t="str">
        <f>IF(CARGA_DIARIA!A148="","",C148-D148-E148)</f>
        <v/>
      </c>
    </row>
    <row r="149" spans="1:8" ht="15.75" customHeight="1" x14ac:dyDescent="0.25">
      <c r="A149" s="32" t="str">
        <f>IF(CARGA_DIARIA!A149="","",CARGA_DIARIA!A149)</f>
        <v/>
      </c>
      <c r="B149" s="33" t="str">
        <f>IF(CARGA_DIARIA!A149="","",CARGA_DIARIA!B149)</f>
        <v/>
      </c>
      <c r="C149" s="34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5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5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8" t="s">
        <v>146</v>
      </c>
      <c r="G149" s="38" t="s">
        <v>146</v>
      </c>
      <c r="H149" s="37" t="str">
        <f>IF(CARGA_DIARIA!A149="","",C149-D149-E149)</f>
        <v/>
      </c>
    </row>
    <row r="150" spans="1:8" ht="15.75" customHeight="1" x14ac:dyDescent="0.25">
      <c r="A150" s="32" t="str">
        <f>IF(CARGA_DIARIA!A150="","",CARGA_DIARIA!A150)</f>
        <v/>
      </c>
      <c r="B150" s="33" t="str">
        <f>IF(CARGA_DIARIA!A150="","",CARGA_DIARIA!B150)</f>
        <v/>
      </c>
      <c r="C150" s="34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5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5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8" t="s">
        <v>146</v>
      </c>
      <c r="G150" s="38" t="s">
        <v>146</v>
      </c>
      <c r="H150" s="37" t="str">
        <f>IF(CARGA_DIARIA!A150="","",C150-D150-E150)</f>
        <v/>
      </c>
    </row>
    <row r="151" spans="1:8" ht="15.75" customHeight="1" x14ac:dyDescent="0.25">
      <c r="A151" s="32" t="str">
        <f>IF(CARGA_DIARIA!A151="","",CARGA_DIARIA!A151)</f>
        <v/>
      </c>
      <c r="B151" s="33" t="str">
        <f>IF(CARGA_DIARIA!A151="","",CARGA_DIARIA!B151)</f>
        <v/>
      </c>
      <c r="C151" s="34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5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5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8" t="s">
        <v>146</v>
      </c>
      <c r="G151" s="38" t="s">
        <v>146</v>
      </c>
      <c r="H151" s="37" t="str">
        <f>IF(CARGA_DIARIA!A151="","",C151-D151-E151)</f>
        <v/>
      </c>
    </row>
    <row r="152" spans="1:8" ht="15.75" customHeight="1" x14ac:dyDescent="0.25">
      <c r="A152" s="32" t="str">
        <f>IF(CARGA_DIARIA!A152="","",CARGA_DIARIA!A152)</f>
        <v/>
      </c>
      <c r="B152" s="33" t="str">
        <f>IF(CARGA_DIARIA!A152="","",CARGA_DIARIA!B152)</f>
        <v/>
      </c>
      <c r="C152" s="34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5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5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8" t="s">
        <v>146</v>
      </c>
      <c r="G152" s="38" t="s">
        <v>146</v>
      </c>
      <c r="H152" s="37" t="str">
        <f>IF(CARGA_DIARIA!A152="","",C152-D152-E152)</f>
        <v/>
      </c>
    </row>
    <row r="153" spans="1:8" ht="15.75" customHeight="1" x14ac:dyDescent="0.25">
      <c r="A153" s="32" t="str">
        <f>IF(CARGA_DIARIA!A153="","",CARGA_DIARIA!A153)</f>
        <v/>
      </c>
      <c r="B153" s="33" t="str">
        <f>IF(CARGA_DIARIA!A153="","",CARGA_DIARIA!B153)</f>
        <v/>
      </c>
      <c r="C153" s="34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5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5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8" t="s">
        <v>146</v>
      </c>
      <c r="G153" s="38" t="s">
        <v>146</v>
      </c>
      <c r="H153" s="37" t="str">
        <f>IF(CARGA_DIARIA!A153="","",C153-D153-E153)</f>
        <v/>
      </c>
    </row>
    <row r="154" spans="1:8" ht="15.75" customHeight="1" x14ac:dyDescent="0.25">
      <c r="A154" s="32" t="str">
        <f>IF(CARGA_DIARIA!A154="","",CARGA_DIARIA!A154)</f>
        <v/>
      </c>
      <c r="B154" s="33" t="str">
        <f>IF(CARGA_DIARIA!A154="","",CARGA_DIARIA!B154)</f>
        <v/>
      </c>
      <c r="C154" s="34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5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5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8" t="s">
        <v>146</v>
      </c>
      <c r="G154" s="38" t="s">
        <v>146</v>
      </c>
      <c r="H154" s="37" t="str">
        <f>IF(CARGA_DIARIA!A154="","",C154-D154-E154)</f>
        <v/>
      </c>
    </row>
    <row r="155" spans="1:8" ht="15.75" customHeight="1" x14ac:dyDescent="0.25">
      <c r="A155" s="32" t="str">
        <f>IF(CARGA_DIARIA!A155="","",CARGA_DIARIA!A155)</f>
        <v/>
      </c>
      <c r="B155" s="33" t="str">
        <f>IF(CARGA_DIARIA!A155="","",CARGA_DIARIA!B155)</f>
        <v/>
      </c>
      <c r="C155" s="34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5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5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8" t="s">
        <v>146</v>
      </c>
      <c r="G155" s="38" t="s">
        <v>146</v>
      </c>
      <c r="H155" s="37" t="str">
        <f>IF(CARGA_DIARIA!A155="","",C155-D155-E155)</f>
        <v/>
      </c>
    </row>
    <row r="156" spans="1:8" ht="15.75" customHeight="1" x14ac:dyDescent="0.25">
      <c r="A156" s="32" t="str">
        <f>IF(CARGA_DIARIA!A156="","",CARGA_DIARIA!A156)</f>
        <v/>
      </c>
      <c r="B156" s="33" t="str">
        <f>IF(CARGA_DIARIA!A156="","",CARGA_DIARIA!B156)</f>
        <v/>
      </c>
      <c r="C156" s="34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5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5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8" t="s">
        <v>146</v>
      </c>
      <c r="G156" s="38" t="s">
        <v>146</v>
      </c>
      <c r="H156" s="37" t="str">
        <f>IF(CARGA_DIARIA!A156="","",C156-D156-E156)</f>
        <v/>
      </c>
    </row>
    <row r="157" spans="1:8" ht="15.75" customHeight="1" x14ac:dyDescent="0.25">
      <c r="A157" s="32" t="str">
        <f>IF(CARGA_DIARIA!A157="","",CARGA_DIARIA!A157)</f>
        <v/>
      </c>
      <c r="B157" s="33" t="str">
        <f>IF(CARGA_DIARIA!A157="","",CARGA_DIARIA!B157)</f>
        <v/>
      </c>
      <c r="C157" s="34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5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5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8" t="s">
        <v>146</v>
      </c>
      <c r="G157" s="38" t="s">
        <v>146</v>
      </c>
      <c r="H157" s="37" t="str">
        <f>IF(CARGA_DIARIA!A157="","",C157-D157-E157)</f>
        <v/>
      </c>
    </row>
    <row r="158" spans="1:8" ht="15.75" customHeight="1" x14ac:dyDescent="0.25">
      <c r="A158" s="32" t="str">
        <f>IF(CARGA_DIARIA!A158="","",CARGA_DIARIA!A158)</f>
        <v/>
      </c>
      <c r="B158" s="33" t="str">
        <f>IF(CARGA_DIARIA!A158="","",CARGA_DIARIA!B158)</f>
        <v/>
      </c>
      <c r="C158" s="34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5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5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8" t="s">
        <v>146</v>
      </c>
      <c r="G158" s="38" t="s">
        <v>146</v>
      </c>
      <c r="H158" s="37" t="str">
        <f>IF(CARGA_DIARIA!A158="","",C158-D158-E158)</f>
        <v/>
      </c>
    </row>
    <row r="159" spans="1:8" ht="15.75" customHeight="1" x14ac:dyDescent="0.25">
      <c r="A159" s="32" t="str">
        <f>IF(CARGA_DIARIA!A159="","",CARGA_DIARIA!A159)</f>
        <v/>
      </c>
      <c r="B159" s="33" t="str">
        <f>IF(CARGA_DIARIA!A159="","",CARGA_DIARIA!B159)</f>
        <v/>
      </c>
      <c r="C159" s="34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5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5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8" t="s">
        <v>146</v>
      </c>
      <c r="G159" s="38" t="s">
        <v>146</v>
      </c>
      <c r="H159" s="37" t="str">
        <f>IF(CARGA_DIARIA!A159="","",C159-D159-E159)</f>
        <v/>
      </c>
    </row>
    <row r="160" spans="1:8" ht="15.75" customHeight="1" x14ac:dyDescent="0.25">
      <c r="A160" s="32" t="str">
        <f>IF(CARGA_DIARIA!A160="","",CARGA_DIARIA!A160)</f>
        <v/>
      </c>
      <c r="B160" s="33" t="str">
        <f>IF(CARGA_DIARIA!A160="","",CARGA_DIARIA!B160)</f>
        <v/>
      </c>
      <c r="C160" s="34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5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5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8" t="s">
        <v>146</v>
      </c>
      <c r="G160" s="38" t="s">
        <v>146</v>
      </c>
      <c r="H160" s="37" t="str">
        <f>IF(CARGA_DIARIA!A160="","",C160-D160-E160)</f>
        <v/>
      </c>
    </row>
    <row r="161" spans="1:8" ht="15.75" customHeight="1" x14ac:dyDescent="0.25">
      <c r="A161" s="32" t="str">
        <f>IF(CARGA_DIARIA!A161="","",CARGA_DIARIA!A161)</f>
        <v/>
      </c>
      <c r="B161" s="33" t="str">
        <f>IF(CARGA_DIARIA!A161="","",CARGA_DIARIA!B161)</f>
        <v/>
      </c>
      <c r="C161" s="34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5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5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8" t="s">
        <v>146</v>
      </c>
      <c r="G161" s="38" t="s">
        <v>146</v>
      </c>
      <c r="H161" s="37" t="str">
        <f>IF(CARGA_DIARIA!A161="","",C161-D161-E161)</f>
        <v/>
      </c>
    </row>
    <row r="162" spans="1:8" ht="15.75" customHeight="1" x14ac:dyDescent="0.25">
      <c r="A162" s="32" t="str">
        <f>IF(CARGA_DIARIA!A162="","",CARGA_DIARIA!A162)</f>
        <v/>
      </c>
      <c r="B162" s="33" t="str">
        <f>IF(CARGA_DIARIA!A162="","",CARGA_DIARIA!B162)</f>
        <v/>
      </c>
      <c r="C162" s="34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5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5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8" t="s">
        <v>146</v>
      </c>
      <c r="G162" s="38" t="s">
        <v>146</v>
      </c>
      <c r="H162" s="37" t="str">
        <f>IF(CARGA_DIARIA!A162="","",C162-D162-E162)</f>
        <v/>
      </c>
    </row>
    <row r="163" spans="1:8" ht="15.75" customHeight="1" x14ac:dyDescent="0.25">
      <c r="A163" s="32" t="str">
        <f>IF(CARGA_DIARIA!A163="","",CARGA_DIARIA!A163)</f>
        <v/>
      </c>
      <c r="B163" s="33" t="str">
        <f>IF(CARGA_DIARIA!A163="","",CARGA_DIARIA!B163)</f>
        <v/>
      </c>
      <c r="C163" s="34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5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5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8" t="s">
        <v>146</v>
      </c>
      <c r="G163" s="38" t="s">
        <v>146</v>
      </c>
      <c r="H163" s="37" t="str">
        <f>IF(CARGA_DIARIA!A163="","",C163-D163-E163)</f>
        <v/>
      </c>
    </row>
    <row r="164" spans="1:8" ht="15.75" customHeight="1" x14ac:dyDescent="0.25">
      <c r="A164" s="32" t="str">
        <f>IF(CARGA_DIARIA!A164="","",CARGA_DIARIA!A164)</f>
        <v/>
      </c>
      <c r="B164" s="33" t="str">
        <f>IF(CARGA_DIARIA!A164="","",CARGA_DIARIA!B164)</f>
        <v/>
      </c>
      <c r="C164" s="34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5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5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8" t="s">
        <v>146</v>
      </c>
      <c r="G164" s="38" t="s">
        <v>146</v>
      </c>
      <c r="H164" s="37" t="str">
        <f>IF(CARGA_DIARIA!A164="","",C164-D164-E164)</f>
        <v/>
      </c>
    </row>
    <row r="165" spans="1:8" ht="15.75" customHeight="1" x14ac:dyDescent="0.25">
      <c r="A165" s="32" t="str">
        <f>IF(CARGA_DIARIA!A165="","",CARGA_DIARIA!A165)</f>
        <v/>
      </c>
      <c r="B165" s="33" t="str">
        <f>IF(CARGA_DIARIA!A165="","",CARGA_DIARIA!B165)</f>
        <v/>
      </c>
      <c r="C165" s="34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5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5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8" t="s">
        <v>146</v>
      </c>
      <c r="G165" s="38" t="s">
        <v>146</v>
      </c>
      <c r="H165" s="37" t="str">
        <f>IF(CARGA_DIARIA!A165="","",C165-D165-E165)</f>
        <v/>
      </c>
    </row>
    <row r="166" spans="1:8" ht="15.75" customHeight="1" x14ac:dyDescent="0.25">
      <c r="A166" s="32" t="str">
        <f>IF(CARGA_DIARIA!A166="","",CARGA_DIARIA!A166)</f>
        <v/>
      </c>
      <c r="B166" s="33" t="str">
        <f>IF(CARGA_DIARIA!A166="","",CARGA_DIARIA!B166)</f>
        <v/>
      </c>
      <c r="C166" s="34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5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5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8" t="s">
        <v>146</v>
      </c>
      <c r="G166" s="38" t="s">
        <v>146</v>
      </c>
      <c r="H166" s="37" t="str">
        <f>IF(CARGA_DIARIA!A166="","",C166-D166-E166)</f>
        <v/>
      </c>
    </row>
    <row r="167" spans="1:8" ht="15.75" customHeight="1" x14ac:dyDescent="0.25">
      <c r="A167" s="32" t="str">
        <f>IF(CARGA_DIARIA!A167="","",CARGA_DIARIA!A167)</f>
        <v/>
      </c>
      <c r="B167" s="33" t="str">
        <f>IF(CARGA_DIARIA!A167="","",CARGA_DIARIA!B167)</f>
        <v/>
      </c>
      <c r="C167" s="34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5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5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8" t="s">
        <v>146</v>
      </c>
      <c r="G167" s="38" t="s">
        <v>146</v>
      </c>
      <c r="H167" s="37" t="str">
        <f>IF(CARGA_DIARIA!A167="","",C167-D167-E167)</f>
        <v/>
      </c>
    </row>
    <row r="168" spans="1:8" ht="15.75" customHeight="1" x14ac:dyDescent="0.25">
      <c r="A168" s="32" t="str">
        <f>IF(CARGA_DIARIA!A168="","",CARGA_DIARIA!A168)</f>
        <v/>
      </c>
      <c r="B168" s="33" t="str">
        <f>IF(CARGA_DIARIA!A168="","",CARGA_DIARIA!B168)</f>
        <v/>
      </c>
      <c r="C168" s="34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5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5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8" t="s">
        <v>146</v>
      </c>
      <c r="G168" s="38" t="s">
        <v>146</v>
      </c>
      <c r="H168" s="37" t="str">
        <f>IF(CARGA_DIARIA!A168="","",C168-D168-E168)</f>
        <v/>
      </c>
    </row>
    <row r="169" spans="1:8" ht="15.75" customHeight="1" x14ac:dyDescent="0.25">
      <c r="A169" s="32" t="str">
        <f>IF(CARGA_DIARIA!A169="","",CARGA_DIARIA!A169)</f>
        <v/>
      </c>
      <c r="B169" s="33" t="str">
        <f>IF(CARGA_DIARIA!A169="","",CARGA_DIARIA!B169)</f>
        <v/>
      </c>
      <c r="C169" s="34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5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5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8" t="s">
        <v>146</v>
      </c>
      <c r="G169" s="38" t="s">
        <v>146</v>
      </c>
      <c r="H169" s="37" t="str">
        <f>IF(CARGA_DIARIA!A169="","",C169-D169-E169)</f>
        <v/>
      </c>
    </row>
    <row r="170" spans="1:8" ht="15.75" customHeight="1" x14ac:dyDescent="0.25">
      <c r="A170" s="32" t="str">
        <f>IF(CARGA_DIARIA!A170="","",CARGA_DIARIA!A170)</f>
        <v/>
      </c>
      <c r="B170" s="33" t="str">
        <f>IF(CARGA_DIARIA!A170="","",CARGA_DIARIA!B170)</f>
        <v/>
      </c>
      <c r="C170" s="34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5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5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8" t="s">
        <v>146</v>
      </c>
      <c r="G170" s="38" t="s">
        <v>146</v>
      </c>
      <c r="H170" s="37" t="str">
        <f>IF(CARGA_DIARIA!A170="","",C170-D170-E170)</f>
        <v/>
      </c>
    </row>
    <row r="171" spans="1:8" ht="15.75" customHeight="1" x14ac:dyDescent="0.25">
      <c r="A171" s="32" t="str">
        <f>IF(CARGA_DIARIA!A171="","",CARGA_DIARIA!A171)</f>
        <v/>
      </c>
      <c r="B171" s="33" t="str">
        <f>IF(CARGA_DIARIA!A171="","",CARGA_DIARIA!B171)</f>
        <v/>
      </c>
      <c r="C171" s="34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5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5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8" t="s">
        <v>146</v>
      </c>
      <c r="G171" s="38" t="s">
        <v>146</v>
      </c>
      <c r="H171" s="37" t="str">
        <f>IF(CARGA_DIARIA!A171="","",C171-D171-E171)</f>
        <v/>
      </c>
    </row>
    <row r="172" spans="1:8" ht="15.75" customHeight="1" x14ac:dyDescent="0.25">
      <c r="A172" s="32" t="str">
        <f>IF(CARGA_DIARIA!A172="","",CARGA_DIARIA!A172)</f>
        <v/>
      </c>
      <c r="B172" s="33" t="str">
        <f>IF(CARGA_DIARIA!A172="","",CARGA_DIARIA!B172)</f>
        <v/>
      </c>
      <c r="C172" s="34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5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5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8" t="s">
        <v>146</v>
      </c>
      <c r="G172" s="38" t="s">
        <v>146</v>
      </c>
      <c r="H172" s="37" t="str">
        <f>IF(CARGA_DIARIA!A172="","",C172-D172-E172)</f>
        <v/>
      </c>
    </row>
    <row r="173" spans="1:8" ht="15.75" customHeight="1" x14ac:dyDescent="0.25">
      <c r="A173" s="32" t="str">
        <f>IF(CARGA_DIARIA!A173="","",CARGA_DIARIA!A173)</f>
        <v/>
      </c>
      <c r="B173" s="33" t="str">
        <f>IF(CARGA_DIARIA!A173="","",CARGA_DIARIA!B173)</f>
        <v/>
      </c>
      <c r="C173" s="34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5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5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8" t="s">
        <v>146</v>
      </c>
      <c r="G173" s="38" t="s">
        <v>146</v>
      </c>
      <c r="H173" s="37" t="str">
        <f>IF(CARGA_DIARIA!A173="","",C173-D173-E173)</f>
        <v/>
      </c>
    </row>
    <row r="174" spans="1:8" ht="15.75" customHeight="1" x14ac:dyDescent="0.25">
      <c r="A174" s="32" t="str">
        <f>IF(CARGA_DIARIA!A174="","",CARGA_DIARIA!A174)</f>
        <v/>
      </c>
      <c r="B174" s="33" t="str">
        <f>IF(CARGA_DIARIA!A174="","",CARGA_DIARIA!B174)</f>
        <v/>
      </c>
      <c r="C174" s="34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5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5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8" t="s">
        <v>146</v>
      </c>
      <c r="G174" s="38" t="s">
        <v>146</v>
      </c>
      <c r="H174" s="37" t="str">
        <f>IF(CARGA_DIARIA!A174="","",C174-D174-E174)</f>
        <v/>
      </c>
    </row>
    <row r="175" spans="1:8" ht="15.75" customHeight="1" x14ac:dyDescent="0.25">
      <c r="A175" s="32" t="str">
        <f>IF(CARGA_DIARIA!A175="","",CARGA_DIARIA!A175)</f>
        <v/>
      </c>
      <c r="B175" s="33" t="str">
        <f>IF(CARGA_DIARIA!A175="","",CARGA_DIARIA!B175)</f>
        <v/>
      </c>
      <c r="C175" s="34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5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5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8" t="s">
        <v>146</v>
      </c>
      <c r="G175" s="38" t="s">
        <v>146</v>
      </c>
      <c r="H175" s="37" t="str">
        <f>IF(CARGA_DIARIA!A175="","",C175-D175-E175)</f>
        <v/>
      </c>
    </row>
    <row r="176" spans="1:8" ht="15.75" customHeight="1" x14ac:dyDescent="0.25">
      <c r="A176" s="32" t="str">
        <f>IF(CARGA_DIARIA!A176="","",CARGA_DIARIA!A176)</f>
        <v/>
      </c>
      <c r="B176" s="33" t="str">
        <f>IF(CARGA_DIARIA!A176="","",CARGA_DIARIA!B176)</f>
        <v/>
      </c>
      <c r="C176" s="34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5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5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8" t="s">
        <v>146</v>
      </c>
      <c r="G176" s="38" t="s">
        <v>146</v>
      </c>
      <c r="H176" s="37" t="str">
        <f>IF(CARGA_DIARIA!A176="","",C176-D176-E176)</f>
        <v/>
      </c>
    </row>
    <row r="177" spans="1:8" ht="15.75" customHeight="1" x14ac:dyDescent="0.25">
      <c r="A177" s="32" t="str">
        <f>IF(CARGA_DIARIA!A177="","",CARGA_DIARIA!A177)</f>
        <v/>
      </c>
      <c r="B177" s="33" t="str">
        <f>IF(CARGA_DIARIA!A177="","",CARGA_DIARIA!B177)</f>
        <v/>
      </c>
      <c r="C177" s="34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5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5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8" t="s">
        <v>146</v>
      </c>
      <c r="G177" s="38" t="s">
        <v>146</v>
      </c>
      <c r="H177" s="37" t="str">
        <f>IF(CARGA_DIARIA!A177="","",C177-D177-E177)</f>
        <v/>
      </c>
    </row>
    <row r="178" spans="1:8" ht="15.75" customHeight="1" x14ac:dyDescent="0.25">
      <c r="A178" s="32" t="str">
        <f>IF(CARGA_DIARIA!A178="","",CARGA_DIARIA!A178)</f>
        <v/>
      </c>
      <c r="B178" s="33" t="str">
        <f>IF(CARGA_DIARIA!A178="","",CARGA_DIARIA!B178)</f>
        <v/>
      </c>
      <c r="C178" s="34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5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5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8" t="s">
        <v>146</v>
      </c>
      <c r="G178" s="38" t="s">
        <v>146</v>
      </c>
      <c r="H178" s="37" t="str">
        <f>IF(CARGA_DIARIA!A178="","",C178-D178-E178)</f>
        <v/>
      </c>
    </row>
    <row r="179" spans="1:8" ht="15.75" customHeight="1" x14ac:dyDescent="0.25">
      <c r="A179" s="32" t="str">
        <f>IF(CARGA_DIARIA!A179="","",CARGA_DIARIA!A179)</f>
        <v/>
      </c>
      <c r="B179" s="33" t="str">
        <f>IF(CARGA_DIARIA!A179="","",CARGA_DIARIA!B179)</f>
        <v/>
      </c>
      <c r="C179" s="34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5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5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8" t="s">
        <v>146</v>
      </c>
      <c r="G179" s="38" t="s">
        <v>146</v>
      </c>
      <c r="H179" s="37" t="str">
        <f>IF(CARGA_DIARIA!A179="","",C179-D179-E179)</f>
        <v/>
      </c>
    </row>
    <row r="180" spans="1:8" ht="15.75" customHeight="1" x14ac:dyDescent="0.25">
      <c r="A180" s="32" t="str">
        <f>IF(CARGA_DIARIA!A180="","",CARGA_DIARIA!A180)</f>
        <v/>
      </c>
      <c r="B180" s="33" t="str">
        <f>IF(CARGA_DIARIA!A180="","",CARGA_DIARIA!B180)</f>
        <v/>
      </c>
      <c r="C180" s="34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5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5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8" t="s">
        <v>146</v>
      </c>
      <c r="G180" s="38" t="s">
        <v>146</v>
      </c>
      <c r="H180" s="37" t="str">
        <f>IF(CARGA_DIARIA!A180="","",C180-D180-E180)</f>
        <v/>
      </c>
    </row>
    <row r="181" spans="1:8" ht="15.75" customHeight="1" x14ac:dyDescent="0.25">
      <c r="A181" s="32" t="str">
        <f>IF(CARGA_DIARIA!A181="","",CARGA_DIARIA!A181)</f>
        <v/>
      </c>
      <c r="B181" s="33" t="str">
        <f>IF(CARGA_DIARIA!A181="","",CARGA_DIARIA!B181)</f>
        <v/>
      </c>
      <c r="C181" s="34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5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5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8" t="s">
        <v>146</v>
      </c>
      <c r="G181" s="38" t="s">
        <v>146</v>
      </c>
      <c r="H181" s="37" t="str">
        <f>IF(CARGA_DIARIA!A181="","",C181-D181-E181)</f>
        <v/>
      </c>
    </row>
    <row r="182" spans="1:8" ht="15.75" customHeight="1" x14ac:dyDescent="0.25">
      <c r="A182" s="32" t="str">
        <f>IF(CARGA_DIARIA!A182="","",CARGA_DIARIA!A182)</f>
        <v/>
      </c>
      <c r="B182" s="33" t="str">
        <f>IF(CARGA_DIARIA!A182="","",CARGA_DIARIA!B182)</f>
        <v/>
      </c>
      <c r="C182" s="34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5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5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8" t="s">
        <v>146</v>
      </c>
      <c r="G182" s="38" t="s">
        <v>146</v>
      </c>
      <c r="H182" s="37" t="str">
        <f>IF(CARGA_DIARIA!A182="","",C182-D182-E182)</f>
        <v/>
      </c>
    </row>
    <row r="183" spans="1:8" ht="15.75" customHeight="1" x14ac:dyDescent="0.25">
      <c r="A183" s="32" t="str">
        <f>IF(CARGA_DIARIA!A183="","",CARGA_DIARIA!A183)</f>
        <v/>
      </c>
      <c r="B183" s="33" t="str">
        <f>IF(CARGA_DIARIA!A183="","",CARGA_DIARIA!B183)</f>
        <v/>
      </c>
      <c r="C183" s="34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5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5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8" t="s">
        <v>146</v>
      </c>
      <c r="G183" s="38" t="s">
        <v>146</v>
      </c>
      <c r="H183" s="37" t="str">
        <f>IF(CARGA_DIARIA!A183="","",C183-D183-E183)</f>
        <v/>
      </c>
    </row>
    <row r="184" spans="1:8" ht="15.75" customHeight="1" x14ac:dyDescent="0.25">
      <c r="A184" s="32" t="str">
        <f>IF(CARGA_DIARIA!A184="","",CARGA_DIARIA!A184)</f>
        <v/>
      </c>
      <c r="B184" s="33" t="str">
        <f>IF(CARGA_DIARIA!A184="","",CARGA_DIARIA!B184)</f>
        <v/>
      </c>
      <c r="C184" s="34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5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5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8" t="s">
        <v>146</v>
      </c>
      <c r="G184" s="38" t="s">
        <v>146</v>
      </c>
      <c r="H184" s="37" t="str">
        <f>IF(CARGA_DIARIA!A184="","",C184-D184-E184)</f>
        <v/>
      </c>
    </row>
    <row r="185" spans="1:8" ht="15.75" customHeight="1" x14ac:dyDescent="0.25">
      <c r="A185" s="32" t="str">
        <f>IF(CARGA_DIARIA!A185="","",CARGA_DIARIA!A185)</f>
        <v/>
      </c>
      <c r="B185" s="33" t="str">
        <f>IF(CARGA_DIARIA!A185="","",CARGA_DIARIA!B185)</f>
        <v/>
      </c>
      <c r="C185" s="34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5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5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8" t="s">
        <v>146</v>
      </c>
      <c r="G185" s="38" t="s">
        <v>146</v>
      </c>
      <c r="H185" s="37" t="str">
        <f>IF(CARGA_DIARIA!A185="","",C185-D185-E185)</f>
        <v/>
      </c>
    </row>
    <row r="186" spans="1:8" ht="15.75" customHeight="1" x14ac:dyDescent="0.25">
      <c r="A186" s="32" t="str">
        <f>IF(CARGA_DIARIA!A186="","",CARGA_DIARIA!A186)</f>
        <v/>
      </c>
      <c r="B186" s="33" t="str">
        <f>IF(CARGA_DIARIA!A186="","",CARGA_DIARIA!B186)</f>
        <v/>
      </c>
      <c r="C186" s="34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5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5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8" t="s">
        <v>146</v>
      </c>
      <c r="G186" s="38" t="s">
        <v>146</v>
      </c>
      <c r="H186" s="37" t="str">
        <f>IF(CARGA_DIARIA!A186="","",C186-D186-E186)</f>
        <v/>
      </c>
    </row>
    <row r="187" spans="1:8" ht="15.75" customHeight="1" x14ac:dyDescent="0.25">
      <c r="A187" s="32" t="str">
        <f>IF(CARGA_DIARIA!A187="","",CARGA_DIARIA!A187)</f>
        <v/>
      </c>
      <c r="B187" s="33" t="str">
        <f>IF(CARGA_DIARIA!A187="","",CARGA_DIARIA!B187)</f>
        <v/>
      </c>
      <c r="C187" s="34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5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5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8" t="s">
        <v>146</v>
      </c>
      <c r="G187" s="38" t="s">
        <v>146</v>
      </c>
      <c r="H187" s="37" t="str">
        <f>IF(CARGA_DIARIA!A187="","",C187-D187-E187)</f>
        <v/>
      </c>
    </row>
    <row r="188" spans="1:8" ht="15.75" customHeight="1" x14ac:dyDescent="0.25">
      <c r="A188" s="32" t="str">
        <f>IF(CARGA_DIARIA!A188="","",CARGA_DIARIA!A188)</f>
        <v/>
      </c>
      <c r="B188" s="33" t="str">
        <f>IF(CARGA_DIARIA!A188="","",CARGA_DIARIA!B188)</f>
        <v/>
      </c>
      <c r="C188" s="34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5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5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8" t="s">
        <v>146</v>
      </c>
      <c r="G188" s="38" t="s">
        <v>146</v>
      </c>
      <c r="H188" s="37" t="str">
        <f>IF(CARGA_DIARIA!A188="","",C188-D188-E188)</f>
        <v/>
      </c>
    </row>
    <row r="189" spans="1:8" ht="15.75" customHeight="1" x14ac:dyDescent="0.25">
      <c r="A189" s="32" t="str">
        <f>IF(CARGA_DIARIA!A189="","",CARGA_DIARIA!A189)</f>
        <v/>
      </c>
      <c r="B189" s="33" t="str">
        <f>IF(CARGA_DIARIA!A189="","",CARGA_DIARIA!B189)</f>
        <v/>
      </c>
      <c r="C189" s="34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5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5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8" t="s">
        <v>146</v>
      </c>
      <c r="G189" s="38" t="s">
        <v>146</v>
      </c>
      <c r="H189" s="37" t="str">
        <f>IF(CARGA_DIARIA!A189="","",C189-D189-E189)</f>
        <v/>
      </c>
    </row>
    <row r="190" spans="1:8" ht="15.75" customHeight="1" x14ac:dyDescent="0.25">
      <c r="A190" s="32" t="str">
        <f>IF(CARGA_DIARIA!A190="","",CARGA_DIARIA!A190)</f>
        <v/>
      </c>
      <c r="B190" s="33" t="str">
        <f>IF(CARGA_DIARIA!A190="","",CARGA_DIARIA!B190)</f>
        <v/>
      </c>
      <c r="C190" s="34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5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5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8" t="s">
        <v>146</v>
      </c>
      <c r="G190" s="38" t="s">
        <v>146</v>
      </c>
      <c r="H190" s="37" t="str">
        <f>IF(CARGA_DIARIA!A190="","",C190-D190-E190)</f>
        <v/>
      </c>
    </row>
    <row r="191" spans="1:8" ht="15.75" customHeight="1" x14ac:dyDescent="0.25">
      <c r="A191" s="32" t="str">
        <f>IF(CARGA_DIARIA!A191="","",CARGA_DIARIA!A191)</f>
        <v/>
      </c>
      <c r="B191" s="33" t="str">
        <f>IF(CARGA_DIARIA!A191="","",CARGA_DIARIA!B191)</f>
        <v/>
      </c>
      <c r="C191" s="34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5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5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8" t="s">
        <v>146</v>
      </c>
      <c r="G191" s="38" t="s">
        <v>146</v>
      </c>
      <c r="H191" s="37" t="str">
        <f>IF(CARGA_DIARIA!A191="","",C191-D191-E191)</f>
        <v/>
      </c>
    </row>
    <row r="192" spans="1:8" ht="15.75" customHeight="1" x14ac:dyDescent="0.25">
      <c r="A192" s="32" t="str">
        <f>IF(CARGA_DIARIA!A192="","",CARGA_DIARIA!A192)</f>
        <v/>
      </c>
      <c r="B192" s="33" t="str">
        <f>IF(CARGA_DIARIA!A192="","",CARGA_DIARIA!B192)</f>
        <v/>
      </c>
      <c r="C192" s="34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5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5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8" t="s">
        <v>146</v>
      </c>
      <c r="G192" s="38" t="s">
        <v>146</v>
      </c>
      <c r="H192" s="37" t="str">
        <f>IF(CARGA_DIARIA!A192="","",C192-D192-E192)</f>
        <v/>
      </c>
    </row>
    <row r="193" spans="1:8" ht="15.75" customHeight="1" x14ac:dyDescent="0.25">
      <c r="A193" s="32" t="str">
        <f>IF(CARGA_DIARIA!A193="","",CARGA_DIARIA!A193)</f>
        <v/>
      </c>
      <c r="B193" s="33" t="str">
        <f>IF(CARGA_DIARIA!A193="","",CARGA_DIARIA!B193)</f>
        <v/>
      </c>
      <c r="C193" s="34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5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5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8" t="s">
        <v>146</v>
      </c>
      <c r="G193" s="38" t="s">
        <v>146</v>
      </c>
      <c r="H193" s="37" t="str">
        <f>IF(CARGA_DIARIA!A193="","",C193-D193-E193)</f>
        <v/>
      </c>
    </row>
    <row r="194" spans="1:8" ht="15.75" customHeight="1" x14ac:dyDescent="0.25">
      <c r="A194" s="32" t="str">
        <f>IF(CARGA_DIARIA!A194="","",CARGA_DIARIA!A194)</f>
        <v/>
      </c>
      <c r="B194" s="33" t="str">
        <f>IF(CARGA_DIARIA!A194="","",CARGA_DIARIA!B194)</f>
        <v/>
      </c>
      <c r="C194" s="34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5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5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8" t="s">
        <v>146</v>
      </c>
      <c r="G194" s="38" t="s">
        <v>146</v>
      </c>
      <c r="H194" s="37" t="str">
        <f>IF(CARGA_DIARIA!A194="","",C194-D194-E194)</f>
        <v/>
      </c>
    </row>
    <row r="195" spans="1:8" ht="15.75" customHeight="1" x14ac:dyDescent="0.25">
      <c r="A195" s="32" t="str">
        <f>IF(CARGA_DIARIA!A195="","",CARGA_DIARIA!A195)</f>
        <v/>
      </c>
      <c r="B195" s="33" t="str">
        <f>IF(CARGA_DIARIA!A195="","",CARGA_DIARIA!B195)</f>
        <v/>
      </c>
      <c r="C195" s="34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5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5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8" t="s">
        <v>146</v>
      </c>
      <c r="G195" s="38" t="s">
        <v>146</v>
      </c>
      <c r="H195" s="37" t="str">
        <f>IF(CARGA_DIARIA!A195="","",C195-D195-E195)</f>
        <v/>
      </c>
    </row>
    <row r="196" spans="1:8" ht="15.75" customHeight="1" x14ac:dyDescent="0.25">
      <c r="A196" s="32" t="str">
        <f>IF(CARGA_DIARIA!A196="","",CARGA_DIARIA!A196)</f>
        <v/>
      </c>
      <c r="B196" s="33" t="str">
        <f>IF(CARGA_DIARIA!A196="","",CARGA_DIARIA!B196)</f>
        <v/>
      </c>
      <c r="C196" s="34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5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5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8" t="s">
        <v>146</v>
      </c>
      <c r="G196" s="38" t="s">
        <v>146</v>
      </c>
      <c r="H196" s="37" t="str">
        <f>IF(CARGA_DIARIA!A196="","",C196-D196-E196)</f>
        <v/>
      </c>
    </row>
    <row r="197" spans="1:8" ht="15.75" customHeight="1" x14ac:dyDescent="0.25">
      <c r="A197" s="32" t="str">
        <f>IF(CARGA_DIARIA!A197="","",CARGA_DIARIA!A197)</f>
        <v/>
      </c>
      <c r="B197" s="33" t="str">
        <f>IF(CARGA_DIARIA!A197="","",CARGA_DIARIA!B197)</f>
        <v/>
      </c>
      <c r="C197" s="34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5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5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8" t="s">
        <v>146</v>
      </c>
      <c r="G197" s="38" t="s">
        <v>146</v>
      </c>
      <c r="H197" s="37" t="str">
        <f>IF(CARGA_DIARIA!A197="","",C197-D197-E197)</f>
        <v/>
      </c>
    </row>
    <row r="198" spans="1:8" ht="15.75" customHeight="1" x14ac:dyDescent="0.25">
      <c r="A198" s="32" t="str">
        <f>IF(CARGA_DIARIA!A198="","",CARGA_DIARIA!A198)</f>
        <v/>
      </c>
      <c r="B198" s="33" t="str">
        <f>IF(CARGA_DIARIA!A198="","",CARGA_DIARIA!B198)</f>
        <v/>
      </c>
      <c r="C198" s="34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5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5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8" t="s">
        <v>146</v>
      </c>
      <c r="G198" s="38" t="s">
        <v>146</v>
      </c>
      <c r="H198" s="37" t="str">
        <f>IF(CARGA_DIARIA!A198="","",C198-D198-E198)</f>
        <v/>
      </c>
    </row>
    <row r="199" spans="1:8" ht="15.75" customHeight="1" x14ac:dyDescent="0.25">
      <c r="A199" s="32" t="str">
        <f>IF(CARGA_DIARIA!A199="","",CARGA_DIARIA!A199)</f>
        <v/>
      </c>
      <c r="B199" s="33" t="str">
        <f>IF(CARGA_DIARIA!A199="","",CARGA_DIARIA!B199)</f>
        <v/>
      </c>
      <c r="C199" s="34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5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5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8" t="s">
        <v>146</v>
      </c>
      <c r="G199" s="38" t="s">
        <v>146</v>
      </c>
      <c r="H199" s="37" t="str">
        <f>IF(CARGA_DIARIA!A199="","",C199-D199-E199)</f>
        <v/>
      </c>
    </row>
    <row r="200" spans="1:8" ht="15.75" customHeight="1" x14ac:dyDescent="0.25">
      <c r="A200" s="32" t="str">
        <f>IF(CARGA_DIARIA!A200="","",CARGA_DIARIA!A200)</f>
        <v/>
      </c>
      <c r="B200" s="33" t="str">
        <f>IF(CARGA_DIARIA!A200="","",CARGA_DIARIA!B200)</f>
        <v/>
      </c>
      <c r="C200" s="34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5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5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8" t="s">
        <v>146</v>
      </c>
      <c r="G200" s="38" t="s">
        <v>146</v>
      </c>
      <c r="H200" s="37" t="str">
        <f>IF(CARGA_DIARIA!A200="","",C200-D200-E200)</f>
        <v/>
      </c>
    </row>
    <row r="201" spans="1:8" ht="15.75" customHeight="1" x14ac:dyDescent="0.25">
      <c r="A201" s="32" t="str">
        <f>IF(CARGA_DIARIA!A201="","",CARGA_DIARIA!A201)</f>
        <v/>
      </c>
      <c r="B201" s="33" t="str">
        <f>IF(CARGA_DIARIA!A201="","",CARGA_DIARIA!B201)</f>
        <v/>
      </c>
      <c r="C201" s="34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5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5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8" t="s">
        <v>146</v>
      </c>
      <c r="G201" s="38" t="s">
        <v>146</v>
      </c>
      <c r="H201" s="37" t="str">
        <f>IF(CARGA_DIARIA!A201="","",C201-D201-E201)</f>
        <v/>
      </c>
    </row>
    <row r="202" spans="1:8" ht="15.75" customHeight="1" x14ac:dyDescent="0.25">
      <c r="A202" s="32" t="str">
        <f>IF(CARGA_DIARIA!A202="","",CARGA_DIARIA!A202)</f>
        <v/>
      </c>
      <c r="B202" s="33" t="str">
        <f>IF(CARGA_DIARIA!A202="","",CARGA_DIARIA!B202)</f>
        <v/>
      </c>
      <c r="C202" s="34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5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5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8" t="s">
        <v>146</v>
      </c>
      <c r="G202" s="38" t="s">
        <v>146</v>
      </c>
      <c r="H202" s="37" t="str">
        <f>IF(CARGA_DIARIA!A202="","",C202-D202-E202)</f>
        <v/>
      </c>
    </row>
    <row r="203" spans="1:8" ht="15.75" customHeight="1" x14ac:dyDescent="0.25">
      <c r="A203" s="32" t="str">
        <f>IF(CARGA_DIARIA!A203="","",CARGA_DIARIA!A203)</f>
        <v/>
      </c>
      <c r="B203" s="33" t="str">
        <f>IF(CARGA_DIARIA!A203="","",CARGA_DIARIA!B203)</f>
        <v/>
      </c>
      <c r="C203" s="34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5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5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8" t="s">
        <v>146</v>
      </c>
      <c r="G203" s="38" t="s">
        <v>146</v>
      </c>
      <c r="H203" s="37" t="str">
        <f>IF(CARGA_DIARIA!A203="","",C203-D203-E203)</f>
        <v/>
      </c>
    </row>
    <row r="204" spans="1:8" ht="15.75" customHeight="1" x14ac:dyDescent="0.25">
      <c r="A204" s="32" t="str">
        <f>IF(CARGA_DIARIA!A204="","",CARGA_DIARIA!A204)</f>
        <v/>
      </c>
      <c r="B204" s="33" t="str">
        <f>IF(CARGA_DIARIA!A204="","",CARGA_DIARIA!B204)</f>
        <v/>
      </c>
      <c r="C204" s="34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5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5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8" t="s">
        <v>146</v>
      </c>
      <c r="G204" s="38" t="s">
        <v>146</v>
      </c>
      <c r="H204" s="37" t="str">
        <f>IF(CARGA_DIARIA!A204="","",C204-D204-E204)</f>
        <v/>
      </c>
    </row>
    <row r="205" spans="1:8" ht="15.75" customHeight="1" x14ac:dyDescent="0.25">
      <c r="A205" s="32" t="str">
        <f>IF(CARGA_DIARIA!A205="","",CARGA_DIARIA!A205)</f>
        <v/>
      </c>
      <c r="B205" s="33" t="str">
        <f>IF(CARGA_DIARIA!A205="","",CARGA_DIARIA!B205)</f>
        <v/>
      </c>
      <c r="C205" s="34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5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5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8" t="s">
        <v>146</v>
      </c>
      <c r="G205" s="38" t="s">
        <v>146</v>
      </c>
      <c r="H205" s="37" t="str">
        <f>IF(CARGA_DIARIA!A205="","",C205-D205-E205)</f>
        <v/>
      </c>
    </row>
    <row r="206" spans="1:8" ht="15.75" customHeight="1" x14ac:dyDescent="0.25">
      <c r="A206" s="32" t="str">
        <f>IF(CARGA_DIARIA!A206="","",CARGA_DIARIA!A206)</f>
        <v/>
      </c>
      <c r="B206" s="33" t="str">
        <f>IF(CARGA_DIARIA!A206="","",CARGA_DIARIA!B206)</f>
        <v/>
      </c>
      <c r="C206" s="34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5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5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8" t="s">
        <v>146</v>
      </c>
      <c r="G206" s="38" t="s">
        <v>146</v>
      </c>
      <c r="H206" s="37" t="str">
        <f>IF(CARGA_DIARIA!A206="","",C206-D206-E206)</f>
        <v/>
      </c>
    </row>
    <row r="207" spans="1:8" ht="15.75" customHeight="1" x14ac:dyDescent="0.25">
      <c r="A207" s="32" t="str">
        <f>IF(CARGA_DIARIA!A207="","",CARGA_DIARIA!A207)</f>
        <v/>
      </c>
      <c r="B207" s="33" t="str">
        <f>IF(CARGA_DIARIA!A207="","",CARGA_DIARIA!B207)</f>
        <v/>
      </c>
      <c r="C207" s="34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5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5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8" t="s">
        <v>146</v>
      </c>
      <c r="G207" s="38" t="s">
        <v>146</v>
      </c>
      <c r="H207" s="37" t="str">
        <f>IF(CARGA_DIARIA!A207="","",C207-D207-E207)</f>
        <v/>
      </c>
    </row>
    <row r="208" spans="1:8" ht="15.75" customHeight="1" x14ac:dyDescent="0.25">
      <c r="A208" s="32" t="str">
        <f>IF(CARGA_DIARIA!A208="","",CARGA_DIARIA!A208)</f>
        <v/>
      </c>
      <c r="B208" s="33" t="str">
        <f>IF(CARGA_DIARIA!A208="","",CARGA_DIARIA!B208)</f>
        <v/>
      </c>
      <c r="C208" s="34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5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5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8" t="s">
        <v>146</v>
      </c>
      <c r="G208" s="38" t="s">
        <v>146</v>
      </c>
      <c r="H208" s="37" t="str">
        <f>IF(CARGA_DIARIA!A208="","",C208-D208-E208)</f>
        <v/>
      </c>
    </row>
    <row r="209" spans="1:8" ht="15.75" customHeight="1" x14ac:dyDescent="0.25">
      <c r="A209" s="32" t="str">
        <f>IF(CARGA_DIARIA!A209="","",CARGA_DIARIA!A209)</f>
        <v/>
      </c>
      <c r="B209" s="33" t="str">
        <f>IF(CARGA_DIARIA!A209="","",CARGA_DIARIA!B209)</f>
        <v/>
      </c>
      <c r="C209" s="34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5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5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8" t="s">
        <v>146</v>
      </c>
      <c r="G209" s="38" t="s">
        <v>146</v>
      </c>
      <c r="H209" s="37" t="str">
        <f>IF(CARGA_DIARIA!A209="","",C209-D209-E209)</f>
        <v/>
      </c>
    </row>
    <row r="210" spans="1:8" ht="15.75" customHeight="1" x14ac:dyDescent="0.25">
      <c r="A210" s="32" t="str">
        <f>IF(CARGA_DIARIA!A210="","",CARGA_DIARIA!A210)</f>
        <v/>
      </c>
      <c r="B210" s="33" t="str">
        <f>IF(CARGA_DIARIA!A210="","",CARGA_DIARIA!B210)</f>
        <v/>
      </c>
      <c r="C210" s="34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5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5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8" t="s">
        <v>146</v>
      </c>
      <c r="G210" s="38" t="s">
        <v>146</v>
      </c>
      <c r="H210" s="37" t="str">
        <f>IF(CARGA_DIARIA!A210="","",C210-D210-E210)</f>
        <v/>
      </c>
    </row>
    <row r="211" spans="1:8" ht="15.75" customHeight="1" x14ac:dyDescent="0.25">
      <c r="A211" s="32" t="str">
        <f>IF(CARGA_DIARIA!A211="","",CARGA_DIARIA!A211)</f>
        <v/>
      </c>
      <c r="B211" s="33" t="str">
        <f>IF(CARGA_DIARIA!A211="","",CARGA_DIARIA!B211)</f>
        <v/>
      </c>
      <c r="C211" s="34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5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5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8" t="s">
        <v>146</v>
      </c>
      <c r="G211" s="38" t="s">
        <v>146</v>
      </c>
      <c r="H211" s="37" t="str">
        <f>IF(CARGA_DIARIA!A211="","",C211-D211-E211)</f>
        <v/>
      </c>
    </row>
    <row r="212" spans="1:8" ht="15.75" customHeight="1" x14ac:dyDescent="0.25">
      <c r="A212" s="32" t="str">
        <f>IF(CARGA_DIARIA!A212="","",CARGA_DIARIA!A212)</f>
        <v/>
      </c>
      <c r="B212" s="33" t="str">
        <f>IF(CARGA_DIARIA!A212="","",CARGA_DIARIA!B212)</f>
        <v/>
      </c>
      <c r="C212" s="34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5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5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8" t="s">
        <v>146</v>
      </c>
      <c r="G212" s="38" t="s">
        <v>146</v>
      </c>
      <c r="H212" s="37" t="str">
        <f>IF(CARGA_DIARIA!A212="","",C212-D212-E212)</f>
        <v/>
      </c>
    </row>
    <row r="213" spans="1:8" ht="15.75" customHeight="1" x14ac:dyDescent="0.25">
      <c r="A213" s="32" t="str">
        <f>IF(CARGA_DIARIA!A213="","",CARGA_DIARIA!A213)</f>
        <v/>
      </c>
      <c r="B213" s="33" t="str">
        <f>IF(CARGA_DIARIA!A213="","",CARGA_DIARIA!B213)</f>
        <v/>
      </c>
      <c r="C213" s="34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5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5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8" t="s">
        <v>146</v>
      </c>
      <c r="G213" s="38" t="s">
        <v>146</v>
      </c>
      <c r="H213" s="37" t="str">
        <f>IF(CARGA_DIARIA!A213="","",C213-D213-E213)</f>
        <v/>
      </c>
    </row>
    <row r="214" spans="1:8" ht="15.75" customHeight="1" x14ac:dyDescent="0.25">
      <c r="A214" s="32" t="str">
        <f>IF(CARGA_DIARIA!A214="","",CARGA_DIARIA!A214)</f>
        <v/>
      </c>
      <c r="B214" s="33" t="str">
        <f>IF(CARGA_DIARIA!A214="","",CARGA_DIARIA!B214)</f>
        <v/>
      </c>
      <c r="C214" s="34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5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5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8" t="s">
        <v>146</v>
      </c>
      <c r="G214" s="38" t="s">
        <v>146</v>
      </c>
      <c r="H214" s="37" t="str">
        <f>IF(CARGA_DIARIA!A214="","",C214-D214-E214)</f>
        <v/>
      </c>
    </row>
    <row r="215" spans="1:8" ht="15.75" customHeight="1" x14ac:dyDescent="0.25">
      <c r="A215" s="32" t="str">
        <f>IF(CARGA_DIARIA!A215="","",CARGA_DIARIA!A215)</f>
        <v/>
      </c>
      <c r="B215" s="33" t="str">
        <f>IF(CARGA_DIARIA!A215="","",CARGA_DIARIA!B215)</f>
        <v/>
      </c>
      <c r="C215" s="34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5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5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8" t="s">
        <v>146</v>
      </c>
      <c r="G215" s="38" t="s">
        <v>146</v>
      </c>
      <c r="H215" s="37" t="str">
        <f>IF(CARGA_DIARIA!A215="","",C215-D215-E215)</f>
        <v/>
      </c>
    </row>
    <row r="216" spans="1:8" ht="15.75" customHeight="1" x14ac:dyDescent="0.25">
      <c r="A216" s="32" t="str">
        <f>IF(CARGA_DIARIA!A216="","",CARGA_DIARIA!A216)</f>
        <v/>
      </c>
      <c r="B216" s="33" t="str">
        <f>IF(CARGA_DIARIA!A216="","",CARGA_DIARIA!B216)</f>
        <v/>
      </c>
      <c r="C216" s="34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5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5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8" t="s">
        <v>146</v>
      </c>
      <c r="G216" s="38" t="s">
        <v>146</v>
      </c>
      <c r="H216" s="37" t="str">
        <f>IF(CARGA_DIARIA!A216="","",C216-D216-E216)</f>
        <v/>
      </c>
    </row>
    <row r="217" spans="1:8" ht="15.75" customHeight="1" x14ac:dyDescent="0.25">
      <c r="A217" s="32" t="str">
        <f>IF(CARGA_DIARIA!A217="","",CARGA_DIARIA!A217)</f>
        <v/>
      </c>
      <c r="B217" s="33" t="str">
        <f>IF(CARGA_DIARIA!A217="","",CARGA_DIARIA!B217)</f>
        <v/>
      </c>
      <c r="C217" s="34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5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5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8" t="s">
        <v>146</v>
      </c>
      <c r="G217" s="38" t="s">
        <v>146</v>
      </c>
      <c r="H217" s="37" t="str">
        <f>IF(CARGA_DIARIA!A217="","",C217-D217-E217)</f>
        <v/>
      </c>
    </row>
    <row r="218" spans="1:8" ht="15.75" customHeight="1" x14ac:dyDescent="0.25">
      <c r="A218" s="32" t="str">
        <f>IF(CARGA_DIARIA!A218="","",CARGA_DIARIA!A218)</f>
        <v/>
      </c>
      <c r="B218" s="33" t="str">
        <f>IF(CARGA_DIARIA!A218="","",CARGA_DIARIA!B218)</f>
        <v/>
      </c>
      <c r="C218" s="34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5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5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8" t="s">
        <v>146</v>
      </c>
      <c r="G218" s="38" t="s">
        <v>146</v>
      </c>
      <c r="H218" s="37" t="str">
        <f>IF(CARGA_DIARIA!A218="","",C218-D218-E218)</f>
        <v/>
      </c>
    </row>
    <row r="219" spans="1:8" ht="15.75" customHeight="1" x14ac:dyDescent="0.25">
      <c r="A219" s="32" t="str">
        <f>IF(CARGA_DIARIA!A219="","",CARGA_DIARIA!A219)</f>
        <v/>
      </c>
      <c r="B219" s="33" t="str">
        <f>IF(CARGA_DIARIA!A219="","",CARGA_DIARIA!B219)</f>
        <v/>
      </c>
      <c r="C219" s="34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5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5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8" t="s">
        <v>146</v>
      </c>
      <c r="G219" s="38" t="s">
        <v>146</v>
      </c>
      <c r="H219" s="37" t="str">
        <f>IF(CARGA_DIARIA!A219="","",C219-D219-E219)</f>
        <v/>
      </c>
    </row>
    <row r="220" spans="1:8" ht="15.75" customHeight="1" x14ac:dyDescent="0.25">
      <c r="A220" s="32" t="str">
        <f>IF(CARGA_DIARIA!A220="","",CARGA_DIARIA!A220)</f>
        <v/>
      </c>
      <c r="B220" s="33" t="str">
        <f>IF(CARGA_DIARIA!A220="","",CARGA_DIARIA!B220)</f>
        <v/>
      </c>
      <c r="C220" s="34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5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5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8" t="s">
        <v>146</v>
      </c>
      <c r="G220" s="38" t="s">
        <v>146</v>
      </c>
      <c r="H220" s="37" t="str">
        <f>IF(CARGA_DIARIA!A220="","",C220-D220-E220)</f>
        <v/>
      </c>
    </row>
    <row r="221" spans="1:8" ht="15.75" customHeight="1" x14ac:dyDescent="0.25">
      <c r="A221" s="32" t="str">
        <f>IF(CARGA_DIARIA!A221="","",CARGA_DIARIA!A221)</f>
        <v/>
      </c>
      <c r="B221" s="33" t="str">
        <f>IF(CARGA_DIARIA!A221="","",CARGA_DIARIA!B221)</f>
        <v/>
      </c>
      <c r="C221" s="34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5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5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8" t="s">
        <v>146</v>
      </c>
      <c r="G221" s="38" t="s">
        <v>146</v>
      </c>
      <c r="H221" s="37" t="str">
        <f>IF(CARGA_DIARIA!A221="","",C221-D221-E221)</f>
        <v/>
      </c>
    </row>
    <row r="222" spans="1:8" ht="15.75" customHeight="1" x14ac:dyDescent="0.25">
      <c r="A222" s="32" t="str">
        <f>IF(CARGA_DIARIA!A222="","",CARGA_DIARIA!A222)</f>
        <v/>
      </c>
      <c r="B222" s="33" t="str">
        <f>IF(CARGA_DIARIA!A222="","",CARGA_DIARIA!B222)</f>
        <v/>
      </c>
      <c r="C222" s="34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5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5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8" t="s">
        <v>146</v>
      </c>
      <c r="G222" s="38" t="s">
        <v>146</v>
      </c>
      <c r="H222" s="37" t="str">
        <f>IF(CARGA_DIARIA!A222="","",C222-D222-E222)</f>
        <v/>
      </c>
    </row>
    <row r="223" spans="1:8" ht="15.75" customHeight="1" x14ac:dyDescent="0.25">
      <c r="A223" s="32" t="str">
        <f>IF(CARGA_DIARIA!A223="","",CARGA_DIARIA!A223)</f>
        <v/>
      </c>
      <c r="B223" s="33" t="str">
        <f>IF(CARGA_DIARIA!A223="","",CARGA_DIARIA!B223)</f>
        <v/>
      </c>
      <c r="C223" s="34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5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5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8" t="s">
        <v>146</v>
      </c>
      <c r="G223" s="38" t="s">
        <v>146</v>
      </c>
      <c r="H223" s="37" t="str">
        <f>IF(CARGA_DIARIA!A223="","",C223-D223-E223)</f>
        <v/>
      </c>
    </row>
    <row r="224" spans="1:8" ht="15.75" customHeight="1" x14ac:dyDescent="0.25">
      <c r="A224" s="32" t="str">
        <f>IF(CARGA_DIARIA!A224="","",CARGA_DIARIA!A224)</f>
        <v/>
      </c>
      <c r="B224" s="33" t="str">
        <f>IF(CARGA_DIARIA!A224="","",CARGA_DIARIA!B224)</f>
        <v/>
      </c>
      <c r="C224" s="34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5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5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8" t="s">
        <v>146</v>
      </c>
      <c r="G224" s="38" t="s">
        <v>146</v>
      </c>
      <c r="H224" s="37" t="str">
        <f>IF(CARGA_DIARIA!A224="","",C224-D224-E224)</f>
        <v/>
      </c>
    </row>
    <row r="225" spans="1:8" ht="15.75" customHeight="1" x14ac:dyDescent="0.25">
      <c r="A225" s="32" t="str">
        <f>IF(CARGA_DIARIA!A225="","",CARGA_DIARIA!A225)</f>
        <v/>
      </c>
      <c r="B225" s="33" t="str">
        <f>IF(CARGA_DIARIA!A225="","",CARGA_DIARIA!B225)</f>
        <v/>
      </c>
      <c r="C225" s="34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5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5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8" t="s">
        <v>146</v>
      </c>
      <c r="G225" s="38" t="s">
        <v>146</v>
      </c>
      <c r="H225" s="37" t="str">
        <f>IF(CARGA_DIARIA!A225="","",C225-D225-E225)</f>
        <v/>
      </c>
    </row>
    <row r="226" spans="1:8" ht="15.75" customHeight="1" x14ac:dyDescent="0.25">
      <c r="A226" s="32" t="str">
        <f>IF(CARGA_DIARIA!A226="","",CARGA_DIARIA!A226)</f>
        <v/>
      </c>
      <c r="B226" s="33" t="str">
        <f>IF(CARGA_DIARIA!A226="","",CARGA_DIARIA!B226)</f>
        <v/>
      </c>
      <c r="C226" s="34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5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5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8" t="s">
        <v>146</v>
      </c>
      <c r="G226" s="38" t="s">
        <v>146</v>
      </c>
      <c r="H226" s="37" t="str">
        <f>IF(CARGA_DIARIA!A226="","",C226-D226-E226)</f>
        <v/>
      </c>
    </row>
    <row r="227" spans="1:8" ht="15.75" customHeight="1" x14ac:dyDescent="0.25">
      <c r="A227" s="32" t="str">
        <f>IF(CARGA_DIARIA!A227="","",CARGA_DIARIA!A227)</f>
        <v/>
      </c>
      <c r="B227" s="33" t="str">
        <f>IF(CARGA_DIARIA!A227="","",CARGA_DIARIA!B227)</f>
        <v/>
      </c>
      <c r="C227" s="34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5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5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8" t="s">
        <v>146</v>
      </c>
      <c r="G227" s="38" t="s">
        <v>146</v>
      </c>
      <c r="H227" s="37" t="str">
        <f>IF(CARGA_DIARIA!A227="","",C227-D227-E227)</f>
        <v/>
      </c>
    </row>
    <row r="228" spans="1:8" ht="15.75" customHeight="1" x14ac:dyDescent="0.25">
      <c r="A228" s="32" t="str">
        <f>IF(CARGA_DIARIA!A228="","",CARGA_DIARIA!A228)</f>
        <v/>
      </c>
      <c r="B228" s="33" t="str">
        <f>IF(CARGA_DIARIA!A228="","",CARGA_DIARIA!B228)</f>
        <v/>
      </c>
      <c r="C228" s="34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5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5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8" t="s">
        <v>146</v>
      </c>
      <c r="G228" s="38" t="s">
        <v>146</v>
      </c>
      <c r="H228" s="37" t="str">
        <f>IF(CARGA_DIARIA!A228="","",C228-D228-E228)</f>
        <v/>
      </c>
    </row>
    <row r="229" spans="1:8" ht="15.75" customHeight="1" x14ac:dyDescent="0.25">
      <c r="A229" s="32" t="str">
        <f>IF(CARGA_DIARIA!A229="","",CARGA_DIARIA!A229)</f>
        <v/>
      </c>
      <c r="B229" s="33" t="str">
        <f>IF(CARGA_DIARIA!A229="","",CARGA_DIARIA!B229)</f>
        <v/>
      </c>
      <c r="C229" s="34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5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5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8" t="s">
        <v>146</v>
      </c>
      <c r="G229" s="38" t="s">
        <v>146</v>
      </c>
      <c r="H229" s="37" t="str">
        <f>IF(CARGA_DIARIA!A229="","",C229-D229-E229)</f>
        <v/>
      </c>
    </row>
    <row r="230" spans="1:8" ht="15.75" customHeight="1" x14ac:dyDescent="0.25">
      <c r="A230" s="32" t="str">
        <f>IF(CARGA_DIARIA!A230="","",CARGA_DIARIA!A230)</f>
        <v/>
      </c>
      <c r="B230" s="33" t="str">
        <f>IF(CARGA_DIARIA!A230="","",CARGA_DIARIA!B230)</f>
        <v/>
      </c>
      <c r="C230" s="34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5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5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8" t="s">
        <v>146</v>
      </c>
      <c r="G230" s="38" t="s">
        <v>146</v>
      </c>
      <c r="H230" s="37" t="str">
        <f>IF(CARGA_DIARIA!A230="","",C230-D230-E230)</f>
        <v/>
      </c>
    </row>
    <row r="231" spans="1:8" ht="15.75" customHeight="1" x14ac:dyDescent="0.25">
      <c r="A231" s="32" t="str">
        <f>IF(CARGA_DIARIA!A231="","",CARGA_DIARIA!A231)</f>
        <v/>
      </c>
      <c r="B231" s="33" t="str">
        <f>IF(CARGA_DIARIA!A231="","",CARGA_DIARIA!B231)</f>
        <v/>
      </c>
      <c r="C231" s="34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5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5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8" t="s">
        <v>146</v>
      </c>
      <c r="G231" s="38" t="s">
        <v>146</v>
      </c>
      <c r="H231" s="37" t="str">
        <f>IF(CARGA_DIARIA!A231="","",C231-D231-E231)</f>
        <v/>
      </c>
    </row>
    <row r="232" spans="1:8" ht="15.75" customHeight="1" x14ac:dyDescent="0.25">
      <c r="A232" s="32" t="str">
        <f>IF(CARGA_DIARIA!A232="","",CARGA_DIARIA!A232)</f>
        <v/>
      </c>
      <c r="B232" s="33" t="str">
        <f>IF(CARGA_DIARIA!A232="","",CARGA_DIARIA!B232)</f>
        <v/>
      </c>
      <c r="C232" s="34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5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5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8" t="s">
        <v>146</v>
      </c>
      <c r="G232" s="38" t="s">
        <v>146</v>
      </c>
      <c r="H232" s="37" t="str">
        <f>IF(CARGA_DIARIA!A232="","",C232-D232-E232)</f>
        <v/>
      </c>
    </row>
    <row r="233" spans="1:8" ht="15.75" customHeight="1" x14ac:dyDescent="0.25">
      <c r="A233" s="32" t="str">
        <f>IF(CARGA_DIARIA!A233="","",CARGA_DIARIA!A233)</f>
        <v/>
      </c>
      <c r="B233" s="33" t="str">
        <f>IF(CARGA_DIARIA!A233="","",CARGA_DIARIA!B233)</f>
        <v/>
      </c>
      <c r="C233" s="34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5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5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8" t="s">
        <v>146</v>
      </c>
      <c r="G233" s="38" t="s">
        <v>146</v>
      </c>
      <c r="H233" s="37" t="str">
        <f>IF(CARGA_DIARIA!A233="","",C233-D233-E233)</f>
        <v/>
      </c>
    </row>
    <row r="234" spans="1:8" ht="15.75" customHeight="1" x14ac:dyDescent="0.25">
      <c r="A234" s="32" t="str">
        <f>IF(CARGA_DIARIA!A234="","",CARGA_DIARIA!A234)</f>
        <v/>
      </c>
      <c r="B234" s="33" t="str">
        <f>IF(CARGA_DIARIA!A234="","",CARGA_DIARIA!B234)</f>
        <v/>
      </c>
      <c r="C234" s="34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5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5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8" t="s">
        <v>146</v>
      </c>
      <c r="G234" s="38" t="s">
        <v>146</v>
      </c>
      <c r="H234" s="37" t="str">
        <f>IF(CARGA_DIARIA!A234="","",C234-D234-E234)</f>
        <v/>
      </c>
    </row>
    <row r="235" spans="1:8" ht="15.75" customHeight="1" x14ac:dyDescent="0.25">
      <c r="A235" s="32" t="str">
        <f>IF(CARGA_DIARIA!A235="","",CARGA_DIARIA!A235)</f>
        <v/>
      </c>
      <c r="B235" s="33" t="str">
        <f>IF(CARGA_DIARIA!A235="","",CARGA_DIARIA!B235)</f>
        <v/>
      </c>
      <c r="C235" s="34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5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5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8" t="s">
        <v>146</v>
      </c>
      <c r="G235" s="38" t="s">
        <v>146</v>
      </c>
      <c r="H235" s="37" t="str">
        <f>IF(CARGA_DIARIA!A235="","",C235-D235-E235)</f>
        <v/>
      </c>
    </row>
    <row r="236" spans="1:8" ht="15.75" customHeight="1" x14ac:dyDescent="0.25">
      <c r="A236" s="32" t="str">
        <f>IF(CARGA_DIARIA!A236="","",CARGA_DIARIA!A236)</f>
        <v/>
      </c>
      <c r="B236" s="33" t="str">
        <f>IF(CARGA_DIARIA!A236="","",CARGA_DIARIA!B236)</f>
        <v/>
      </c>
      <c r="C236" s="34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5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5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8" t="s">
        <v>146</v>
      </c>
      <c r="G236" s="38" t="s">
        <v>146</v>
      </c>
      <c r="H236" s="37" t="str">
        <f>IF(CARGA_DIARIA!A236="","",C236-D236-E236)</f>
        <v/>
      </c>
    </row>
    <row r="237" spans="1:8" ht="15.75" customHeight="1" x14ac:dyDescent="0.25">
      <c r="A237" s="32" t="str">
        <f>IF(CARGA_DIARIA!A237="","",CARGA_DIARIA!A237)</f>
        <v/>
      </c>
      <c r="B237" s="33" t="str">
        <f>IF(CARGA_DIARIA!A237="","",CARGA_DIARIA!B237)</f>
        <v/>
      </c>
      <c r="C237" s="34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5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5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8" t="s">
        <v>146</v>
      </c>
      <c r="G237" s="38" t="s">
        <v>146</v>
      </c>
      <c r="H237" s="37" t="str">
        <f>IF(CARGA_DIARIA!A237="","",C237-D237-E237)</f>
        <v/>
      </c>
    </row>
    <row r="238" spans="1:8" ht="15.75" customHeight="1" x14ac:dyDescent="0.25">
      <c r="A238" s="32" t="str">
        <f>IF(CARGA_DIARIA!A238="","",CARGA_DIARIA!A238)</f>
        <v/>
      </c>
      <c r="B238" s="33" t="str">
        <f>IF(CARGA_DIARIA!A238="","",CARGA_DIARIA!B238)</f>
        <v/>
      </c>
      <c r="C238" s="34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5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5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8" t="s">
        <v>146</v>
      </c>
      <c r="G238" s="38" t="s">
        <v>146</v>
      </c>
      <c r="H238" s="37" t="str">
        <f>IF(CARGA_DIARIA!A238="","",C238-D238-E238)</f>
        <v/>
      </c>
    </row>
    <row r="239" spans="1:8" ht="15.75" customHeight="1" x14ac:dyDescent="0.25">
      <c r="A239" s="32" t="str">
        <f>IF(CARGA_DIARIA!A239="","",CARGA_DIARIA!A239)</f>
        <v/>
      </c>
      <c r="B239" s="33" t="str">
        <f>IF(CARGA_DIARIA!A239="","",CARGA_DIARIA!B239)</f>
        <v/>
      </c>
      <c r="C239" s="34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5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5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8" t="s">
        <v>146</v>
      </c>
      <c r="G239" s="38" t="s">
        <v>146</v>
      </c>
      <c r="H239" s="37" t="str">
        <f>IF(CARGA_DIARIA!A239="","",C239-D239-E239)</f>
        <v/>
      </c>
    </row>
    <row r="240" spans="1:8" ht="15.75" customHeight="1" x14ac:dyDescent="0.25">
      <c r="A240" s="32" t="str">
        <f>IF(CARGA_DIARIA!A240="","",CARGA_DIARIA!A240)</f>
        <v/>
      </c>
      <c r="B240" s="33" t="str">
        <f>IF(CARGA_DIARIA!A240="","",CARGA_DIARIA!B240)</f>
        <v/>
      </c>
      <c r="C240" s="34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5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5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8" t="s">
        <v>146</v>
      </c>
      <c r="G240" s="38" t="s">
        <v>146</v>
      </c>
      <c r="H240" s="37" t="str">
        <f>IF(CARGA_DIARIA!A240="","",C240-D240-E240)</f>
        <v/>
      </c>
    </row>
    <row r="241" spans="1:8" ht="15.75" customHeight="1" x14ac:dyDescent="0.25">
      <c r="A241" s="32" t="str">
        <f>IF(CARGA_DIARIA!A241="","",CARGA_DIARIA!A241)</f>
        <v/>
      </c>
      <c r="B241" s="33" t="str">
        <f>IF(CARGA_DIARIA!A241="","",CARGA_DIARIA!B241)</f>
        <v/>
      </c>
      <c r="C241" s="34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5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5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8" t="s">
        <v>146</v>
      </c>
      <c r="G241" s="38" t="s">
        <v>146</v>
      </c>
      <c r="H241" s="37" t="str">
        <f>IF(CARGA_DIARIA!A241="","",C241-D241-E241)</f>
        <v/>
      </c>
    </row>
    <row r="242" spans="1:8" ht="15.75" customHeight="1" x14ac:dyDescent="0.25">
      <c r="A242" s="32" t="str">
        <f>IF(CARGA_DIARIA!A242="","",CARGA_DIARIA!A242)</f>
        <v/>
      </c>
      <c r="B242" s="33" t="str">
        <f>IF(CARGA_DIARIA!A242="","",CARGA_DIARIA!B242)</f>
        <v/>
      </c>
      <c r="C242" s="34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5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5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8" t="s">
        <v>146</v>
      </c>
      <c r="G242" s="38" t="s">
        <v>146</v>
      </c>
      <c r="H242" s="37" t="str">
        <f>IF(CARGA_DIARIA!A242="","",C242-D242-E242)</f>
        <v/>
      </c>
    </row>
    <row r="243" spans="1:8" ht="15.75" customHeight="1" x14ac:dyDescent="0.25">
      <c r="A243" s="32" t="str">
        <f>IF(CARGA_DIARIA!A243="","",CARGA_DIARIA!A243)</f>
        <v/>
      </c>
      <c r="B243" s="33" t="str">
        <f>IF(CARGA_DIARIA!A243="","",CARGA_DIARIA!B243)</f>
        <v/>
      </c>
      <c r="C243" s="34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5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5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8" t="s">
        <v>146</v>
      </c>
      <c r="G243" s="38" t="s">
        <v>146</v>
      </c>
      <c r="H243" s="37" t="str">
        <f>IF(CARGA_DIARIA!A243="","",C243-D243-E243)</f>
        <v/>
      </c>
    </row>
    <row r="244" spans="1:8" ht="15.75" customHeight="1" x14ac:dyDescent="0.25">
      <c r="A244" s="32" t="str">
        <f>IF(CARGA_DIARIA!A244="","",CARGA_DIARIA!A244)</f>
        <v/>
      </c>
      <c r="B244" s="33" t="str">
        <f>IF(CARGA_DIARIA!A244="","",CARGA_DIARIA!B244)</f>
        <v/>
      </c>
      <c r="C244" s="34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5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5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8" t="s">
        <v>146</v>
      </c>
      <c r="G244" s="38" t="s">
        <v>146</v>
      </c>
      <c r="H244" s="37" t="str">
        <f>IF(CARGA_DIARIA!A244="","",C244-D244-E244)</f>
        <v/>
      </c>
    </row>
    <row r="245" spans="1:8" ht="15.75" customHeight="1" x14ac:dyDescent="0.25">
      <c r="A245" s="32" t="str">
        <f>IF(CARGA_DIARIA!A245="","",CARGA_DIARIA!A245)</f>
        <v/>
      </c>
      <c r="B245" s="33" t="str">
        <f>IF(CARGA_DIARIA!A245="","",CARGA_DIARIA!B245)</f>
        <v/>
      </c>
      <c r="C245" s="34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5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5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8" t="s">
        <v>146</v>
      </c>
      <c r="G245" s="38" t="s">
        <v>146</v>
      </c>
      <c r="H245" s="37" t="str">
        <f>IF(CARGA_DIARIA!A245="","",C245-D245-E245)</f>
        <v/>
      </c>
    </row>
    <row r="246" spans="1:8" ht="15.75" customHeight="1" x14ac:dyDescent="0.25">
      <c r="A246" s="32" t="str">
        <f>IF(CARGA_DIARIA!A246="","",CARGA_DIARIA!A246)</f>
        <v/>
      </c>
      <c r="B246" s="33" t="str">
        <f>IF(CARGA_DIARIA!A246="","",CARGA_DIARIA!B246)</f>
        <v/>
      </c>
      <c r="C246" s="34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5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5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8" t="s">
        <v>146</v>
      </c>
      <c r="G246" s="38" t="s">
        <v>146</v>
      </c>
      <c r="H246" s="37" t="str">
        <f>IF(CARGA_DIARIA!A246="","",C246-D246-E246)</f>
        <v/>
      </c>
    </row>
    <row r="247" spans="1:8" ht="15.75" customHeight="1" x14ac:dyDescent="0.25">
      <c r="A247" s="32" t="str">
        <f>IF(CARGA_DIARIA!A247="","",CARGA_DIARIA!A247)</f>
        <v/>
      </c>
      <c r="B247" s="33" t="str">
        <f>IF(CARGA_DIARIA!A247="","",CARGA_DIARIA!B247)</f>
        <v/>
      </c>
      <c r="C247" s="34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5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5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8" t="s">
        <v>146</v>
      </c>
      <c r="G247" s="38" t="s">
        <v>146</v>
      </c>
      <c r="H247" s="37" t="str">
        <f>IF(CARGA_DIARIA!A247="","",C247-D247-E247)</f>
        <v/>
      </c>
    </row>
    <row r="248" spans="1:8" ht="15.75" customHeight="1" x14ac:dyDescent="0.25">
      <c r="A248" s="32" t="str">
        <f>IF(CARGA_DIARIA!A248="","",CARGA_DIARIA!A248)</f>
        <v/>
      </c>
      <c r="B248" s="33" t="str">
        <f>IF(CARGA_DIARIA!A248="","",CARGA_DIARIA!B248)</f>
        <v/>
      </c>
      <c r="C248" s="34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5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5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8" t="s">
        <v>146</v>
      </c>
      <c r="G248" s="38" t="s">
        <v>146</v>
      </c>
      <c r="H248" s="37" t="str">
        <f>IF(CARGA_DIARIA!A248="","",C248-D248-E248)</f>
        <v/>
      </c>
    </row>
    <row r="249" spans="1:8" ht="15.75" customHeight="1" x14ac:dyDescent="0.25">
      <c r="A249" s="32" t="str">
        <f>IF(CARGA_DIARIA!A249="","",CARGA_DIARIA!A249)</f>
        <v/>
      </c>
      <c r="B249" s="33" t="str">
        <f>IF(CARGA_DIARIA!A249="","",CARGA_DIARIA!B249)</f>
        <v/>
      </c>
      <c r="C249" s="34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5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5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8" t="s">
        <v>146</v>
      </c>
      <c r="G249" s="38" t="s">
        <v>146</v>
      </c>
      <c r="H249" s="37" t="str">
        <f>IF(CARGA_DIARIA!A249="","",C249-D249-E249)</f>
        <v/>
      </c>
    </row>
    <row r="250" spans="1:8" ht="15.75" customHeight="1" x14ac:dyDescent="0.25">
      <c r="A250" s="32" t="str">
        <f>IF(CARGA_DIARIA!A250="","",CARGA_DIARIA!A250)</f>
        <v/>
      </c>
      <c r="B250" s="33" t="str">
        <f>IF(CARGA_DIARIA!A250="","",CARGA_DIARIA!B250)</f>
        <v/>
      </c>
      <c r="C250" s="34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5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5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8" t="s">
        <v>146</v>
      </c>
      <c r="G250" s="38" t="s">
        <v>146</v>
      </c>
      <c r="H250" s="37" t="str">
        <f>IF(CARGA_DIARIA!A250="","",C250-D250-E250)</f>
        <v/>
      </c>
    </row>
    <row r="251" spans="1:8" ht="15.75" customHeight="1" x14ac:dyDescent="0.25">
      <c r="A251" s="32" t="str">
        <f>IF(CARGA_DIARIA!A251="","",CARGA_DIARIA!A251)</f>
        <v/>
      </c>
      <c r="B251" s="33" t="str">
        <f>IF(CARGA_DIARIA!A251="","",CARGA_DIARIA!B251)</f>
        <v/>
      </c>
      <c r="C251" s="34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5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5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8" t="s">
        <v>146</v>
      </c>
      <c r="G251" s="38" t="s">
        <v>146</v>
      </c>
      <c r="H251" s="37" t="str">
        <f>IF(CARGA_DIARIA!A251="","",C251-D251-E251)</f>
        <v/>
      </c>
    </row>
    <row r="252" spans="1:8" ht="15.75" customHeight="1" x14ac:dyDescent="0.25">
      <c r="A252" s="32" t="str">
        <f>IF(CARGA_DIARIA!A252="","",CARGA_DIARIA!A252)</f>
        <v/>
      </c>
      <c r="B252" s="33" t="str">
        <f>IF(CARGA_DIARIA!A252="","",CARGA_DIARIA!B252)</f>
        <v/>
      </c>
      <c r="C252" s="34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5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5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8" t="s">
        <v>146</v>
      </c>
      <c r="G252" s="38" t="s">
        <v>146</v>
      </c>
      <c r="H252" s="37" t="str">
        <f>IF(CARGA_DIARIA!A252="","",C252-D252-E252)</f>
        <v/>
      </c>
    </row>
    <row r="253" spans="1:8" ht="15.75" customHeight="1" x14ac:dyDescent="0.25">
      <c r="A253" s="32" t="str">
        <f>IF(CARGA_DIARIA!A253="","",CARGA_DIARIA!A253)</f>
        <v/>
      </c>
      <c r="B253" s="33" t="str">
        <f>IF(CARGA_DIARIA!A253="","",CARGA_DIARIA!B253)</f>
        <v/>
      </c>
      <c r="C253" s="34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5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5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8" t="s">
        <v>146</v>
      </c>
      <c r="G253" s="38" t="s">
        <v>146</v>
      </c>
      <c r="H253" s="37" t="str">
        <f>IF(CARGA_DIARIA!A253="","",C253-D253-E253)</f>
        <v/>
      </c>
    </row>
    <row r="254" spans="1:8" ht="15.75" customHeight="1" x14ac:dyDescent="0.25">
      <c r="A254" s="32" t="str">
        <f>IF(CARGA_DIARIA!A254="","",CARGA_DIARIA!A254)</f>
        <v/>
      </c>
      <c r="B254" s="33" t="str">
        <f>IF(CARGA_DIARIA!A254="","",CARGA_DIARIA!B254)</f>
        <v/>
      </c>
      <c r="C254" s="34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5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5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8" t="s">
        <v>146</v>
      </c>
      <c r="G254" s="38" t="s">
        <v>146</v>
      </c>
      <c r="H254" s="37" t="str">
        <f>IF(CARGA_DIARIA!A254="","",C254-D254-E254)</f>
        <v/>
      </c>
    </row>
    <row r="255" spans="1:8" ht="15.75" customHeight="1" x14ac:dyDescent="0.25">
      <c r="A255" s="32" t="str">
        <f>IF(CARGA_DIARIA!A255="","",CARGA_DIARIA!A255)</f>
        <v/>
      </c>
      <c r="B255" s="33" t="str">
        <f>IF(CARGA_DIARIA!A255="","",CARGA_DIARIA!B255)</f>
        <v/>
      </c>
      <c r="C255" s="34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5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5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8" t="s">
        <v>146</v>
      </c>
      <c r="G255" s="38" t="s">
        <v>146</v>
      </c>
      <c r="H255" s="37" t="str">
        <f>IF(CARGA_DIARIA!A255="","",C255-D255-E255)</f>
        <v/>
      </c>
    </row>
    <row r="256" spans="1:8" ht="15.75" customHeight="1" x14ac:dyDescent="0.25">
      <c r="A256" s="32" t="str">
        <f>IF(CARGA_DIARIA!A256="","",CARGA_DIARIA!A256)</f>
        <v/>
      </c>
      <c r="B256" s="33" t="str">
        <f>IF(CARGA_DIARIA!A256="","",CARGA_DIARIA!B256)</f>
        <v/>
      </c>
      <c r="C256" s="34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5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5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8" t="s">
        <v>146</v>
      </c>
      <c r="G256" s="38" t="s">
        <v>146</v>
      </c>
      <c r="H256" s="37" t="str">
        <f>IF(CARGA_DIARIA!A256="","",C256-D256-E256)</f>
        <v/>
      </c>
    </row>
    <row r="257" spans="1:8" ht="15.75" customHeight="1" x14ac:dyDescent="0.25">
      <c r="A257" s="32" t="str">
        <f>IF(CARGA_DIARIA!A257="","",CARGA_DIARIA!A257)</f>
        <v/>
      </c>
      <c r="B257" s="33" t="str">
        <f>IF(CARGA_DIARIA!A257="","",CARGA_DIARIA!B257)</f>
        <v/>
      </c>
      <c r="C257" s="34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5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5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8" t="s">
        <v>146</v>
      </c>
      <c r="G257" s="38" t="s">
        <v>146</v>
      </c>
      <c r="H257" s="37" t="str">
        <f>IF(CARGA_DIARIA!A257="","",C257-D257-E257)</f>
        <v/>
      </c>
    </row>
    <row r="258" spans="1:8" ht="15.75" customHeight="1" x14ac:dyDescent="0.25">
      <c r="A258" s="32" t="str">
        <f>IF(CARGA_DIARIA!A258="","",CARGA_DIARIA!A258)</f>
        <v/>
      </c>
      <c r="B258" s="33" t="str">
        <f>IF(CARGA_DIARIA!A258="","",CARGA_DIARIA!B258)</f>
        <v/>
      </c>
      <c r="C258" s="34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5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5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8" t="s">
        <v>146</v>
      </c>
      <c r="G258" s="38" t="s">
        <v>146</v>
      </c>
      <c r="H258" s="37" t="str">
        <f>IF(CARGA_DIARIA!A258="","",C258-D258-E258)</f>
        <v/>
      </c>
    </row>
    <row r="259" spans="1:8" ht="15.75" customHeight="1" x14ac:dyDescent="0.25">
      <c r="A259" s="32" t="str">
        <f>IF(CARGA_DIARIA!A259="","",CARGA_DIARIA!A259)</f>
        <v/>
      </c>
      <c r="B259" s="33" t="str">
        <f>IF(CARGA_DIARIA!A259="","",CARGA_DIARIA!B259)</f>
        <v/>
      </c>
      <c r="C259" s="34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5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5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8" t="s">
        <v>146</v>
      </c>
      <c r="G259" s="38" t="s">
        <v>146</v>
      </c>
      <c r="H259" s="37" t="str">
        <f>IF(CARGA_DIARIA!A259="","",C259-D259-E259)</f>
        <v/>
      </c>
    </row>
    <row r="260" spans="1:8" ht="15.75" customHeight="1" x14ac:dyDescent="0.25">
      <c r="A260" s="32" t="str">
        <f>IF(CARGA_DIARIA!A260="","",CARGA_DIARIA!A260)</f>
        <v/>
      </c>
      <c r="B260" s="33" t="str">
        <f>IF(CARGA_DIARIA!A260="","",CARGA_DIARIA!B260)</f>
        <v/>
      </c>
      <c r="C260" s="34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5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5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8" t="s">
        <v>146</v>
      </c>
      <c r="G260" s="38" t="s">
        <v>146</v>
      </c>
      <c r="H260" s="37" t="str">
        <f>IF(CARGA_DIARIA!A260="","",C260-D260-E260)</f>
        <v/>
      </c>
    </row>
    <row r="261" spans="1:8" ht="15.75" customHeight="1" x14ac:dyDescent="0.25">
      <c r="A261" s="32" t="str">
        <f>IF(CARGA_DIARIA!A261="","",CARGA_DIARIA!A261)</f>
        <v/>
      </c>
      <c r="B261" s="33" t="str">
        <f>IF(CARGA_DIARIA!A261="","",CARGA_DIARIA!B261)</f>
        <v/>
      </c>
      <c r="C261" s="34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5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5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8" t="s">
        <v>146</v>
      </c>
      <c r="G261" s="38" t="s">
        <v>146</v>
      </c>
      <c r="H261" s="37" t="str">
        <f>IF(CARGA_DIARIA!A261="","",C261-D261-E261)</f>
        <v/>
      </c>
    </row>
    <row r="262" spans="1:8" ht="15.75" customHeight="1" x14ac:dyDescent="0.25">
      <c r="A262" s="32" t="str">
        <f>IF(CARGA_DIARIA!A262="","",CARGA_DIARIA!A262)</f>
        <v/>
      </c>
      <c r="B262" s="33" t="str">
        <f>IF(CARGA_DIARIA!A262="","",CARGA_DIARIA!B262)</f>
        <v/>
      </c>
      <c r="C262" s="34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5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5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8" t="s">
        <v>146</v>
      </c>
      <c r="G262" s="38" t="s">
        <v>146</v>
      </c>
      <c r="H262" s="37" t="str">
        <f>IF(CARGA_DIARIA!A262="","",C262-D262-E262)</f>
        <v/>
      </c>
    </row>
    <row r="263" spans="1:8" ht="15.75" customHeight="1" x14ac:dyDescent="0.25">
      <c r="A263" s="32" t="str">
        <f>IF(CARGA_DIARIA!A263="","",CARGA_DIARIA!A263)</f>
        <v/>
      </c>
      <c r="B263" s="33" t="str">
        <f>IF(CARGA_DIARIA!A263="","",CARGA_DIARIA!B263)</f>
        <v/>
      </c>
      <c r="C263" s="34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5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5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8" t="s">
        <v>146</v>
      </c>
      <c r="G263" s="38" t="s">
        <v>146</v>
      </c>
      <c r="H263" s="37" t="str">
        <f>IF(CARGA_DIARIA!A263="","",C263-D263-E263)</f>
        <v/>
      </c>
    </row>
    <row r="264" spans="1:8" ht="15.75" customHeight="1" x14ac:dyDescent="0.25">
      <c r="A264" s="32" t="str">
        <f>IF(CARGA_DIARIA!A264="","",CARGA_DIARIA!A264)</f>
        <v/>
      </c>
      <c r="B264" s="33" t="str">
        <f>IF(CARGA_DIARIA!A264="","",CARGA_DIARIA!B264)</f>
        <v/>
      </c>
      <c r="C264" s="34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5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5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8" t="s">
        <v>146</v>
      </c>
      <c r="G264" s="38" t="s">
        <v>146</v>
      </c>
      <c r="H264" s="37" t="str">
        <f>IF(CARGA_DIARIA!A264="","",C264-D264-E264)</f>
        <v/>
      </c>
    </row>
    <row r="265" spans="1:8" ht="15.75" customHeight="1" x14ac:dyDescent="0.25">
      <c r="A265" s="32" t="str">
        <f>IF(CARGA_DIARIA!A265="","",CARGA_DIARIA!A265)</f>
        <v/>
      </c>
      <c r="B265" s="33" t="str">
        <f>IF(CARGA_DIARIA!A265="","",CARGA_DIARIA!B265)</f>
        <v/>
      </c>
      <c r="C265" s="34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5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5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8" t="s">
        <v>146</v>
      </c>
      <c r="G265" s="38" t="s">
        <v>146</v>
      </c>
      <c r="H265" s="37" t="str">
        <f>IF(CARGA_DIARIA!A265="","",C265-D265-E265)</f>
        <v/>
      </c>
    </row>
    <row r="266" spans="1:8" ht="15.75" customHeight="1" x14ac:dyDescent="0.25">
      <c r="A266" s="32" t="str">
        <f>IF(CARGA_DIARIA!A266="","",CARGA_DIARIA!A266)</f>
        <v/>
      </c>
      <c r="B266" s="33" t="str">
        <f>IF(CARGA_DIARIA!A266="","",CARGA_DIARIA!B266)</f>
        <v/>
      </c>
      <c r="C266" s="34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5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5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8" t="s">
        <v>146</v>
      </c>
      <c r="G266" s="38" t="s">
        <v>146</v>
      </c>
      <c r="H266" s="37" t="str">
        <f>IF(CARGA_DIARIA!A266="","",C266-D266-E266)</f>
        <v/>
      </c>
    </row>
    <row r="267" spans="1:8" ht="15.75" customHeight="1" x14ac:dyDescent="0.25">
      <c r="A267" s="32" t="str">
        <f>IF(CARGA_DIARIA!A267="","",CARGA_DIARIA!A267)</f>
        <v/>
      </c>
      <c r="B267" s="33" t="str">
        <f>IF(CARGA_DIARIA!A267="","",CARGA_DIARIA!B267)</f>
        <v/>
      </c>
      <c r="C267" s="34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5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5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8" t="s">
        <v>146</v>
      </c>
      <c r="G267" s="38" t="s">
        <v>146</v>
      </c>
      <c r="H267" s="37" t="str">
        <f>IF(CARGA_DIARIA!A267="","",C267-D267-E267)</f>
        <v/>
      </c>
    </row>
    <row r="268" spans="1:8" ht="15.75" customHeight="1" x14ac:dyDescent="0.25">
      <c r="A268" s="32" t="str">
        <f>IF(CARGA_DIARIA!A268="","",CARGA_DIARIA!A268)</f>
        <v/>
      </c>
      <c r="B268" s="33" t="str">
        <f>IF(CARGA_DIARIA!A268="","",CARGA_DIARIA!B268)</f>
        <v/>
      </c>
      <c r="C268" s="34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5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5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8" t="s">
        <v>146</v>
      </c>
      <c r="G268" s="38" t="s">
        <v>146</v>
      </c>
      <c r="H268" s="37" t="str">
        <f>IF(CARGA_DIARIA!A268="","",C268-D268-E268)</f>
        <v/>
      </c>
    </row>
    <row r="269" spans="1:8" ht="15.75" customHeight="1" x14ac:dyDescent="0.25">
      <c r="A269" s="32" t="str">
        <f>IF(CARGA_DIARIA!A269="","",CARGA_DIARIA!A269)</f>
        <v/>
      </c>
      <c r="B269" s="33" t="str">
        <f>IF(CARGA_DIARIA!A269="","",CARGA_DIARIA!B269)</f>
        <v/>
      </c>
      <c r="C269" s="34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5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5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8" t="s">
        <v>146</v>
      </c>
      <c r="G269" s="38" t="s">
        <v>146</v>
      </c>
      <c r="H269" s="37" t="str">
        <f>IF(CARGA_DIARIA!A269="","",C269-D269-E269)</f>
        <v/>
      </c>
    </row>
    <row r="270" spans="1:8" ht="15.75" customHeight="1" x14ac:dyDescent="0.25">
      <c r="A270" s="32" t="str">
        <f>IF(CARGA_DIARIA!A270="","",CARGA_DIARIA!A270)</f>
        <v/>
      </c>
      <c r="B270" s="33" t="str">
        <f>IF(CARGA_DIARIA!A270="","",CARGA_DIARIA!B270)</f>
        <v/>
      </c>
      <c r="C270" s="34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5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5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8" t="s">
        <v>146</v>
      </c>
      <c r="G270" s="38" t="s">
        <v>146</v>
      </c>
      <c r="H270" s="37" t="str">
        <f>IF(CARGA_DIARIA!A270="","",C270-D270-E270)</f>
        <v/>
      </c>
    </row>
    <row r="271" spans="1:8" ht="15.75" customHeight="1" x14ac:dyDescent="0.25">
      <c r="A271" s="32" t="str">
        <f>IF(CARGA_DIARIA!A271="","",CARGA_DIARIA!A271)</f>
        <v/>
      </c>
      <c r="B271" s="33" t="str">
        <f>IF(CARGA_DIARIA!A271="","",CARGA_DIARIA!B271)</f>
        <v/>
      </c>
      <c r="C271" s="34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5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5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8" t="s">
        <v>146</v>
      </c>
      <c r="G271" s="38" t="s">
        <v>146</v>
      </c>
      <c r="H271" s="37" t="str">
        <f>IF(CARGA_DIARIA!A271="","",C271-D271-E271)</f>
        <v/>
      </c>
    </row>
    <row r="272" spans="1:8" ht="15.75" customHeight="1" x14ac:dyDescent="0.25">
      <c r="A272" s="32" t="str">
        <f>IF(CARGA_DIARIA!A272="","",CARGA_DIARIA!A272)</f>
        <v/>
      </c>
      <c r="B272" s="33" t="str">
        <f>IF(CARGA_DIARIA!A272="","",CARGA_DIARIA!B272)</f>
        <v/>
      </c>
      <c r="C272" s="34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5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5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8" t="s">
        <v>146</v>
      </c>
      <c r="G272" s="38" t="s">
        <v>146</v>
      </c>
      <c r="H272" s="37" t="str">
        <f>IF(CARGA_DIARIA!A272="","",C272-D272-E272)</f>
        <v/>
      </c>
    </row>
    <row r="273" spans="1:8" ht="15.75" customHeight="1" x14ac:dyDescent="0.25">
      <c r="A273" s="32" t="str">
        <f>IF(CARGA_DIARIA!A273="","",CARGA_DIARIA!A273)</f>
        <v/>
      </c>
      <c r="B273" s="33" t="str">
        <f>IF(CARGA_DIARIA!A273="","",CARGA_DIARIA!B273)</f>
        <v/>
      </c>
      <c r="C273" s="34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5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5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8" t="s">
        <v>146</v>
      </c>
      <c r="G273" s="38" t="s">
        <v>146</v>
      </c>
      <c r="H273" s="37" t="str">
        <f>IF(CARGA_DIARIA!A273="","",C273-D273-E273)</f>
        <v/>
      </c>
    </row>
    <row r="274" spans="1:8" ht="15.75" customHeight="1" x14ac:dyDescent="0.25">
      <c r="A274" s="32" t="str">
        <f>IF(CARGA_DIARIA!A274="","",CARGA_DIARIA!A274)</f>
        <v/>
      </c>
      <c r="B274" s="33" t="str">
        <f>IF(CARGA_DIARIA!A274="","",CARGA_DIARIA!B274)</f>
        <v/>
      </c>
      <c r="C274" s="34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5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5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8" t="s">
        <v>146</v>
      </c>
      <c r="G274" s="38" t="s">
        <v>146</v>
      </c>
      <c r="H274" s="37" t="str">
        <f>IF(CARGA_DIARIA!A274="","",C274-D274-E274)</f>
        <v/>
      </c>
    </row>
    <row r="275" spans="1:8" ht="15.75" customHeight="1" x14ac:dyDescent="0.25">
      <c r="A275" s="32" t="str">
        <f>IF(CARGA_DIARIA!A275="","",CARGA_DIARIA!A275)</f>
        <v/>
      </c>
      <c r="B275" s="33" t="str">
        <f>IF(CARGA_DIARIA!A275="","",CARGA_DIARIA!B275)</f>
        <v/>
      </c>
      <c r="C275" s="34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5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5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8" t="s">
        <v>146</v>
      </c>
      <c r="G275" s="38" t="s">
        <v>146</v>
      </c>
      <c r="H275" s="37" t="str">
        <f>IF(CARGA_DIARIA!A275="","",C275-D275-E275)</f>
        <v/>
      </c>
    </row>
    <row r="276" spans="1:8" ht="15.75" customHeight="1" x14ac:dyDescent="0.25">
      <c r="A276" s="32" t="str">
        <f>IF(CARGA_DIARIA!A276="","",CARGA_DIARIA!A276)</f>
        <v/>
      </c>
      <c r="B276" s="33" t="str">
        <f>IF(CARGA_DIARIA!A276="","",CARGA_DIARIA!B276)</f>
        <v/>
      </c>
      <c r="C276" s="34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5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5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8" t="s">
        <v>146</v>
      </c>
      <c r="G276" s="38" t="s">
        <v>146</v>
      </c>
      <c r="H276" s="37" t="str">
        <f>IF(CARGA_DIARIA!A276="","",C276-D276-E276)</f>
        <v/>
      </c>
    </row>
    <row r="277" spans="1:8" ht="15.75" customHeight="1" x14ac:dyDescent="0.25">
      <c r="A277" s="32" t="str">
        <f>IF(CARGA_DIARIA!A277="","",CARGA_DIARIA!A277)</f>
        <v/>
      </c>
      <c r="B277" s="33" t="str">
        <f>IF(CARGA_DIARIA!A277="","",CARGA_DIARIA!B277)</f>
        <v/>
      </c>
      <c r="C277" s="34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5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5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8" t="s">
        <v>146</v>
      </c>
      <c r="G277" s="38" t="s">
        <v>146</v>
      </c>
      <c r="H277" s="37" t="str">
        <f>IF(CARGA_DIARIA!A277="","",C277-D277-E277)</f>
        <v/>
      </c>
    </row>
    <row r="278" spans="1:8" ht="15.75" customHeight="1" x14ac:dyDescent="0.25">
      <c r="A278" s="32" t="str">
        <f>IF(CARGA_DIARIA!A278="","",CARGA_DIARIA!A278)</f>
        <v/>
      </c>
      <c r="B278" s="33" t="str">
        <f>IF(CARGA_DIARIA!A278="","",CARGA_DIARIA!B278)</f>
        <v/>
      </c>
      <c r="C278" s="34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5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5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8" t="s">
        <v>146</v>
      </c>
      <c r="G278" s="38" t="s">
        <v>146</v>
      </c>
      <c r="H278" s="37" t="str">
        <f>IF(CARGA_DIARIA!A278="","",C278-D278-E278)</f>
        <v/>
      </c>
    </row>
    <row r="279" spans="1:8" ht="15.75" customHeight="1" x14ac:dyDescent="0.25">
      <c r="A279" s="32" t="str">
        <f>IF(CARGA_DIARIA!A279="","",CARGA_DIARIA!A279)</f>
        <v/>
      </c>
      <c r="B279" s="33" t="str">
        <f>IF(CARGA_DIARIA!A279="","",CARGA_DIARIA!B279)</f>
        <v/>
      </c>
      <c r="C279" s="34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5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5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8" t="s">
        <v>146</v>
      </c>
      <c r="G279" s="38" t="s">
        <v>146</v>
      </c>
      <c r="H279" s="37" t="str">
        <f>IF(CARGA_DIARIA!A279="","",C279-D279-E279)</f>
        <v/>
      </c>
    </row>
    <row r="280" spans="1:8" ht="15.75" customHeight="1" x14ac:dyDescent="0.25">
      <c r="A280" s="32" t="str">
        <f>IF(CARGA_DIARIA!A280="","",CARGA_DIARIA!A280)</f>
        <v/>
      </c>
      <c r="B280" s="33" t="str">
        <f>IF(CARGA_DIARIA!A280="","",CARGA_DIARIA!B280)</f>
        <v/>
      </c>
      <c r="C280" s="34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5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5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8" t="s">
        <v>146</v>
      </c>
      <c r="G280" s="38" t="s">
        <v>146</v>
      </c>
      <c r="H280" s="37" t="str">
        <f>IF(CARGA_DIARIA!A280="","",C280-D280-E280)</f>
        <v/>
      </c>
    </row>
    <row r="281" spans="1:8" ht="15.75" customHeight="1" x14ac:dyDescent="0.25">
      <c r="A281" s="32" t="str">
        <f>IF(CARGA_DIARIA!A281="","",CARGA_DIARIA!A281)</f>
        <v/>
      </c>
      <c r="B281" s="33" t="str">
        <f>IF(CARGA_DIARIA!A281="","",CARGA_DIARIA!B281)</f>
        <v/>
      </c>
      <c r="C281" s="34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5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5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8" t="s">
        <v>146</v>
      </c>
      <c r="G281" s="38" t="s">
        <v>146</v>
      </c>
      <c r="H281" s="37" t="str">
        <f>IF(CARGA_DIARIA!A281="","",C281-D281-E281)</f>
        <v/>
      </c>
    </row>
    <row r="282" spans="1:8" ht="15.75" customHeight="1" x14ac:dyDescent="0.25">
      <c r="A282" s="32" t="str">
        <f>IF(CARGA_DIARIA!A282="","",CARGA_DIARIA!A282)</f>
        <v/>
      </c>
      <c r="B282" s="33" t="str">
        <f>IF(CARGA_DIARIA!A282="","",CARGA_DIARIA!B282)</f>
        <v/>
      </c>
      <c r="C282" s="34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5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5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8" t="s">
        <v>146</v>
      </c>
      <c r="G282" s="38" t="s">
        <v>146</v>
      </c>
      <c r="H282" s="37" t="str">
        <f>IF(CARGA_DIARIA!A282="","",C282-D282-E282)</f>
        <v/>
      </c>
    </row>
    <row r="283" spans="1:8" ht="15.75" customHeight="1" x14ac:dyDescent="0.25">
      <c r="A283" s="32" t="str">
        <f>IF(CARGA_DIARIA!A283="","",CARGA_DIARIA!A283)</f>
        <v/>
      </c>
      <c r="B283" s="33" t="str">
        <f>IF(CARGA_DIARIA!A283="","",CARGA_DIARIA!B283)</f>
        <v/>
      </c>
      <c r="C283" s="34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5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5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8" t="s">
        <v>146</v>
      </c>
      <c r="G283" s="38" t="s">
        <v>146</v>
      </c>
      <c r="H283" s="37" t="str">
        <f>IF(CARGA_DIARIA!A283="","",C283-D283-E283)</f>
        <v/>
      </c>
    </row>
    <row r="284" spans="1:8" ht="15.75" customHeight="1" x14ac:dyDescent="0.25">
      <c r="A284" s="32" t="str">
        <f>IF(CARGA_DIARIA!A284="","",CARGA_DIARIA!A284)</f>
        <v/>
      </c>
      <c r="B284" s="33" t="str">
        <f>IF(CARGA_DIARIA!A284="","",CARGA_DIARIA!B284)</f>
        <v/>
      </c>
      <c r="C284" s="34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5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5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8" t="s">
        <v>146</v>
      </c>
      <c r="G284" s="38" t="s">
        <v>146</v>
      </c>
      <c r="H284" s="37" t="str">
        <f>IF(CARGA_DIARIA!A284="","",C284-D284-E284)</f>
        <v/>
      </c>
    </row>
    <row r="285" spans="1:8" ht="15.75" customHeight="1" x14ac:dyDescent="0.25">
      <c r="A285" s="32" t="str">
        <f>IF(CARGA_DIARIA!A285="","",CARGA_DIARIA!A285)</f>
        <v/>
      </c>
      <c r="B285" s="33" t="str">
        <f>IF(CARGA_DIARIA!A285="","",CARGA_DIARIA!B285)</f>
        <v/>
      </c>
      <c r="C285" s="34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5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5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8" t="s">
        <v>146</v>
      </c>
      <c r="G285" s="38" t="s">
        <v>146</v>
      </c>
      <c r="H285" s="37" t="str">
        <f>IF(CARGA_DIARIA!A285="","",C285-D285-E285)</f>
        <v/>
      </c>
    </row>
    <row r="286" spans="1:8" ht="15.75" customHeight="1" x14ac:dyDescent="0.25">
      <c r="A286" s="32" t="str">
        <f>IF(CARGA_DIARIA!A286="","",CARGA_DIARIA!A286)</f>
        <v/>
      </c>
      <c r="B286" s="33" t="str">
        <f>IF(CARGA_DIARIA!A286="","",CARGA_DIARIA!B286)</f>
        <v/>
      </c>
      <c r="C286" s="34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5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5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8" t="s">
        <v>146</v>
      </c>
      <c r="G286" s="38" t="s">
        <v>146</v>
      </c>
      <c r="H286" s="37" t="str">
        <f>IF(CARGA_DIARIA!A286="","",C286-D286-E286)</f>
        <v/>
      </c>
    </row>
    <row r="287" spans="1:8" ht="15.75" customHeight="1" x14ac:dyDescent="0.25">
      <c r="A287" s="32" t="str">
        <f>IF(CARGA_DIARIA!A287="","",CARGA_DIARIA!A287)</f>
        <v/>
      </c>
      <c r="B287" s="33" t="str">
        <f>IF(CARGA_DIARIA!A287="","",CARGA_DIARIA!B287)</f>
        <v/>
      </c>
      <c r="C287" s="34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5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5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8" t="s">
        <v>146</v>
      </c>
      <c r="G287" s="38" t="s">
        <v>146</v>
      </c>
      <c r="H287" s="37" t="str">
        <f>IF(CARGA_DIARIA!A287="","",C287-D287-E287)</f>
        <v/>
      </c>
    </row>
    <row r="288" spans="1:8" ht="15.75" customHeight="1" x14ac:dyDescent="0.25">
      <c r="A288" s="32" t="str">
        <f>IF(CARGA_DIARIA!A288="","",CARGA_DIARIA!A288)</f>
        <v/>
      </c>
      <c r="B288" s="33" t="str">
        <f>IF(CARGA_DIARIA!A288="","",CARGA_DIARIA!B288)</f>
        <v/>
      </c>
      <c r="C288" s="34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5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5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8" t="s">
        <v>146</v>
      </c>
      <c r="G288" s="38" t="s">
        <v>146</v>
      </c>
      <c r="H288" s="37" t="str">
        <f>IF(CARGA_DIARIA!A288="","",C288-D288-E288)</f>
        <v/>
      </c>
    </row>
    <row r="289" spans="1:8" ht="15.75" customHeight="1" x14ac:dyDescent="0.25">
      <c r="A289" s="32" t="str">
        <f>IF(CARGA_DIARIA!A289="","",CARGA_DIARIA!A289)</f>
        <v/>
      </c>
      <c r="B289" s="33" t="str">
        <f>IF(CARGA_DIARIA!A289="","",CARGA_DIARIA!B289)</f>
        <v/>
      </c>
      <c r="C289" s="34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5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5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8" t="s">
        <v>146</v>
      </c>
      <c r="G289" s="38" t="s">
        <v>146</v>
      </c>
      <c r="H289" s="37" t="str">
        <f>IF(CARGA_DIARIA!A289="","",C289-D289-E289)</f>
        <v/>
      </c>
    </row>
    <row r="290" spans="1:8" ht="15.75" customHeight="1" x14ac:dyDescent="0.25">
      <c r="A290" s="32" t="str">
        <f>IF(CARGA_DIARIA!A290="","",CARGA_DIARIA!A290)</f>
        <v/>
      </c>
      <c r="B290" s="33" t="str">
        <f>IF(CARGA_DIARIA!A290="","",CARGA_DIARIA!B290)</f>
        <v/>
      </c>
      <c r="C290" s="34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5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5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8" t="s">
        <v>146</v>
      </c>
      <c r="G290" s="38" t="s">
        <v>146</v>
      </c>
      <c r="H290" s="37" t="str">
        <f>IF(CARGA_DIARIA!A290="","",C290-D290-E290)</f>
        <v/>
      </c>
    </row>
    <row r="291" spans="1:8" ht="15.75" customHeight="1" x14ac:dyDescent="0.25">
      <c r="A291" s="32" t="str">
        <f>IF(CARGA_DIARIA!A291="","",CARGA_DIARIA!A291)</f>
        <v/>
      </c>
      <c r="B291" s="33" t="str">
        <f>IF(CARGA_DIARIA!A291="","",CARGA_DIARIA!B291)</f>
        <v/>
      </c>
      <c r="C291" s="34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5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5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8" t="s">
        <v>146</v>
      </c>
      <c r="G291" s="38" t="s">
        <v>146</v>
      </c>
      <c r="H291" s="37" t="str">
        <f>IF(CARGA_DIARIA!A291="","",C291-D291-E291)</f>
        <v/>
      </c>
    </row>
    <row r="292" spans="1:8" ht="15.75" customHeight="1" x14ac:dyDescent="0.25">
      <c r="A292" s="32" t="str">
        <f>IF(CARGA_DIARIA!A292="","",CARGA_DIARIA!A292)</f>
        <v/>
      </c>
      <c r="B292" s="33" t="str">
        <f>IF(CARGA_DIARIA!A292="","",CARGA_DIARIA!B292)</f>
        <v/>
      </c>
      <c r="C292" s="34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5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5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8" t="s">
        <v>146</v>
      </c>
      <c r="G292" s="38" t="s">
        <v>146</v>
      </c>
      <c r="H292" s="37" t="str">
        <f>IF(CARGA_DIARIA!A292="","",C292-D292-E292)</f>
        <v/>
      </c>
    </row>
    <row r="293" spans="1:8" ht="15.75" customHeight="1" x14ac:dyDescent="0.25">
      <c r="A293" s="32" t="str">
        <f>IF(CARGA_DIARIA!A293="","",CARGA_DIARIA!A293)</f>
        <v/>
      </c>
      <c r="B293" s="33" t="str">
        <f>IF(CARGA_DIARIA!A293="","",CARGA_DIARIA!B293)</f>
        <v/>
      </c>
      <c r="C293" s="34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5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5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8" t="s">
        <v>146</v>
      </c>
      <c r="G293" s="38" t="s">
        <v>146</v>
      </c>
      <c r="H293" s="37" t="str">
        <f>IF(CARGA_DIARIA!A293="","",C293-D293-E293)</f>
        <v/>
      </c>
    </row>
    <row r="294" spans="1:8" ht="15.75" customHeight="1" x14ac:dyDescent="0.25">
      <c r="A294" s="32" t="str">
        <f>IF(CARGA_DIARIA!A294="","",CARGA_DIARIA!A294)</f>
        <v/>
      </c>
      <c r="B294" s="33" t="str">
        <f>IF(CARGA_DIARIA!A294="","",CARGA_DIARIA!B294)</f>
        <v/>
      </c>
      <c r="C294" s="34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5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5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8" t="s">
        <v>146</v>
      </c>
      <c r="G294" s="38" t="s">
        <v>146</v>
      </c>
      <c r="H294" s="37" t="str">
        <f>IF(CARGA_DIARIA!A294="","",C294-D294-E294)</f>
        <v/>
      </c>
    </row>
    <row r="295" spans="1:8" ht="15.75" customHeight="1" x14ac:dyDescent="0.25">
      <c r="A295" s="32" t="str">
        <f>IF(CARGA_DIARIA!A295="","",CARGA_DIARIA!A295)</f>
        <v/>
      </c>
      <c r="B295" s="33" t="str">
        <f>IF(CARGA_DIARIA!A295="","",CARGA_DIARIA!B295)</f>
        <v/>
      </c>
      <c r="C295" s="34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5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5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8" t="s">
        <v>146</v>
      </c>
      <c r="G295" s="38" t="s">
        <v>146</v>
      </c>
      <c r="H295" s="37" t="str">
        <f>IF(CARGA_DIARIA!A295="","",C295-D295-E295)</f>
        <v/>
      </c>
    </row>
    <row r="296" spans="1:8" ht="15.75" customHeight="1" x14ac:dyDescent="0.25">
      <c r="A296" s="32" t="str">
        <f>IF(CARGA_DIARIA!A296="","",CARGA_DIARIA!A296)</f>
        <v/>
      </c>
      <c r="B296" s="33" t="str">
        <f>IF(CARGA_DIARIA!A296="","",CARGA_DIARIA!B296)</f>
        <v/>
      </c>
      <c r="C296" s="34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5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5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8" t="s">
        <v>146</v>
      </c>
      <c r="G296" s="38" t="s">
        <v>146</v>
      </c>
      <c r="H296" s="37" t="str">
        <f>IF(CARGA_DIARIA!A296="","",C296-D296-E296)</f>
        <v/>
      </c>
    </row>
    <row r="297" spans="1:8" ht="15.75" customHeight="1" x14ac:dyDescent="0.25">
      <c r="A297" s="32" t="str">
        <f>IF(CARGA_DIARIA!A297="","",CARGA_DIARIA!A297)</f>
        <v/>
      </c>
      <c r="B297" s="33" t="str">
        <f>IF(CARGA_DIARIA!A297="","",CARGA_DIARIA!B297)</f>
        <v/>
      </c>
      <c r="C297" s="34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5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5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8" t="s">
        <v>146</v>
      </c>
      <c r="G297" s="38" t="s">
        <v>146</v>
      </c>
      <c r="H297" s="37" t="str">
        <f>IF(CARGA_DIARIA!A297="","",C297-D297-E297)</f>
        <v/>
      </c>
    </row>
    <row r="298" spans="1:8" ht="15.75" customHeight="1" x14ac:dyDescent="0.25">
      <c r="A298" s="32" t="str">
        <f>IF(CARGA_DIARIA!A298="","",CARGA_DIARIA!A298)</f>
        <v/>
      </c>
      <c r="B298" s="33" t="str">
        <f>IF(CARGA_DIARIA!A298="","",CARGA_DIARIA!B298)</f>
        <v/>
      </c>
      <c r="C298" s="34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5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5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8" t="s">
        <v>146</v>
      </c>
      <c r="G298" s="38" t="s">
        <v>146</v>
      </c>
      <c r="H298" s="37" t="str">
        <f>IF(CARGA_DIARIA!A298="","",C298-D298-E298)</f>
        <v/>
      </c>
    </row>
    <row r="299" spans="1:8" ht="15.75" customHeight="1" x14ac:dyDescent="0.25">
      <c r="A299" s="32" t="str">
        <f>IF(CARGA_DIARIA!A299="","",CARGA_DIARIA!A299)</f>
        <v/>
      </c>
      <c r="B299" s="33" t="str">
        <f>IF(CARGA_DIARIA!A299="","",CARGA_DIARIA!B299)</f>
        <v/>
      </c>
      <c r="C299" s="34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5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5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8" t="s">
        <v>146</v>
      </c>
      <c r="G299" s="38" t="s">
        <v>146</v>
      </c>
      <c r="H299" s="37" t="str">
        <f>IF(CARGA_DIARIA!A299="","",C299-D299-E299)</f>
        <v/>
      </c>
    </row>
    <row r="300" spans="1:8" ht="15.75" customHeight="1" x14ac:dyDescent="0.25">
      <c r="A300" s="32" t="str">
        <f>IF(CARGA_DIARIA!A300="","",CARGA_DIARIA!A300)</f>
        <v/>
      </c>
      <c r="B300" s="33" t="str">
        <f>IF(CARGA_DIARIA!A300="","",CARGA_DIARIA!B300)</f>
        <v/>
      </c>
      <c r="C300" s="34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5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5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8" t="s">
        <v>146</v>
      </c>
      <c r="G300" s="38" t="s">
        <v>146</v>
      </c>
      <c r="H300" s="37" t="str">
        <f>IF(CARGA_DIARIA!A300="","",C300-D300-E300)</f>
        <v/>
      </c>
    </row>
    <row r="301" spans="1:8" ht="15.75" customHeight="1" x14ac:dyDescent="0.25">
      <c r="A301" s="32" t="str">
        <f>IF(CARGA_DIARIA!A301="","",CARGA_DIARIA!A301)</f>
        <v/>
      </c>
      <c r="B301" s="33" t="str">
        <f>IF(CARGA_DIARIA!A301="","",CARGA_DIARIA!B301)</f>
        <v/>
      </c>
      <c r="C301" s="34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5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5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8" t="s">
        <v>146</v>
      </c>
      <c r="G301" s="38" t="s">
        <v>146</v>
      </c>
      <c r="H301" s="37" t="str">
        <f>IF(CARGA_DIARIA!A301="","",C301-D301-E301)</f>
        <v/>
      </c>
    </row>
    <row r="302" spans="1:8" ht="15.75" customHeight="1" x14ac:dyDescent="0.25">
      <c r="A302" s="32" t="str">
        <f>IF(CARGA_DIARIA!A302="","",CARGA_DIARIA!A302)</f>
        <v/>
      </c>
      <c r="B302" s="33" t="str">
        <f>IF(CARGA_DIARIA!A302="","",CARGA_DIARIA!B302)</f>
        <v/>
      </c>
      <c r="C302" s="34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5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5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8" t="s">
        <v>146</v>
      </c>
      <c r="G302" s="38" t="s">
        <v>146</v>
      </c>
      <c r="H302" s="37" t="str">
        <f>IF(CARGA_DIARIA!A302="","",C302-D302-E302)</f>
        <v/>
      </c>
    </row>
    <row r="303" spans="1:8" ht="15.75" customHeight="1" x14ac:dyDescent="0.25">
      <c r="A303" s="32" t="str">
        <f>IF(CARGA_DIARIA!A303="","",CARGA_DIARIA!A303)</f>
        <v/>
      </c>
      <c r="B303" s="33" t="str">
        <f>IF(CARGA_DIARIA!A303="","",CARGA_DIARIA!B303)</f>
        <v/>
      </c>
      <c r="C303" s="34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5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5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8" t="s">
        <v>146</v>
      </c>
      <c r="G303" s="38" t="s">
        <v>146</v>
      </c>
      <c r="H303" s="37" t="str">
        <f>IF(CARGA_DIARIA!A303="","",C303-D303-E303)</f>
        <v/>
      </c>
    </row>
    <row r="304" spans="1:8" ht="15.75" customHeight="1" x14ac:dyDescent="0.25">
      <c r="A304" s="32" t="str">
        <f>IF(CARGA_DIARIA!A304="","",CARGA_DIARIA!A304)</f>
        <v/>
      </c>
      <c r="B304" s="33" t="str">
        <f>IF(CARGA_DIARIA!A304="","",CARGA_DIARIA!B304)</f>
        <v/>
      </c>
      <c r="C304" s="34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5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5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8" t="s">
        <v>146</v>
      </c>
      <c r="G304" s="38" t="s">
        <v>146</v>
      </c>
      <c r="H304" s="37" t="str">
        <f>IF(CARGA_DIARIA!A304="","",C304-D304-E304)</f>
        <v/>
      </c>
    </row>
    <row r="305" spans="1:8" ht="15.75" customHeight="1" x14ac:dyDescent="0.25">
      <c r="A305" s="32" t="str">
        <f>IF(CARGA_DIARIA!A305="","",CARGA_DIARIA!A305)</f>
        <v/>
      </c>
      <c r="B305" s="33" t="str">
        <f>IF(CARGA_DIARIA!A305="","",CARGA_DIARIA!B305)</f>
        <v/>
      </c>
      <c r="C305" s="34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5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5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8" t="s">
        <v>146</v>
      </c>
      <c r="G305" s="38" t="s">
        <v>146</v>
      </c>
      <c r="H305" s="37" t="str">
        <f>IF(CARGA_DIARIA!A305="","",C305-D305-E305)</f>
        <v/>
      </c>
    </row>
    <row r="306" spans="1:8" ht="15.75" customHeight="1" x14ac:dyDescent="0.25">
      <c r="A306" s="32" t="str">
        <f>IF(CARGA_DIARIA!A306="","",CARGA_DIARIA!A306)</f>
        <v/>
      </c>
      <c r="B306" s="33" t="str">
        <f>IF(CARGA_DIARIA!A306="","",CARGA_DIARIA!B306)</f>
        <v/>
      </c>
      <c r="C306" s="34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5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5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8" t="s">
        <v>146</v>
      </c>
      <c r="G306" s="38" t="s">
        <v>146</v>
      </c>
      <c r="H306" s="37" t="str">
        <f>IF(CARGA_DIARIA!A306="","",C306-D306-E306)</f>
        <v/>
      </c>
    </row>
    <row r="307" spans="1:8" ht="15.75" customHeight="1" x14ac:dyDescent="0.25">
      <c r="A307" s="32" t="str">
        <f>IF(CARGA_DIARIA!A307="","",CARGA_DIARIA!A307)</f>
        <v/>
      </c>
      <c r="B307" s="33" t="str">
        <f>IF(CARGA_DIARIA!A307="","",CARGA_DIARIA!B307)</f>
        <v/>
      </c>
      <c r="C307" s="34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5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5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8" t="s">
        <v>146</v>
      </c>
      <c r="G307" s="38" t="s">
        <v>146</v>
      </c>
      <c r="H307" s="37" t="str">
        <f>IF(CARGA_DIARIA!A307="","",C307-D307-E307)</f>
        <v/>
      </c>
    </row>
    <row r="308" spans="1:8" ht="15.75" customHeight="1" x14ac:dyDescent="0.25">
      <c r="A308" s="32" t="str">
        <f>IF(CARGA_DIARIA!A308="","",CARGA_DIARIA!A308)</f>
        <v/>
      </c>
      <c r="B308" s="33" t="str">
        <f>IF(CARGA_DIARIA!A308="","",CARGA_DIARIA!B308)</f>
        <v/>
      </c>
      <c r="C308" s="34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5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5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8" t="s">
        <v>146</v>
      </c>
      <c r="G308" s="38" t="s">
        <v>146</v>
      </c>
      <c r="H308" s="37" t="str">
        <f>IF(CARGA_DIARIA!A308="","",C308-D308-E308)</f>
        <v/>
      </c>
    </row>
    <row r="309" spans="1:8" ht="15.75" customHeight="1" x14ac:dyDescent="0.25">
      <c r="A309" s="32" t="str">
        <f>IF(CARGA_DIARIA!A309="","",CARGA_DIARIA!A309)</f>
        <v/>
      </c>
      <c r="B309" s="33" t="str">
        <f>IF(CARGA_DIARIA!A309="","",CARGA_DIARIA!B309)</f>
        <v/>
      </c>
      <c r="C309" s="34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5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5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8" t="s">
        <v>146</v>
      </c>
      <c r="G309" s="38" t="s">
        <v>146</v>
      </c>
      <c r="H309" s="37" t="str">
        <f>IF(CARGA_DIARIA!A309="","",C309-D309-E309)</f>
        <v/>
      </c>
    </row>
    <row r="310" spans="1:8" ht="15.75" customHeight="1" x14ac:dyDescent="0.25">
      <c r="A310" s="32" t="str">
        <f>IF(CARGA_DIARIA!A310="","",CARGA_DIARIA!A310)</f>
        <v/>
      </c>
      <c r="B310" s="33" t="str">
        <f>IF(CARGA_DIARIA!A310="","",CARGA_DIARIA!B310)</f>
        <v/>
      </c>
      <c r="C310" s="34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5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5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8" t="s">
        <v>146</v>
      </c>
      <c r="G310" s="38" t="s">
        <v>146</v>
      </c>
      <c r="H310" s="37" t="str">
        <f>IF(CARGA_DIARIA!A310="","",C310-D310-E310)</f>
        <v/>
      </c>
    </row>
    <row r="311" spans="1:8" ht="15.75" customHeight="1" x14ac:dyDescent="0.25">
      <c r="A311" s="32" t="str">
        <f>IF(CARGA_DIARIA!A311="","",CARGA_DIARIA!A311)</f>
        <v/>
      </c>
      <c r="B311" s="33" t="str">
        <f>IF(CARGA_DIARIA!A311="","",CARGA_DIARIA!B311)</f>
        <v/>
      </c>
      <c r="C311" s="34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5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5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8" t="s">
        <v>146</v>
      </c>
      <c r="G311" s="38" t="s">
        <v>146</v>
      </c>
      <c r="H311" s="37" t="str">
        <f>IF(CARGA_DIARIA!A311="","",C311-D311-E311)</f>
        <v/>
      </c>
    </row>
    <row r="312" spans="1:8" ht="15.75" customHeight="1" x14ac:dyDescent="0.25">
      <c r="A312" s="32" t="str">
        <f>IF(CARGA_DIARIA!A312="","",CARGA_DIARIA!A312)</f>
        <v/>
      </c>
      <c r="B312" s="33" t="str">
        <f>IF(CARGA_DIARIA!A312="","",CARGA_DIARIA!B312)</f>
        <v/>
      </c>
      <c r="C312" s="34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5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5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8" t="s">
        <v>146</v>
      </c>
      <c r="G312" s="38" t="s">
        <v>146</v>
      </c>
      <c r="H312" s="37" t="str">
        <f>IF(CARGA_DIARIA!A312="","",C312-D312-E312)</f>
        <v/>
      </c>
    </row>
    <row r="313" spans="1:8" ht="15.75" customHeight="1" x14ac:dyDescent="0.25">
      <c r="A313" s="32" t="str">
        <f>IF(CARGA_DIARIA!A313="","",CARGA_DIARIA!A313)</f>
        <v/>
      </c>
      <c r="B313" s="33" t="str">
        <f>IF(CARGA_DIARIA!A313="","",CARGA_DIARIA!B313)</f>
        <v/>
      </c>
      <c r="C313" s="34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5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5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8" t="s">
        <v>146</v>
      </c>
      <c r="G313" s="38" t="s">
        <v>146</v>
      </c>
      <c r="H313" s="37" t="str">
        <f>IF(CARGA_DIARIA!A313="","",C313-D313-E313)</f>
        <v/>
      </c>
    </row>
    <row r="314" spans="1:8" ht="15.75" customHeight="1" x14ac:dyDescent="0.25">
      <c r="A314" s="32" t="str">
        <f>IF(CARGA_DIARIA!A314="","",CARGA_DIARIA!A314)</f>
        <v/>
      </c>
      <c r="B314" s="33" t="str">
        <f>IF(CARGA_DIARIA!A314="","",CARGA_DIARIA!B314)</f>
        <v/>
      </c>
      <c r="C314" s="34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5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5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8" t="s">
        <v>146</v>
      </c>
      <c r="G314" s="38" t="s">
        <v>146</v>
      </c>
      <c r="H314" s="37" t="str">
        <f>IF(CARGA_DIARIA!A314="","",C314-D314-E314)</f>
        <v/>
      </c>
    </row>
    <row r="315" spans="1:8" ht="15.75" customHeight="1" x14ac:dyDescent="0.25">
      <c r="A315" s="32" t="str">
        <f>IF(CARGA_DIARIA!A315="","",CARGA_DIARIA!A315)</f>
        <v/>
      </c>
      <c r="B315" s="33" t="str">
        <f>IF(CARGA_DIARIA!A315="","",CARGA_DIARIA!B315)</f>
        <v/>
      </c>
      <c r="C315" s="34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5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5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8" t="s">
        <v>146</v>
      </c>
      <c r="G315" s="38" t="s">
        <v>146</v>
      </c>
      <c r="H315" s="37" t="str">
        <f>IF(CARGA_DIARIA!A315="","",C315-D315-E315)</f>
        <v/>
      </c>
    </row>
    <row r="316" spans="1:8" ht="15.75" customHeight="1" x14ac:dyDescent="0.25">
      <c r="A316" s="32" t="str">
        <f>IF(CARGA_DIARIA!A316="","",CARGA_DIARIA!A316)</f>
        <v/>
      </c>
      <c r="B316" s="33" t="str">
        <f>IF(CARGA_DIARIA!A316="","",CARGA_DIARIA!B316)</f>
        <v/>
      </c>
      <c r="C316" s="34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5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5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8" t="s">
        <v>146</v>
      </c>
      <c r="G316" s="38" t="s">
        <v>146</v>
      </c>
      <c r="H316" s="37" t="str">
        <f>IF(CARGA_DIARIA!A316="","",C316-D316-E316)</f>
        <v/>
      </c>
    </row>
    <row r="317" spans="1:8" ht="15.75" customHeight="1" x14ac:dyDescent="0.25">
      <c r="A317" s="32" t="str">
        <f>IF(CARGA_DIARIA!A317="","",CARGA_DIARIA!A317)</f>
        <v/>
      </c>
      <c r="B317" s="33" t="str">
        <f>IF(CARGA_DIARIA!A317="","",CARGA_DIARIA!B317)</f>
        <v/>
      </c>
      <c r="C317" s="34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5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5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8" t="s">
        <v>146</v>
      </c>
      <c r="G317" s="38" t="s">
        <v>146</v>
      </c>
      <c r="H317" s="37" t="str">
        <f>IF(CARGA_DIARIA!A317="","",C317-D317-E317)</f>
        <v/>
      </c>
    </row>
    <row r="318" spans="1:8" ht="15.75" customHeight="1" x14ac:dyDescent="0.25">
      <c r="A318" s="32" t="str">
        <f>IF(CARGA_DIARIA!A318="","",CARGA_DIARIA!A318)</f>
        <v/>
      </c>
      <c r="B318" s="33" t="str">
        <f>IF(CARGA_DIARIA!A318="","",CARGA_DIARIA!B318)</f>
        <v/>
      </c>
      <c r="C318" s="34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5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5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8" t="s">
        <v>146</v>
      </c>
      <c r="G318" s="38" t="s">
        <v>146</v>
      </c>
      <c r="H318" s="37" t="str">
        <f>IF(CARGA_DIARIA!A318="","",C318-D318-E318)</f>
        <v/>
      </c>
    </row>
    <row r="319" spans="1:8" ht="15.75" customHeight="1" x14ac:dyDescent="0.25">
      <c r="A319" s="32" t="str">
        <f>IF(CARGA_DIARIA!A319="","",CARGA_DIARIA!A319)</f>
        <v/>
      </c>
      <c r="B319" s="33" t="str">
        <f>IF(CARGA_DIARIA!A319="","",CARGA_DIARIA!B319)</f>
        <v/>
      </c>
      <c r="C319" s="34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5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5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8" t="s">
        <v>146</v>
      </c>
      <c r="G319" s="38" t="s">
        <v>146</v>
      </c>
      <c r="H319" s="37" t="str">
        <f>IF(CARGA_DIARIA!A319="","",C319-D319-E319)</f>
        <v/>
      </c>
    </row>
    <row r="320" spans="1:8" ht="15.75" customHeight="1" x14ac:dyDescent="0.25">
      <c r="A320" s="32" t="str">
        <f>IF(CARGA_DIARIA!A320="","",CARGA_DIARIA!A320)</f>
        <v/>
      </c>
      <c r="B320" s="33" t="str">
        <f>IF(CARGA_DIARIA!A320="","",CARGA_DIARIA!B320)</f>
        <v/>
      </c>
      <c r="C320" s="34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5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5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8" t="s">
        <v>146</v>
      </c>
      <c r="G320" s="38" t="s">
        <v>146</v>
      </c>
      <c r="H320" s="37" t="str">
        <f>IF(CARGA_DIARIA!A320="","",C320-D320-E320)</f>
        <v/>
      </c>
    </row>
    <row r="321" spans="1:8" ht="15.75" customHeight="1" x14ac:dyDescent="0.25">
      <c r="A321" s="32" t="str">
        <f>IF(CARGA_DIARIA!A321="","",CARGA_DIARIA!A321)</f>
        <v/>
      </c>
      <c r="B321" s="33" t="str">
        <f>IF(CARGA_DIARIA!A321="","",CARGA_DIARIA!B321)</f>
        <v/>
      </c>
      <c r="C321" s="34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5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5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8" t="s">
        <v>146</v>
      </c>
      <c r="G321" s="38" t="s">
        <v>146</v>
      </c>
      <c r="H321" s="37" t="str">
        <f>IF(CARGA_DIARIA!A321="","",C321-D321-E321)</f>
        <v/>
      </c>
    </row>
    <row r="322" spans="1:8" ht="15.75" customHeight="1" x14ac:dyDescent="0.25">
      <c r="A322" s="32" t="str">
        <f>IF(CARGA_DIARIA!A322="","",CARGA_DIARIA!A322)</f>
        <v/>
      </c>
      <c r="B322" s="33" t="str">
        <f>IF(CARGA_DIARIA!A322="","",CARGA_DIARIA!B322)</f>
        <v/>
      </c>
      <c r="C322" s="34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5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5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8" t="s">
        <v>146</v>
      </c>
      <c r="G322" s="38" t="s">
        <v>146</v>
      </c>
      <c r="H322" s="37" t="str">
        <f>IF(CARGA_DIARIA!A322="","",C322-D322-E322)</f>
        <v/>
      </c>
    </row>
    <row r="323" spans="1:8" ht="15.75" customHeight="1" x14ac:dyDescent="0.25">
      <c r="A323" s="32" t="str">
        <f>IF(CARGA_DIARIA!A323="","",CARGA_DIARIA!A323)</f>
        <v/>
      </c>
      <c r="B323" s="33" t="str">
        <f>IF(CARGA_DIARIA!A323="","",CARGA_DIARIA!B323)</f>
        <v/>
      </c>
      <c r="C323" s="34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5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5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8" t="s">
        <v>146</v>
      </c>
      <c r="G323" s="38" t="s">
        <v>146</v>
      </c>
      <c r="H323" s="37" t="str">
        <f>IF(CARGA_DIARIA!A323="","",C323-D323-E323)</f>
        <v/>
      </c>
    </row>
    <row r="324" spans="1:8" ht="15.75" customHeight="1" x14ac:dyDescent="0.25">
      <c r="A324" s="32" t="str">
        <f>IF(CARGA_DIARIA!A324="","",CARGA_DIARIA!A324)</f>
        <v/>
      </c>
      <c r="B324" s="33" t="str">
        <f>IF(CARGA_DIARIA!A324="","",CARGA_DIARIA!B324)</f>
        <v/>
      </c>
      <c r="C324" s="34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5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5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8" t="s">
        <v>146</v>
      </c>
      <c r="G324" s="38" t="s">
        <v>146</v>
      </c>
      <c r="H324" s="37" t="str">
        <f>IF(CARGA_DIARIA!A324="","",C324-D324-E324)</f>
        <v/>
      </c>
    </row>
    <row r="325" spans="1:8" ht="15.75" customHeight="1" x14ac:dyDescent="0.25">
      <c r="A325" s="32" t="str">
        <f>IF(CARGA_DIARIA!A325="","",CARGA_DIARIA!A325)</f>
        <v/>
      </c>
      <c r="B325" s="33" t="str">
        <f>IF(CARGA_DIARIA!A325="","",CARGA_DIARIA!B325)</f>
        <v/>
      </c>
      <c r="C325" s="34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5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5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8" t="s">
        <v>146</v>
      </c>
      <c r="G325" s="38" t="s">
        <v>146</v>
      </c>
      <c r="H325" s="37" t="str">
        <f>IF(CARGA_DIARIA!A325="","",C325-D325-E325)</f>
        <v/>
      </c>
    </row>
    <row r="326" spans="1:8" ht="15.75" customHeight="1" x14ac:dyDescent="0.25">
      <c r="A326" s="32" t="str">
        <f>IF(CARGA_DIARIA!A326="","",CARGA_DIARIA!A326)</f>
        <v/>
      </c>
      <c r="B326" s="33" t="str">
        <f>IF(CARGA_DIARIA!A326="","",CARGA_DIARIA!B326)</f>
        <v/>
      </c>
      <c r="C326" s="34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5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5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8" t="s">
        <v>146</v>
      </c>
      <c r="G326" s="38" t="s">
        <v>146</v>
      </c>
      <c r="H326" s="37" t="str">
        <f>IF(CARGA_DIARIA!A326="","",C326-D326-E326)</f>
        <v/>
      </c>
    </row>
    <row r="327" spans="1:8" ht="15.75" customHeight="1" x14ac:dyDescent="0.25">
      <c r="A327" s="32" t="str">
        <f>IF(CARGA_DIARIA!A327="","",CARGA_DIARIA!A327)</f>
        <v/>
      </c>
      <c r="B327" s="33" t="str">
        <f>IF(CARGA_DIARIA!A327="","",CARGA_DIARIA!B327)</f>
        <v/>
      </c>
      <c r="C327" s="34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5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5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8" t="s">
        <v>146</v>
      </c>
      <c r="G327" s="38" t="s">
        <v>146</v>
      </c>
      <c r="H327" s="37" t="str">
        <f>IF(CARGA_DIARIA!A327="","",C327-D327-E327)</f>
        <v/>
      </c>
    </row>
    <row r="328" spans="1:8" ht="15.75" customHeight="1" x14ac:dyDescent="0.25">
      <c r="A328" s="32" t="str">
        <f>IF(CARGA_DIARIA!A328="","",CARGA_DIARIA!A328)</f>
        <v/>
      </c>
      <c r="B328" s="33" t="str">
        <f>IF(CARGA_DIARIA!A328="","",CARGA_DIARIA!B328)</f>
        <v/>
      </c>
      <c r="C328" s="34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5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5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8" t="s">
        <v>146</v>
      </c>
      <c r="G328" s="38" t="s">
        <v>146</v>
      </c>
      <c r="H328" s="37" t="str">
        <f>IF(CARGA_DIARIA!A328="","",C328-D328-E328)</f>
        <v/>
      </c>
    </row>
    <row r="329" spans="1:8" ht="15.75" customHeight="1" x14ac:dyDescent="0.25">
      <c r="A329" s="32" t="str">
        <f>IF(CARGA_DIARIA!A329="","",CARGA_DIARIA!A329)</f>
        <v/>
      </c>
      <c r="B329" s="33" t="str">
        <f>IF(CARGA_DIARIA!A329="","",CARGA_DIARIA!B329)</f>
        <v/>
      </c>
      <c r="C329" s="34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5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5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8" t="s">
        <v>146</v>
      </c>
      <c r="G329" s="38" t="s">
        <v>146</v>
      </c>
      <c r="H329" s="37" t="str">
        <f>IF(CARGA_DIARIA!A329="","",C329-D329-E329)</f>
        <v/>
      </c>
    </row>
    <row r="330" spans="1:8" ht="15.75" customHeight="1" x14ac:dyDescent="0.25">
      <c r="A330" s="32" t="str">
        <f>IF(CARGA_DIARIA!A330="","",CARGA_DIARIA!A330)</f>
        <v/>
      </c>
      <c r="B330" s="33" t="str">
        <f>IF(CARGA_DIARIA!A330="","",CARGA_DIARIA!B330)</f>
        <v/>
      </c>
      <c r="C330" s="34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5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5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8" t="s">
        <v>146</v>
      </c>
      <c r="G330" s="38" t="s">
        <v>146</v>
      </c>
      <c r="H330" s="37" t="str">
        <f>IF(CARGA_DIARIA!A330="","",C330-D330-E330)</f>
        <v/>
      </c>
    </row>
    <row r="331" spans="1:8" ht="15.75" customHeight="1" x14ac:dyDescent="0.25">
      <c r="A331" s="32" t="str">
        <f>IF(CARGA_DIARIA!A331="","",CARGA_DIARIA!A331)</f>
        <v/>
      </c>
      <c r="B331" s="33" t="str">
        <f>IF(CARGA_DIARIA!A331="","",CARGA_DIARIA!B331)</f>
        <v/>
      </c>
      <c r="C331" s="34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5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5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8" t="s">
        <v>146</v>
      </c>
      <c r="G331" s="38" t="s">
        <v>146</v>
      </c>
      <c r="H331" s="37" t="str">
        <f>IF(CARGA_DIARIA!A331="","",C331-D331-E331)</f>
        <v/>
      </c>
    </row>
    <row r="332" spans="1:8" ht="15.75" customHeight="1" x14ac:dyDescent="0.25">
      <c r="A332" s="32" t="str">
        <f>IF(CARGA_DIARIA!A332="","",CARGA_DIARIA!A332)</f>
        <v/>
      </c>
      <c r="B332" s="33" t="str">
        <f>IF(CARGA_DIARIA!A332="","",CARGA_DIARIA!B332)</f>
        <v/>
      </c>
      <c r="C332" s="34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5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5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8" t="s">
        <v>146</v>
      </c>
      <c r="G332" s="38" t="s">
        <v>146</v>
      </c>
      <c r="H332" s="37" t="str">
        <f>IF(CARGA_DIARIA!A332="","",C332-D332-E332)</f>
        <v/>
      </c>
    </row>
    <row r="333" spans="1:8" ht="15.75" customHeight="1" x14ac:dyDescent="0.25">
      <c r="A333" s="32" t="str">
        <f>IF(CARGA_DIARIA!A333="","",CARGA_DIARIA!A333)</f>
        <v/>
      </c>
      <c r="B333" s="33" t="str">
        <f>IF(CARGA_DIARIA!A333="","",CARGA_DIARIA!B333)</f>
        <v/>
      </c>
      <c r="C333" s="34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5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5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8" t="s">
        <v>146</v>
      </c>
      <c r="G333" s="38" t="s">
        <v>146</v>
      </c>
      <c r="H333" s="37" t="str">
        <f>IF(CARGA_DIARIA!A333="","",C333-D333-E333)</f>
        <v/>
      </c>
    </row>
    <row r="334" spans="1:8" ht="15.75" customHeight="1" x14ac:dyDescent="0.25">
      <c r="A334" s="32" t="str">
        <f>IF(CARGA_DIARIA!A334="","",CARGA_DIARIA!A334)</f>
        <v/>
      </c>
      <c r="B334" s="33" t="str">
        <f>IF(CARGA_DIARIA!A334="","",CARGA_DIARIA!B334)</f>
        <v/>
      </c>
      <c r="C334" s="34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5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5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8" t="s">
        <v>146</v>
      </c>
      <c r="G334" s="38" t="s">
        <v>146</v>
      </c>
      <c r="H334" s="37" t="str">
        <f>IF(CARGA_DIARIA!A334="","",C334-D334-E334)</f>
        <v/>
      </c>
    </row>
    <row r="335" spans="1:8" ht="15.75" customHeight="1" x14ac:dyDescent="0.25">
      <c r="A335" s="32" t="str">
        <f>IF(CARGA_DIARIA!A335="","",CARGA_DIARIA!A335)</f>
        <v/>
      </c>
      <c r="B335" s="33" t="str">
        <f>IF(CARGA_DIARIA!A335="","",CARGA_DIARIA!B335)</f>
        <v/>
      </c>
      <c r="C335" s="34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5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5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8" t="s">
        <v>146</v>
      </c>
      <c r="G335" s="38" t="s">
        <v>146</v>
      </c>
      <c r="H335" s="37" t="str">
        <f>IF(CARGA_DIARIA!A335="","",C335-D335-E335)</f>
        <v/>
      </c>
    </row>
    <row r="336" spans="1:8" ht="15.75" customHeight="1" x14ac:dyDescent="0.25">
      <c r="A336" s="32" t="str">
        <f>IF(CARGA_DIARIA!A336="","",CARGA_DIARIA!A336)</f>
        <v/>
      </c>
      <c r="B336" s="33" t="str">
        <f>IF(CARGA_DIARIA!A336="","",CARGA_DIARIA!B336)</f>
        <v/>
      </c>
      <c r="C336" s="34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5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5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8" t="s">
        <v>146</v>
      </c>
      <c r="G336" s="38" t="s">
        <v>146</v>
      </c>
      <c r="H336" s="37" t="str">
        <f>IF(CARGA_DIARIA!A336="","",C336-D336-E336)</f>
        <v/>
      </c>
    </row>
    <row r="337" spans="1:8" ht="15.75" customHeight="1" x14ac:dyDescent="0.25">
      <c r="A337" s="32" t="str">
        <f>IF(CARGA_DIARIA!A337="","",CARGA_DIARIA!A337)</f>
        <v/>
      </c>
      <c r="B337" s="33" t="str">
        <f>IF(CARGA_DIARIA!A337="","",CARGA_DIARIA!B337)</f>
        <v/>
      </c>
      <c r="C337" s="34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5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5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8" t="s">
        <v>146</v>
      </c>
      <c r="G337" s="38" t="s">
        <v>146</v>
      </c>
      <c r="H337" s="37" t="str">
        <f>IF(CARGA_DIARIA!A337="","",C337-D337-E337)</f>
        <v/>
      </c>
    </row>
    <row r="338" spans="1:8" ht="15.75" customHeight="1" x14ac:dyDescent="0.25">
      <c r="A338" s="32" t="str">
        <f>IF(CARGA_DIARIA!A338="","",CARGA_DIARIA!A338)</f>
        <v/>
      </c>
      <c r="B338" s="33" t="str">
        <f>IF(CARGA_DIARIA!A338="","",CARGA_DIARIA!B338)</f>
        <v/>
      </c>
      <c r="C338" s="34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5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5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8" t="s">
        <v>146</v>
      </c>
      <c r="G338" s="38" t="s">
        <v>146</v>
      </c>
      <c r="H338" s="37" t="str">
        <f>IF(CARGA_DIARIA!A338="","",C338-D338-E338)</f>
        <v/>
      </c>
    </row>
    <row r="339" spans="1:8" ht="15.75" customHeight="1" x14ac:dyDescent="0.25">
      <c r="A339" s="32" t="str">
        <f>IF(CARGA_DIARIA!A339="","",CARGA_DIARIA!A339)</f>
        <v/>
      </c>
      <c r="B339" s="33" t="str">
        <f>IF(CARGA_DIARIA!A339="","",CARGA_DIARIA!B339)</f>
        <v/>
      </c>
      <c r="C339" s="34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5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5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8" t="s">
        <v>146</v>
      </c>
      <c r="G339" s="38" t="s">
        <v>146</v>
      </c>
      <c r="H339" s="37" t="str">
        <f>IF(CARGA_DIARIA!A339="","",C339-D339-E339)</f>
        <v/>
      </c>
    </row>
    <row r="340" spans="1:8" ht="15.75" customHeight="1" x14ac:dyDescent="0.25">
      <c r="A340" s="32" t="str">
        <f>IF(CARGA_DIARIA!A340="","",CARGA_DIARIA!A340)</f>
        <v/>
      </c>
      <c r="B340" s="33" t="str">
        <f>IF(CARGA_DIARIA!A340="","",CARGA_DIARIA!B340)</f>
        <v/>
      </c>
      <c r="C340" s="34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5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5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8" t="s">
        <v>146</v>
      </c>
      <c r="G340" s="38" t="s">
        <v>146</v>
      </c>
      <c r="H340" s="37" t="str">
        <f>IF(CARGA_DIARIA!A340="","",C340-D340-E340)</f>
        <v/>
      </c>
    </row>
    <row r="341" spans="1:8" ht="15.75" customHeight="1" x14ac:dyDescent="0.25">
      <c r="A341" s="32" t="str">
        <f>IF(CARGA_DIARIA!A341="","",CARGA_DIARIA!A341)</f>
        <v/>
      </c>
      <c r="B341" s="33" t="str">
        <f>IF(CARGA_DIARIA!A341="","",CARGA_DIARIA!B341)</f>
        <v/>
      </c>
      <c r="C341" s="34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5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5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8" t="s">
        <v>146</v>
      </c>
      <c r="G341" s="38" t="s">
        <v>146</v>
      </c>
      <c r="H341" s="37" t="str">
        <f>IF(CARGA_DIARIA!A341="","",C341-D341-E341)</f>
        <v/>
      </c>
    </row>
    <row r="342" spans="1:8" ht="15.75" customHeight="1" x14ac:dyDescent="0.25">
      <c r="A342" s="32" t="str">
        <f>IF(CARGA_DIARIA!A342="","",CARGA_DIARIA!A342)</f>
        <v/>
      </c>
      <c r="B342" s="33" t="str">
        <f>IF(CARGA_DIARIA!A342="","",CARGA_DIARIA!B342)</f>
        <v/>
      </c>
      <c r="C342" s="34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5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5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8" t="s">
        <v>146</v>
      </c>
      <c r="G342" s="38" t="s">
        <v>146</v>
      </c>
      <c r="H342" s="37" t="str">
        <f>IF(CARGA_DIARIA!A342="","",C342-D342-E342)</f>
        <v/>
      </c>
    </row>
    <row r="343" spans="1:8" ht="15.75" customHeight="1" x14ac:dyDescent="0.25">
      <c r="A343" s="32" t="str">
        <f>IF(CARGA_DIARIA!A343="","",CARGA_DIARIA!A343)</f>
        <v/>
      </c>
      <c r="B343" s="33" t="str">
        <f>IF(CARGA_DIARIA!A343="","",CARGA_DIARIA!B343)</f>
        <v/>
      </c>
      <c r="C343" s="34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5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5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8" t="s">
        <v>146</v>
      </c>
      <c r="G343" s="38" t="s">
        <v>146</v>
      </c>
      <c r="H343" s="37" t="str">
        <f>IF(CARGA_DIARIA!A343="","",C343-D343-E343)</f>
        <v/>
      </c>
    </row>
    <row r="344" spans="1:8" ht="15.75" customHeight="1" x14ac:dyDescent="0.25">
      <c r="A344" s="32" t="str">
        <f>IF(CARGA_DIARIA!A344="","",CARGA_DIARIA!A344)</f>
        <v/>
      </c>
      <c r="B344" s="33" t="str">
        <f>IF(CARGA_DIARIA!A344="","",CARGA_DIARIA!B344)</f>
        <v/>
      </c>
      <c r="C344" s="34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5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5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8" t="s">
        <v>146</v>
      </c>
      <c r="G344" s="38" t="s">
        <v>146</v>
      </c>
      <c r="H344" s="37" t="str">
        <f>IF(CARGA_DIARIA!A344="","",C344-D344-E344)</f>
        <v/>
      </c>
    </row>
    <row r="345" spans="1:8" ht="15.75" customHeight="1" x14ac:dyDescent="0.25">
      <c r="A345" s="32" t="str">
        <f>IF(CARGA_DIARIA!A345="","",CARGA_DIARIA!A345)</f>
        <v/>
      </c>
      <c r="B345" s="33" t="str">
        <f>IF(CARGA_DIARIA!A345="","",CARGA_DIARIA!B345)</f>
        <v/>
      </c>
      <c r="C345" s="34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5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5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8" t="s">
        <v>146</v>
      </c>
      <c r="G345" s="38" t="s">
        <v>146</v>
      </c>
      <c r="H345" s="37" t="str">
        <f>IF(CARGA_DIARIA!A345="","",C345-D345-E345)</f>
        <v/>
      </c>
    </row>
    <row r="346" spans="1:8" ht="15.75" customHeight="1" x14ac:dyDescent="0.25">
      <c r="A346" s="32" t="str">
        <f>IF(CARGA_DIARIA!A346="","",CARGA_DIARIA!A346)</f>
        <v/>
      </c>
      <c r="B346" s="33" t="str">
        <f>IF(CARGA_DIARIA!A346="","",CARGA_DIARIA!B346)</f>
        <v/>
      </c>
      <c r="C346" s="34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5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5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8" t="s">
        <v>146</v>
      </c>
      <c r="G346" s="38" t="s">
        <v>146</v>
      </c>
      <c r="H346" s="37" t="str">
        <f>IF(CARGA_DIARIA!A346="","",C346-D346-E346)</f>
        <v/>
      </c>
    </row>
    <row r="347" spans="1:8" ht="15.75" customHeight="1" x14ac:dyDescent="0.25">
      <c r="A347" s="32" t="str">
        <f>IF(CARGA_DIARIA!A347="","",CARGA_DIARIA!A347)</f>
        <v/>
      </c>
      <c r="B347" s="33" t="str">
        <f>IF(CARGA_DIARIA!A347="","",CARGA_DIARIA!B347)</f>
        <v/>
      </c>
      <c r="C347" s="34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5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5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8" t="s">
        <v>146</v>
      </c>
      <c r="G347" s="38" t="s">
        <v>146</v>
      </c>
      <c r="H347" s="37" t="str">
        <f>IF(CARGA_DIARIA!A347="","",C347-D347-E347)</f>
        <v/>
      </c>
    </row>
    <row r="348" spans="1:8" ht="15.75" customHeight="1" x14ac:dyDescent="0.25">
      <c r="A348" s="32" t="str">
        <f>IF(CARGA_DIARIA!A348="","",CARGA_DIARIA!A348)</f>
        <v/>
      </c>
      <c r="B348" s="33" t="str">
        <f>IF(CARGA_DIARIA!A348="","",CARGA_DIARIA!B348)</f>
        <v/>
      </c>
      <c r="C348" s="34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5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5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8" t="s">
        <v>146</v>
      </c>
      <c r="G348" s="38" t="s">
        <v>146</v>
      </c>
      <c r="H348" s="37" t="str">
        <f>IF(CARGA_DIARIA!A348="","",C348-D348-E348)</f>
        <v/>
      </c>
    </row>
    <row r="349" spans="1:8" ht="15.75" customHeight="1" x14ac:dyDescent="0.25">
      <c r="A349" s="32" t="str">
        <f>IF(CARGA_DIARIA!A349="","",CARGA_DIARIA!A349)</f>
        <v/>
      </c>
      <c r="B349" s="33" t="str">
        <f>IF(CARGA_DIARIA!A349="","",CARGA_DIARIA!B349)</f>
        <v/>
      </c>
      <c r="C349" s="34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5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5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8" t="s">
        <v>146</v>
      </c>
      <c r="G349" s="38" t="s">
        <v>146</v>
      </c>
      <c r="H349" s="37" t="str">
        <f>IF(CARGA_DIARIA!A349="","",C349-D349-E349)</f>
        <v/>
      </c>
    </row>
    <row r="350" spans="1:8" ht="15.75" customHeight="1" x14ac:dyDescent="0.25">
      <c r="A350" s="32" t="str">
        <f>IF(CARGA_DIARIA!A350="","",CARGA_DIARIA!A350)</f>
        <v/>
      </c>
      <c r="B350" s="33" t="str">
        <f>IF(CARGA_DIARIA!A350="","",CARGA_DIARIA!B350)</f>
        <v/>
      </c>
      <c r="C350" s="34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5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5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8" t="s">
        <v>146</v>
      </c>
      <c r="G350" s="38" t="s">
        <v>146</v>
      </c>
      <c r="H350" s="37" t="str">
        <f>IF(CARGA_DIARIA!A350="","",C350-D350-E350)</f>
        <v/>
      </c>
    </row>
    <row r="351" spans="1:8" ht="15.75" customHeight="1" x14ac:dyDescent="0.25">
      <c r="A351" s="32" t="str">
        <f>IF(CARGA_DIARIA!A351="","",CARGA_DIARIA!A351)</f>
        <v/>
      </c>
      <c r="B351" s="33" t="str">
        <f>IF(CARGA_DIARIA!A351="","",CARGA_DIARIA!B351)</f>
        <v/>
      </c>
      <c r="C351" s="34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5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5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8" t="s">
        <v>146</v>
      </c>
      <c r="G351" s="38" t="s">
        <v>146</v>
      </c>
      <c r="H351" s="37" t="str">
        <f>IF(CARGA_DIARIA!A351="","",C351-D351-E351)</f>
        <v/>
      </c>
    </row>
    <row r="352" spans="1:8" ht="15.75" customHeight="1" x14ac:dyDescent="0.25">
      <c r="A352" s="32" t="str">
        <f>IF(CARGA_DIARIA!A352="","",CARGA_DIARIA!A352)</f>
        <v/>
      </c>
      <c r="B352" s="33" t="str">
        <f>IF(CARGA_DIARIA!A352="","",CARGA_DIARIA!B352)</f>
        <v/>
      </c>
      <c r="C352" s="34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5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5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8" t="s">
        <v>146</v>
      </c>
      <c r="G352" s="38" t="s">
        <v>146</v>
      </c>
      <c r="H352" s="37" t="str">
        <f>IF(CARGA_DIARIA!A352="","",C352-D352-E352)</f>
        <v/>
      </c>
    </row>
    <row r="353" spans="1:8" ht="15.75" customHeight="1" x14ac:dyDescent="0.25">
      <c r="A353" s="32" t="str">
        <f>IF(CARGA_DIARIA!A353="","",CARGA_DIARIA!A353)</f>
        <v/>
      </c>
      <c r="B353" s="33" t="str">
        <f>IF(CARGA_DIARIA!A353="","",CARGA_DIARIA!B353)</f>
        <v/>
      </c>
      <c r="C353" s="34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5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5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8" t="s">
        <v>146</v>
      </c>
      <c r="G353" s="38" t="s">
        <v>146</v>
      </c>
      <c r="H353" s="37" t="str">
        <f>IF(CARGA_DIARIA!A353="","",C353-D353-E353)</f>
        <v/>
      </c>
    </row>
    <row r="354" spans="1:8" ht="15.75" customHeight="1" x14ac:dyDescent="0.25">
      <c r="A354" s="32" t="str">
        <f>IF(CARGA_DIARIA!A354="","",CARGA_DIARIA!A354)</f>
        <v/>
      </c>
      <c r="B354" s="33" t="str">
        <f>IF(CARGA_DIARIA!A354="","",CARGA_DIARIA!B354)</f>
        <v/>
      </c>
      <c r="C354" s="34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5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5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8" t="s">
        <v>146</v>
      </c>
      <c r="G354" s="38" t="s">
        <v>146</v>
      </c>
      <c r="H354" s="37" t="str">
        <f>IF(CARGA_DIARIA!A354="","",C354-D354-E354)</f>
        <v/>
      </c>
    </row>
    <row r="355" spans="1:8" ht="15.75" customHeight="1" x14ac:dyDescent="0.25">
      <c r="A355" s="32" t="str">
        <f>IF(CARGA_DIARIA!A355="","",CARGA_DIARIA!A355)</f>
        <v/>
      </c>
      <c r="B355" s="33" t="str">
        <f>IF(CARGA_DIARIA!A355="","",CARGA_DIARIA!B355)</f>
        <v/>
      </c>
      <c r="C355" s="34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5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5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8" t="s">
        <v>146</v>
      </c>
      <c r="G355" s="38" t="s">
        <v>146</v>
      </c>
      <c r="H355" s="37" t="str">
        <f>IF(CARGA_DIARIA!A355="","",C355-D355-E355)</f>
        <v/>
      </c>
    </row>
    <row r="356" spans="1:8" ht="15.75" customHeight="1" x14ac:dyDescent="0.25">
      <c r="A356" s="32" t="str">
        <f>IF(CARGA_DIARIA!A356="","",CARGA_DIARIA!A356)</f>
        <v/>
      </c>
      <c r="B356" s="33" t="str">
        <f>IF(CARGA_DIARIA!A356="","",CARGA_DIARIA!B356)</f>
        <v/>
      </c>
      <c r="C356" s="34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5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5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8" t="s">
        <v>146</v>
      </c>
      <c r="G356" s="38" t="s">
        <v>146</v>
      </c>
      <c r="H356" s="37" t="str">
        <f>IF(CARGA_DIARIA!A356="","",C356-D356-E356)</f>
        <v/>
      </c>
    </row>
    <row r="357" spans="1:8" ht="15.75" customHeight="1" x14ac:dyDescent="0.25">
      <c r="A357" s="32" t="str">
        <f>IF(CARGA_DIARIA!A357="","",CARGA_DIARIA!A357)</f>
        <v/>
      </c>
      <c r="B357" s="33" t="str">
        <f>IF(CARGA_DIARIA!A357="","",CARGA_DIARIA!B357)</f>
        <v/>
      </c>
      <c r="C357" s="34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5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5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8" t="s">
        <v>146</v>
      </c>
      <c r="G357" s="38" t="s">
        <v>146</v>
      </c>
      <c r="H357" s="37" t="str">
        <f>IF(CARGA_DIARIA!A357="","",C357-D357-E357)</f>
        <v/>
      </c>
    </row>
    <row r="358" spans="1:8" ht="15.75" customHeight="1" x14ac:dyDescent="0.25">
      <c r="A358" s="32" t="str">
        <f>IF(CARGA_DIARIA!A358="","",CARGA_DIARIA!A358)</f>
        <v/>
      </c>
      <c r="B358" s="33" t="str">
        <f>IF(CARGA_DIARIA!A358="","",CARGA_DIARIA!B358)</f>
        <v/>
      </c>
      <c r="C358" s="34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5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5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8" t="s">
        <v>146</v>
      </c>
      <c r="G358" s="38" t="s">
        <v>146</v>
      </c>
      <c r="H358" s="37" t="str">
        <f>IF(CARGA_DIARIA!A358="","",C358-D358-E358)</f>
        <v/>
      </c>
    </row>
    <row r="359" spans="1:8" ht="15.75" customHeight="1" x14ac:dyDescent="0.25">
      <c r="A359" s="32" t="str">
        <f>IF(CARGA_DIARIA!A359="","",CARGA_DIARIA!A359)</f>
        <v/>
      </c>
      <c r="B359" s="33" t="str">
        <f>IF(CARGA_DIARIA!A359="","",CARGA_DIARIA!B359)</f>
        <v/>
      </c>
      <c r="C359" s="34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5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5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8" t="s">
        <v>146</v>
      </c>
      <c r="G359" s="38" t="s">
        <v>146</v>
      </c>
      <c r="H359" s="37" t="str">
        <f>IF(CARGA_DIARIA!A359="","",C359-D359-E359)</f>
        <v/>
      </c>
    </row>
    <row r="360" spans="1:8" ht="15.75" customHeight="1" x14ac:dyDescent="0.25">
      <c r="A360" s="32" t="str">
        <f>IF(CARGA_DIARIA!A360="","",CARGA_DIARIA!A360)</f>
        <v/>
      </c>
      <c r="B360" s="33" t="str">
        <f>IF(CARGA_DIARIA!A360="","",CARGA_DIARIA!B360)</f>
        <v/>
      </c>
      <c r="C360" s="34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5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5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8" t="s">
        <v>146</v>
      </c>
      <c r="G360" s="38" t="s">
        <v>146</v>
      </c>
      <c r="H360" s="37" t="str">
        <f>IF(CARGA_DIARIA!A360="","",C360-D360-E360)</f>
        <v/>
      </c>
    </row>
    <row r="361" spans="1:8" ht="15.75" customHeight="1" x14ac:dyDescent="0.25">
      <c r="A361" s="32" t="str">
        <f>IF(CARGA_DIARIA!A361="","",CARGA_DIARIA!A361)</f>
        <v/>
      </c>
      <c r="B361" s="33" t="str">
        <f>IF(CARGA_DIARIA!A361="","",CARGA_DIARIA!B361)</f>
        <v/>
      </c>
      <c r="C361" s="34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5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5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8" t="s">
        <v>146</v>
      </c>
      <c r="G361" s="38" t="s">
        <v>146</v>
      </c>
      <c r="H361" s="37" t="str">
        <f>IF(CARGA_DIARIA!A361="","",C361-D361-E361)</f>
        <v/>
      </c>
    </row>
    <row r="362" spans="1:8" ht="15.75" customHeight="1" x14ac:dyDescent="0.25">
      <c r="A362" s="32" t="str">
        <f>IF(CARGA_DIARIA!A362="","",CARGA_DIARIA!A362)</f>
        <v/>
      </c>
      <c r="B362" s="33" t="str">
        <f>IF(CARGA_DIARIA!A362="","",CARGA_DIARIA!B362)</f>
        <v/>
      </c>
      <c r="C362" s="34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5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5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8" t="s">
        <v>146</v>
      </c>
      <c r="G362" s="38" t="s">
        <v>146</v>
      </c>
      <c r="H362" s="37" t="str">
        <f>IF(CARGA_DIARIA!A362="","",C362-D362-E362)</f>
        <v/>
      </c>
    </row>
    <row r="363" spans="1:8" ht="15.75" customHeight="1" x14ac:dyDescent="0.25">
      <c r="A363" s="32" t="str">
        <f>IF(CARGA_DIARIA!A363="","",CARGA_DIARIA!A363)</f>
        <v/>
      </c>
      <c r="B363" s="33" t="str">
        <f>IF(CARGA_DIARIA!A363="","",CARGA_DIARIA!B363)</f>
        <v/>
      </c>
      <c r="C363" s="34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5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5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8" t="s">
        <v>146</v>
      </c>
      <c r="G363" s="38" t="s">
        <v>146</v>
      </c>
      <c r="H363" s="37" t="str">
        <f>IF(CARGA_DIARIA!A363="","",C363-D363-E363)</f>
        <v/>
      </c>
    </row>
    <row r="364" spans="1:8" ht="15.75" customHeight="1" x14ac:dyDescent="0.25">
      <c r="A364" s="32" t="str">
        <f>IF(CARGA_DIARIA!A364="","",CARGA_DIARIA!A364)</f>
        <v/>
      </c>
      <c r="B364" s="33" t="str">
        <f>IF(CARGA_DIARIA!A364="","",CARGA_DIARIA!B364)</f>
        <v/>
      </c>
      <c r="C364" s="34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5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5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8" t="s">
        <v>146</v>
      </c>
      <c r="G364" s="38" t="s">
        <v>146</v>
      </c>
      <c r="H364" s="37" t="str">
        <f>IF(CARGA_DIARIA!A364="","",C364-D364-E364)</f>
        <v/>
      </c>
    </row>
    <row r="365" spans="1:8" ht="15.75" customHeight="1" x14ac:dyDescent="0.25">
      <c r="A365" s="32" t="str">
        <f>IF(CARGA_DIARIA!A365="","",CARGA_DIARIA!A365)</f>
        <v/>
      </c>
      <c r="B365" s="33" t="str">
        <f>IF(CARGA_DIARIA!A365="","",CARGA_DIARIA!B365)</f>
        <v/>
      </c>
      <c r="C365" s="34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5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5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8" t="s">
        <v>146</v>
      </c>
      <c r="G365" s="38" t="s">
        <v>146</v>
      </c>
      <c r="H365" s="37" t="str">
        <f>IF(CARGA_DIARIA!A365="","",C365-D365-E365)</f>
        <v/>
      </c>
    </row>
    <row r="366" spans="1:8" ht="15.75" customHeight="1" x14ac:dyDescent="0.25">
      <c r="A366" s="32" t="str">
        <f>IF(CARGA_DIARIA!A366="","",CARGA_DIARIA!A366)</f>
        <v/>
      </c>
      <c r="B366" s="33" t="str">
        <f>IF(CARGA_DIARIA!A366="","",CARGA_DIARIA!B366)</f>
        <v/>
      </c>
      <c r="C366" s="34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5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5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8" t="s">
        <v>146</v>
      </c>
      <c r="G366" s="38" t="s">
        <v>146</v>
      </c>
      <c r="H366" s="37" t="str">
        <f>IF(CARGA_DIARIA!A366="","",C366-D366-E366)</f>
        <v/>
      </c>
    </row>
    <row r="367" spans="1:8" ht="15.75" customHeight="1" x14ac:dyDescent="0.25">
      <c r="A367" s="32" t="str">
        <f>IF(CARGA_DIARIA!A367="","",CARGA_DIARIA!A367)</f>
        <v/>
      </c>
      <c r="B367" s="33" t="str">
        <f>IF(CARGA_DIARIA!A367="","",CARGA_DIARIA!B367)</f>
        <v/>
      </c>
      <c r="C367" s="34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5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5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8" t="s">
        <v>146</v>
      </c>
      <c r="G367" s="38" t="s">
        <v>146</v>
      </c>
      <c r="H367" s="37" t="str">
        <f>IF(CARGA_DIARIA!A367="","",C367-D367-E367)</f>
        <v/>
      </c>
    </row>
    <row r="368" spans="1:8" ht="15.75" customHeight="1" x14ac:dyDescent="0.25">
      <c r="A368" s="32" t="str">
        <f>IF(CARGA_DIARIA!A368="","",CARGA_DIARIA!A368)</f>
        <v/>
      </c>
      <c r="B368" s="33" t="str">
        <f>IF(CARGA_DIARIA!A368="","",CARGA_DIARIA!B368)</f>
        <v/>
      </c>
      <c r="C368" s="34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5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5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8" t="s">
        <v>146</v>
      </c>
      <c r="G368" s="38" t="s">
        <v>146</v>
      </c>
      <c r="H368" s="37" t="str">
        <f>IF(CARGA_DIARIA!A368="","",C368-D368-E368)</f>
        <v/>
      </c>
    </row>
    <row r="369" spans="1:8" ht="15.75" customHeight="1" x14ac:dyDescent="0.25">
      <c r="A369" s="32" t="str">
        <f>IF(CARGA_DIARIA!A369="","",CARGA_DIARIA!A369)</f>
        <v/>
      </c>
      <c r="B369" s="33" t="str">
        <f>IF(CARGA_DIARIA!A369="","",CARGA_DIARIA!B369)</f>
        <v/>
      </c>
      <c r="C369" s="34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5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5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8" t="s">
        <v>146</v>
      </c>
      <c r="G369" s="38" t="s">
        <v>146</v>
      </c>
      <c r="H369" s="37" t="str">
        <f>IF(CARGA_DIARIA!A369="","",C369-D369-E369)</f>
        <v/>
      </c>
    </row>
    <row r="370" spans="1:8" ht="15.75" customHeight="1" x14ac:dyDescent="0.25">
      <c r="A370" s="32" t="str">
        <f>IF(CARGA_DIARIA!A370="","",CARGA_DIARIA!A370)</f>
        <v/>
      </c>
      <c r="B370" s="33" t="str">
        <f>IF(CARGA_DIARIA!A370="","",CARGA_DIARIA!B370)</f>
        <v/>
      </c>
      <c r="C370" s="34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5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5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8" t="s">
        <v>146</v>
      </c>
      <c r="G370" s="38" t="s">
        <v>146</v>
      </c>
      <c r="H370" s="37" t="str">
        <f>IF(CARGA_DIARIA!A370="","",C370-D370-E370)</f>
        <v/>
      </c>
    </row>
    <row r="371" spans="1:8" ht="15.75" customHeight="1" x14ac:dyDescent="0.25">
      <c r="A371" s="32" t="str">
        <f>IF(CARGA_DIARIA!A371="","",CARGA_DIARIA!A371)</f>
        <v/>
      </c>
      <c r="B371" s="33" t="str">
        <f>IF(CARGA_DIARIA!A371="","",CARGA_DIARIA!B371)</f>
        <v/>
      </c>
      <c r="C371" s="34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5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5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8" t="s">
        <v>146</v>
      </c>
      <c r="G371" s="38" t="s">
        <v>146</v>
      </c>
      <c r="H371" s="37" t="str">
        <f>IF(CARGA_DIARIA!A371="","",C371-D371-E371)</f>
        <v/>
      </c>
    </row>
    <row r="372" spans="1:8" ht="15.75" customHeight="1" x14ac:dyDescent="0.25">
      <c r="A372" s="32" t="str">
        <f>IF(CARGA_DIARIA!A372="","",CARGA_DIARIA!A372)</f>
        <v/>
      </c>
      <c r="B372" s="33" t="str">
        <f>IF(CARGA_DIARIA!A372="","",CARGA_DIARIA!B372)</f>
        <v/>
      </c>
      <c r="C372" s="34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5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5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8" t="s">
        <v>146</v>
      </c>
      <c r="G372" s="38" t="s">
        <v>146</v>
      </c>
      <c r="H372" s="37" t="str">
        <f>IF(CARGA_DIARIA!A372="","",C372-D372-E372)</f>
        <v/>
      </c>
    </row>
    <row r="373" spans="1:8" ht="15.75" customHeight="1" x14ac:dyDescent="0.25">
      <c r="A373" s="32" t="str">
        <f>IF(CARGA_DIARIA!A373="","",CARGA_DIARIA!A373)</f>
        <v/>
      </c>
      <c r="B373" s="33" t="str">
        <f>IF(CARGA_DIARIA!A373="","",CARGA_DIARIA!B373)</f>
        <v/>
      </c>
      <c r="C373" s="34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5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5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8" t="s">
        <v>146</v>
      </c>
      <c r="G373" s="38" t="s">
        <v>146</v>
      </c>
      <c r="H373" s="37" t="str">
        <f>IF(CARGA_DIARIA!A373="","",C373-D373-E373)</f>
        <v/>
      </c>
    </row>
    <row r="374" spans="1:8" ht="15.75" customHeight="1" x14ac:dyDescent="0.25">
      <c r="A374" s="32" t="str">
        <f>IF(CARGA_DIARIA!A374="","",CARGA_DIARIA!A374)</f>
        <v/>
      </c>
      <c r="B374" s="33" t="str">
        <f>IF(CARGA_DIARIA!A374="","",CARGA_DIARIA!B374)</f>
        <v/>
      </c>
      <c r="C374" s="34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5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5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8" t="s">
        <v>146</v>
      </c>
      <c r="G374" s="38" t="s">
        <v>146</v>
      </c>
      <c r="H374" s="37" t="str">
        <f>IF(CARGA_DIARIA!A374="","",C374-D374-E374)</f>
        <v/>
      </c>
    </row>
    <row r="375" spans="1:8" ht="15.75" customHeight="1" x14ac:dyDescent="0.25">
      <c r="A375" s="32" t="str">
        <f>IF(CARGA_DIARIA!A375="","",CARGA_DIARIA!A375)</f>
        <v/>
      </c>
      <c r="B375" s="33" t="str">
        <f>IF(CARGA_DIARIA!A375="","",CARGA_DIARIA!B375)</f>
        <v/>
      </c>
      <c r="C375" s="34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5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5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8" t="s">
        <v>146</v>
      </c>
      <c r="G375" s="38" t="s">
        <v>146</v>
      </c>
      <c r="H375" s="37" t="str">
        <f>IF(CARGA_DIARIA!A375="","",C375-D375-E375)</f>
        <v/>
      </c>
    </row>
    <row r="376" spans="1:8" ht="15.75" customHeight="1" x14ac:dyDescent="0.25">
      <c r="A376" s="32" t="str">
        <f>IF(CARGA_DIARIA!A376="","",CARGA_DIARIA!A376)</f>
        <v/>
      </c>
      <c r="B376" s="33" t="str">
        <f>IF(CARGA_DIARIA!A376="","",CARGA_DIARIA!B376)</f>
        <v/>
      </c>
      <c r="C376" s="34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5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5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8" t="s">
        <v>146</v>
      </c>
      <c r="G376" s="38" t="s">
        <v>146</v>
      </c>
      <c r="H376" s="37" t="str">
        <f>IF(CARGA_DIARIA!A376="","",C376-D376-E376)</f>
        <v/>
      </c>
    </row>
    <row r="377" spans="1:8" ht="15.75" customHeight="1" x14ac:dyDescent="0.25">
      <c r="A377" s="32" t="str">
        <f>IF(CARGA_DIARIA!A377="","",CARGA_DIARIA!A377)</f>
        <v/>
      </c>
      <c r="B377" s="33" t="str">
        <f>IF(CARGA_DIARIA!A377="","",CARGA_DIARIA!B377)</f>
        <v/>
      </c>
      <c r="C377" s="34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5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5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8" t="s">
        <v>146</v>
      </c>
      <c r="G377" s="38" t="s">
        <v>146</v>
      </c>
      <c r="H377" s="37" t="str">
        <f>IF(CARGA_DIARIA!A377="","",C377-D377-E377)</f>
        <v/>
      </c>
    </row>
    <row r="378" spans="1:8" ht="15.75" customHeight="1" x14ac:dyDescent="0.25">
      <c r="A378" s="32" t="str">
        <f>IF(CARGA_DIARIA!A378="","",CARGA_DIARIA!A378)</f>
        <v/>
      </c>
      <c r="B378" s="33" t="str">
        <f>IF(CARGA_DIARIA!A378="","",CARGA_DIARIA!B378)</f>
        <v/>
      </c>
      <c r="C378" s="34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5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5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8" t="s">
        <v>146</v>
      </c>
      <c r="G378" s="38" t="s">
        <v>146</v>
      </c>
      <c r="H378" s="37" t="str">
        <f>IF(CARGA_DIARIA!A378="","",C378-D378-E378)</f>
        <v/>
      </c>
    </row>
    <row r="379" spans="1:8" ht="15.75" customHeight="1" x14ac:dyDescent="0.25">
      <c r="A379" s="32" t="str">
        <f>IF(CARGA_DIARIA!A379="","",CARGA_DIARIA!A379)</f>
        <v/>
      </c>
      <c r="B379" s="33" t="str">
        <f>IF(CARGA_DIARIA!A379="","",CARGA_DIARIA!B379)</f>
        <v/>
      </c>
      <c r="C379" s="34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5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5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8" t="s">
        <v>146</v>
      </c>
      <c r="G379" s="38" t="s">
        <v>146</v>
      </c>
      <c r="H379" s="37" t="str">
        <f>IF(CARGA_DIARIA!A379="","",C379-D379-E379)</f>
        <v/>
      </c>
    </row>
    <row r="380" spans="1:8" ht="15.75" customHeight="1" x14ac:dyDescent="0.25">
      <c r="A380" s="32" t="str">
        <f>IF(CARGA_DIARIA!A380="","",CARGA_DIARIA!A380)</f>
        <v/>
      </c>
      <c r="B380" s="33" t="str">
        <f>IF(CARGA_DIARIA!A380="","",CARGA_DIARIA!B380)</f>
        <v/>
      </c>
      <c r="C380" s="34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5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5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8" t="s">
        <v>146</v>
      </c>
      <c r="G380" s="38" t="s">
        <v>146</v>
      </c>
      <c r="H380" s="37" t="str">
        <f>IF(CARGA_DIARIA!A380="","",C380-D380-E380)</f>
        <v/>
      </c>
    </row>
    <row r="381" spans="1:8" ht="15.75" customHeight="1" x14ac:dyDescent="0.25">
      <c r="A381" s="32" t="str">
        <f>IF(CARGA_DIARIA!A381="","",CARGA_DIARIA!A381)</f>
        <v/>
      </c>
      <c r="B381" s="33" t="str">
        <f>IF(CARGA_DIARIA!A381="","",CARGA_DIARIA!B381)</f>
        <v/>
      </c>
      <c r="C381" s="34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5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5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8" t="s">
        <v>146</v>
      </c>
      <c r="G381" s="38" t="s">
        <v>146</v>
      </c>
      <c r="H381" s="37" t="str">
        <f>IF(CARGA_DIARIA!A381="","",C381-D381-E381)</f>
        <v/>
      </c>
    </row>
    <row r="382" spans="1:8" ht="15.75" customHeight="1" x14ac:dyDescent="0.25">
      <c r="A382" s="32" t="str">
        <f>IF(CARGA_DIARIA!A382="","",CARGA_DIARIA!A382)</f>
        <v/>
      </c>
      <c r="B382" s="33" t="str">
        <f>IF(CARGA_DIARIA!A382="","",CARGA_DIARIA!B382)</f>
        <v/>
      </c>
      <c r="C382" s="34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5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5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8" t="s">
        <v>146</v>
      </c>
      <c r="G382" s="38" t="s">
        <v>146</v>
      </c>
      <c r="H382" s="37" t="str">
        <f>IF(CARGA_DIARIA!A382="","",C382-D382-E382)</f>
        <v/>
      </c>
    </row>
    <row r="383" spans="1:8" ht="15.75" customHeight="1" x14ac:dyDescent="0.25">
      <c r="A383" s="32" t="str">
        <f>IF(CARGA_DIARIA!A383="","",CARGA_DIARIA!A383)</f>
        <v/>
      </c>
      <c r="B383" s="33" t="str">
        <f>IF(CARGA_DIARIA!A383="","",CARGA_DIARIA!B383)</f>
        <v/>
      </c>
      <c r="C383" s="34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5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5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8" t="s">
        <v>146</v>
      </c>
      <c r="G383" s="38" t="s">
        <v>146</v>
      </c>
      <c r="H383" s="37" t="str">
        <f>IF(CARGA_DIARIA!A383="","",C383-D383-E383)</f>
        <v/>
      </c>
    </row>
    <row r="384" spans="1:8" ht="15.75" customHeight="1" x14ac:dyDescent="0.25">
      <c r="A384" s="32" t="str">
        <f>IF(CARGA_DIARIA!A384="","",CARGA_DIARIA!A384)</f>
        <v/>
      </c>
      <c r="B384" s="33" t="str">
        <f>IF(CARGA_DIARIA!A384="","",CARGA_DIARIA!B384)</f>
        <v/>
      </c>
      <c r="C384" s="34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5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5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8" t="s">
        <v>146</v>
      </c>
      <c r="G384" s="38" t="s">
        <v>146</v>
      </c>
      <c r="H384" s="37" t="str">
        <f>IF(CARGA_DIARIA!A384="","",C384-D384-E384)</f>
        <v/>
      </c>
    </row>
    <row r="385" spans="1:8" ht="15.75" customHeight="1" x14ac:dyDescent="0.25">
      <c r="A385" s="32" t="str">
        <f>IF(CARGA_DIARIA!A385="","",CARGA_DIARIA!A385)</f>
        <v/>
      </c>
      <c r="B385" s="33" t="str">
        <f>IF(CARGA_DIARIA!A385="","",CARGA_DIARIA!B385)</f>
        <v/>
      </c>
      <c r="C385" s="34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5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5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8" t="s">
        <v>146</v>
      </c>
      <c r="G385" s="38" t="s">
        <v>146</v>
      </c>
      <c r="H385" s="37" t="str">
        <f>IF(CARGA_DIARIA!A385="","",C385-D385-E385)</f>
        <v/>
      </c>
    </row>
    <row r="386" spans="1:8" ht="15.75" customHeight="1" x14ac:dyDescent="0.25">
      <c r="A386" s="32" t="str">
        <f>IF(CARGA_DIARIA!A386="","",CARGA_DIARIA!A386)</f>
        <v/>
      </c>
      <c r="B386" s="33" t="str">
        <f>IF(CARGA_DIARIA!A386="","",CARGA_DIARIA!B386)</f>
        <v/>
      </c>
      <c r="C386" s="34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5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5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8" t="s">
        <v>146</v>
      </c>
      <c r="G386" s="38" t="s">
        <v>146</v>
      </c>
      <c r="H386" s="37" t="str">
        <f>IF(CARGA_DIARIA!A386="","",C386-D386-E386)</f>
        <v/>
      </c>
    </row>
    <row r="387" spans="1:8" ht="15.75" customHeight="1" x14ac:dyDescent="0.25">
      <c r="A387" s="32" t="str">
        <f>IF(CARGA_DIARIA!A387="","",CARGA_DIARIA!A387)</f>
        <v/>
      </c>
      <c r="B387" s="33" t="str">
        <f>IF(CARGA_DIARIA!A387="","",CARGA_DIARIA!B387)</f>
        <v/>
      </c>
      <c r="C387" s="34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5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5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8" t="s">
        <v>146</v>
      </c>
      <c r="G387" s="38" t="s">
        <v>146</v>
      </c>
      <c r="H387" s="37" t="str">
        <f>IF(CARGA_DIARIA!A387="","",C387-D387-E387)</f>
        <v/>
      </c>
    </row>
    <row r="388" spans="1:8" ht="15.75" customHeight="1" x14ac:dyDescent="0.25">
      <c r="A388" s="32" t="str">
        <f>IF(CARGA_DIARIA!A388="","",CARGA_DIARIA!A388)</f>
        <v/>
      </c>
      <c r="B388" s="33" t="str">
        <f>IF(CARGA_DIARIA!A388="","",CARGA_DIARIA!B388)</f>
        <v/>
      </c>
      <c r="C388" s="34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5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5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8" t="s">
        <v>146</v>
      </c>
      <c r="G388" s="38" t="s">
        <v>146</v>
      </c>
      <c r="H388" s="37" t="str">
        <f>IF(CARGA_DIARIA!A388="","",C388-D388-E388)</f>
        <v/>
      </c>
    </row>
    <row r="389" spans="1:8" ht="15.75" customHeight="1" x14ac:dyDescent="0.25">
      <c r="A389" s="32" t="str">
        <f>IF(CARGA_DIARIA!A389="","",CARGA_DIARIA!A389)</f>
        <v/>
      </c>
      <c r="B389" s="33" t="str">
        <f>IF(CARGA_DIARIA!A389="","",CARGA_DIARIA!B389)</f>
        <v/>
      </c>
      <c r="C389" s="34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5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5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8" t="s">
        <v>146</v>
      </c>
      <c r="G389" s="38" t="s">
        <v>146</v>
      </c>
      <c r="H389" s="37" t="str">
        <f>IF(CARGA_DIARIA!A389="","",C389-D389-E389)</f>
        <v/>
      </c>
    </row>
    <row r="390" spans="1:8" ht="15.75" customHeight="1" x14ac:dyDescent="0.25">
      <c r="A390" s="32" t="str">
        <f>IF(CARGA_DIARIA!A390="","",CARGA_DIARIA!A390)</f>
        <v/>
      </c>
      <c r="B390" s="33" t="str">
        <f>IF(CARGA_DIARIA!A390="","",CARGA_DIARIA!B390)</f>
        <v/>
      </c>
      <c r="C390" s="34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5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5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8" t="s">
        <v>146</v>
      </c>
      <c r="G390" s="38" t="s">
        <v>146</v>
      </c>
      <c r="H390" s="37" t="str">
        <f>IF(CARGA_DIARIA!A390="","",C390-D390-E390)</f>
        <v/>
      </c>
    </row>
    <row r="391" spans="1:8" ht="15.75" customHeight="1" x14ac:dyDescent="0.25">
      <c r="A391" s="32" t="str">
        <f>IF(CARGA_DIARIA!A391="","",CARGA_DIARIA!A391)</f>
        <v/>
      </c>
      <c r="B391" s="33" t="str">
        <f>IF(CARGA_DIARIA!A391="","",CARGA_DIARIA!B391)</f>
        <v/>
      </c>
      <c r="C391" s="34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5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5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8" t="s">
        <v>146</v>
      </c>
      <c r="G391" s="38" t="s">
        <v>146</v>
      </c>
      <c r="H391" s="37" t="str">
        <f>IF(CARGA_DIARIA!A391="","",C391-D391-E391)</f>
        <v/>
      </c>
    </row>
    <row r="392" spans="1:8" ht="15.75" customHeight="1" x14ac:dyDescent="0.25">
      <c r="A392" s="32" t="str">
        <f>IF(CARGA_DIARIA!A392="","",CARGA_DIARIA!A392)</f>
        <v/>
      </c>
      <c r="B392" s="33" t="str">
        <f>IF(CARGA_DIARIA!A392="","",CARGA_DIARIA!B392)</f>
        <v/>
      </c>
      <c r="C392" s="34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5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5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8" t="s">
        <v>146</v>
      </c>
      <c r="G392" s="38" t="s">
        <v>146</v>
      </c>
      <c r="H392" s="37" t="str">
        <f>IF(CARGA_DIARIA!A392="","",C392-D392-E392)</f>
        <v/>
      </c>
    </row>
    <row r="393" spans="1:8" ht="15.75" customHeight="1" x14ac:dyDescent="0.25">
      <c r="A393" s="32" t="str">
        <f>IF(CARGA_DIARIA!A393="","",CARGA_DIARIA!A393)</f>
        <v/>
      </c>
      <c r="B393" s="33" t="str">
        <f>IF(CARGA_DIARIA!A393="","",CARGA_DIARIA!B393)</f>
        <v/>
      </c>
      <c r="C393" s="34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5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5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8" t="s">
        <v>146</v>
      </c>
      <c r="G393" s="38" t="s">
        <v>146</v>
      </c>
      <c r="H393" s="37" t="str">
        <f>IF(CARGA_DIARIA!A393="","",C393-D393-E393)</f>
        <v/>
      </c>
    </row>
    <row r="394" spans="1:8" ht="15.75" customHeight="1" x14ac:dyDescent="0.25">
      <c r="A394" s="32" t="str">
        <f>IF(CARGA_DIARIA!A394="","",CARGA_DIARIA!A394)</f>
        <v/>
      </c>
      <c r="B394" s="33" t="str">
        <f>IF(CARGA_DIARIA!A394="","",CARGA_DIARIA!B394)</f>
        <v/>
      </c>
      <c r="C394" s="34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5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5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8" t="s">
        <v>146</v>
      </c>
      <c r="G394" s="38" t="s">
        <v>146</v>
      </c>
      <c r="H394" s="37" t="str">
        <f>IF(CARGA_DIARIA!A394="","",C394-D394-E394)</f>
        <v/>
      </c>
    </row>
    <row r="395" spans="1:8" ht="15.75" customHeight="1" x14ac:dyDescent="0.25">
      <c r="A395" s="32" t="str">
        <f>IF(CARGA_DIARIA!A395="","",CARGA_DIARIA!A395)</f>
        <v/>
      </c>
      <c r="B395" s="33" t="str">
        <f>IF(CARGA_DIARIA!A395="","",CARGA_DIARIA!B395)</f>
        <v/>
      </c>
      <c r="C395" s="34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5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5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8" t="s">
        <v>146</v>
      </c>
      <c r="G395" s="38" t="s">
        <v>146</v>
      </c>
      <c r="H395" s="37" t="str">
        <f>IF(CARGA_DIARIA!A395="","",C395-D395-E395)</f>
        <v/>
      </c>
    </row>
    <row r="396" spans="1:8" ht="15.75" customHeight="1" x14ac:dyDescent="0.25">
      <c r="A396" s="32" t="str">
        <f>IF(CARGA_DIARIA!A396="","",CARGA_DIARIA!A396)</f>
        <v/>
      </c>
      <c r="B396" s="33" t="str">
        <f>IF(CARGA_DIARIA!A396="","",CARGA_DIARIA!B396)</f>
        <v/>
      </c>
      <c r="C396" s="34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5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5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8" t="s">
        <v>146</v>
      </c>
      <c r="G396" s="38" t="s">
        <v>146</v>
      </c>
      <c r="H396" s="37" t="str">
        <f>IF(CARGA_DIARIA!A396="","",C396-D396-E396)</f>
        <v/>
      </c>
    </row>
    <row r="397" spans="1:8" ht="15.75" customHeight="1" x14ac:dyDescent="0.25">
      <c r="A397" s="32" t="str">
        <f>IF(CARGA_DIARIA!A397="","",CARGA_DIARIA!A397)</f>
        <v/>
      </c>
      <c r="B397" s="33" t="str">
        <f>IF(CARGA_DIARIA!A397="","",CARGA_DIARIA!B397)</f>
        <v/>
      </c>
      <c r="C397" s="34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5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5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8" t="s">
        <v>146</v>
      </c>
      <c r="G397" s="38" t="s">
        <v>146</v>
      </c>
      <c r="H397" s="37" t="str">
        <f>IF(CARGA_DIARIA!A397="","",C397-D397-E397)</f>
        <v/>
      </c>
    </row>
    <row r="398" spans="1:8" ht="15.75" customHeight="1" x14ac:dyDescent="0.25">
      <c r="A398" s="32" t="str">
        <f>IF(CARGA_DIARIA!A398="","",CARGA_DIARIA!A398)</f>
        <v/>
      </c>
      <c r="B398" s="33" t="str">
        <f>IF(CARGA_DIARIA!A398="","",CARGA_DIARIA!B398)</f>
        <v/>
      </c>
      <c r="C398" s="34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5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5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8" t="s">
        <v>146</v>
      </c>
      <c r="G398" s="38" t="s">
        <v>146</v>
      </c>
      <c r="H398" s="37" t="str">
        <f>IF(CARGA_DIARIA!A398="","",C398-D398-E398)</f>
        <v/>
      </c>
    </row>
    <row r="399" spans="1:8" ht="15.75" customHeight="1" x14ac:dyDescent="0.25">
      <c r="A399" s="32" t="str">
        <f>IF(CARGA_DIARIA!A399="","",CARGA_DIARIA!A399)</f>
        <v/>
      </c>
      <c r="B399" s="33" t="str">
        <f>IF(CARGA_DIARIA!A399="","",CARGA_DIARIA!B399)</f>
        <v/>
      </c>
      <c r="C399" s="34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5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5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8" t="s">
        <v>146</v>
      </c>
      <c r="G399" s="38" t="s">
        <v>146</v>
      </c>
      <c r="H399" s="37" t="str">
        <f>IF(CARGA_DIARIA!A399="","",C399-D399-E399)</f>
        <v/>
      </c>
    </row>
    <row r="400" spans="1:8" ht="15.75" customHeight="1" x14ac:dyDescent="0.25">
      <c r="A400" s="32" t="str">
        <f>IF(CARGA_DIARIA!A400="","",CARGA_DIARIA!A400)</f>
        <v/>
      </c>
      <c r="B400" s="33" t="str">
        <f>IF(CARGA_DIARIA!A400="","",CARGA_DIARIA!B400)</f>
        <v/>
      </c>
      <c r="C400" s="34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5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5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8" t="s">
        <v>146</v>
      </c>
      <c r="G400" s="38" t="s">
        <v>146</v>
      </c>
      <c r="H400" s="37" t="str">
        <f>IF(CARGA_DIARIA!A400="","",C400-D400-E400)</f>
        <v/>
      </c>
    </row>
    <row r="401" spans="1:8" ht="15.75" customHeight="1" x14ac:dyDescent="0.25">
      <c r="A401" s="32" t="str">
        <f>IF(CARGA_DIARIA!A401="","",CARGA_DIARIA!A401)</f>
        <v/>
      </c>
      <c r="B401" s="33" t="str">
        <f>IF(CARGA_DIARIA!A401="","",CARGA_DIARIA!B401)</f>
        <v/>
      </c>
      <c r="C401" s="34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5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5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8" t="s">
        <v>146</v>
      </c>
      <c r="G401" s="38" t="s">
        <v>146</v>
      </c>
      <c r="H401" s="37" t="str">
        <f>IF(CARGA_DIARIA!A401="","",C401-D401-E401)</f>
        <v/>
      </c>
    </row>
    <row r="402" spans="1:8" ht="15.75" customHeight="1" x14ac:dyDescent="0.25">
      <c r="A402" s="32" t="str">
        <f>IF(CARGA_DIARIA!A402="","",CARGA_DIARIA!A402)</f>
        <v/>
      </c>
      <c r="B402" s="33" t="str">
        <f>IF(CARGA_DIARIA!A402="","",CARGA_DIARIA!B402)</f>
        <v/>
      </c>
      <c r="C402" s="34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5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5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8" t="s">
        <v>146</v>
      </c>
      <c r="G402" s="38" t="s">
        <v>146</v>
      </c>
      <c r="H402" s="37" t="str">
        <f>IF(CARGA_DIARIA!A402="","",C402-D402-E402)</f>
        <v/>
      </c>
    </row>
    <row r="403" spans="1:8" ht="15.75" customHeight="1" x14ac:dyDescent="0.25">
      <c r="A403" s="32" t="str">
        <f>IF(CARGA_DIARIA!A403="","",CARGA_DIARIA!A403)</f>
        <v/>
      </c>
      <c r="B403" s="33" t="str">
        <f>IF(CARGA_DIARIA!A403="","",CARGA_DIARIA!B403)</f>
        <v/>
      </c>
      <c r="C403" s="34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5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5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8" t="s">
        <v>146</v>
      </c>
      <c r="G403" s="38" t="s">
        <v>146</v>
      </c>
      <c r="H403" s="37" t="str">
        <f>IF(CARGA_DIARIA!A403="","",C403-D403-E403)</f>
        <v/>
      </c>
    </row>
    <row r="404" spans="1:8" ht="15.75" customHeight="1" x14ac:dyDescent="0.25">
      <c r="A404" s="32" t="str">
        <f>IF(CARGA_DIARIA!A404="","",CARGA_DIARIA!A404)</f>
        <v/>
      </c>
      <c r="B404" s="33" t="str">
        <f>IF(CARGA_DIARIA!A404="","",CARGA_DIARIA!B404)</f>
        <v/>
      </c>
      <c r="C404" s="34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5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5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8" t="s">
        <v>146</v>
      </c>
      <c r="G404" s="38" t="s">
        <v>146</v>
      </c>
      <c r="H404" s="37" t="str">
        <f>IF(CARGA_DIARIA!A404="","",C404-D404-E404)</f>
        <v/>
      </c>
    </row>
    <row r="405" spans="1:8" ht="15.75" customHeight="1" x14ac:dyDescent="0.25">
      <c r="A405" s="32" t="str">
        <f>IF(CARGA_DIARIA!A405="","",CARGA_DIARIA!A405)</f>
        <v/>
      </c>
      <c r="B405" s="33" t="str">
        <f>IF(CARGA_DIARIA!A405="","",CARGA_DIARIA!B405)</f>
        <v/>
      </c>
      <c r="C405" s="34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5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5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8" t="s">
        <v>146</v>
      </c>
      <c r="G405" s="38" t="s">
        <v>146</v>
      </c>
      <c r="H405" s="37" t="str">
        <f>IF(CARGA_DIARIA!A405="","",C405-D405-E405)</f>
        <v/>
      </c>
    </row>
    <row r="406" spans="1:8" ht="15.75" customHeight="1" x14ac:dyDescent="0.25">
      <c r="A406" s="32" t="str">
        <f>IF(CARGA_DIARIA!A406="","",CARGA_DIARIA!A406)</f>
        <v/>
      </c>
      <c r="B406" s="33" t="str">
        <f>IF(CARGA_DIARIA!A406="","",CARGA_DIARIA!B406)</f>
        <v/>
      </c>
      <c r="C406" s="34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5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5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8" t="s">
        <v>146</v>
      </c>
      <c r="G406" s="38" t="s">
        <v>146</v>
      </c>
      <c r="H406" s="37" t="str">
        <f>IF(CARGA_DIARIA!A406="","",C406-D406-E406)</f>
        <v/>
      </c>
    </row>
    <row r="407" spans="1:8" ht="15.75" customHeight="1" x14ac:dyDescent="0.25">
      <c r="A407" s="32" t="str">
        <f>IF(CARGA_DIARIA!A407="","",CARGA_DIARIA!A407)</f>
        <v/>
      </c>
      <c r="B407" s="33" t="str">
        <f>IF(CARGA_DIARIA!A407="","",CARGA_DIARIA!B407)</f>
        <v/>
      </c>
      <c r="C407" s="34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5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5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8" t="s">
        <v>146</v>
      </c>
      <c r="G407" s="38" t="s">
        <v>146</v>
      </c>
      <c r="H407" s="37" t="str">
        <f>IF(CARGA_DIARIA!A407="","",C407-D407-E407)</f>
        <v/>
      </c>
    </row>
    <row r="408" spans="1:8" ht="15.75" customHeight="1" x14ac:dyDescent="0.25">
      <c r="A408" s="32" t="str">
        <f>IF(CARGA_DIARIA!A408="","",CARGA_DIARIA!A408)</f>
        <v/>
      </c>
      <c r="B408" s="33" t="str">
        <f>IF(CARGA_DIARIA!A408="","",CARGA_DIARIA!B408)</f>
        <v/>
      </c>
      <c r="C408" s="34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5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5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8" t="s">
        <v>146</v>
      </c>
      <c r="G408" s="38" t="s">
        <v>146</v>
      </c>
      <c r="H408" s="37" t="str">
        <f>IF(CARGA_DIARIA!A408="","",C408-D408-E408)</f>
        <v/>
      </c>
    </row>
    <row r="409" spans="1:8" ht="15.75" customHeight="1" x14ac:dyDescent="0.25">
      <c r="A409" s="32" t="str">
        <f>IF(CARGA_DIARIA!A409="","",CARGA_DIARIA!A409)</f>
        <v/>
      </c>
      <c r="B409" s="33" t="str">
        <f>IF(CARGA_DIARIA!A409="","",CARGA_DIARIA!B409)</f>
        <v/>
      </c>
      <c r="C409" s="34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5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5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8" t="s">
        <v>146</v>
      </c>
      <c r="G409" s="38" t="s">
        <v>146</v>
      </c>
      <c r="H409" s="37" t="str">
        <f>IF(CARGA_DIARIA!A409="","",C409-D409-E409)</f>
        <v/>
      </c>
    </row>
    <row r="410" spans="1:8" ht="15.75" customHeight="1" x14ac:dyDescent="0.25">
      <c r="A410" s="32" t="str">
        <f>IF(CARGA_DIARIA!A410="","",CARGA_DIARIA!A410)</f>
        <v/>
      </c>
      <c r="B410" s="33" t="str">
        <f>IF(CARGA_DIARIA!A410="","",CARGA_DIARIA!B410)</f>
        <v/>
      </c>
      <c r="C410" s="34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5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5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8" t="s">
        <v>146</v>
      </c>
      <c r="G410" s="38" t="s">
        <v>146</v>
      </c>
      <c r="H410" s="37" t="str">
        <f>IF(CARGA_DIARIA!A410="","",C410-D410-E410)</f>
        <v/>
      </c>
    </row>
    <row r="411" spans="1:8" ht="15.75" customHeight="1" x14ac:dyDescent="0.25">
      <c r="A411" s="32" t="str">
        <f>IF(CARGA_DIARIA!A411="","",CARGA_DIARIA!A411)</f>
        <v/>
      </c>
      <c r="B411" s="33" t="str">
        <f>IF(CARGA_DIARIA!A411="","",CARGA_DIARIA!B411)</f>
        <v/>
      </c>
      <c r="C411" s="34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5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5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8" t="s">
        <v>146</v>
      </c>
      <c r="G411" s="38" t="s">
        <v>146</v>
      </c>
      <c r="H411" s="37" t="str">
        <f>IF(CARGA_DIARIA!A411="","",C411-D411-E411)</f>
        <v/>
      </c>
    </row>
    <row r="412" spans="1:8" ht="15.75" customHeight="1" x14ac:dyDescent="0.25">
      <c r="A412" s="32" t="str">
        <f>IF(CARGA_DIARIA!A412="","",CARGA_DIARIA!A412)</f>
        <v/>
      </c>
      <c r="B412" s="33" t="str">
        <f>IF(CARGA_DIARIA!A412="","",CARGA_DIARIA!B412)</f>
        <v/>
      </c>
      <c r="C412" s="34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5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5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8" t="s">
        <v>146</v>
      </c>
      <c r="G412" s="38" t="s">
        <v>146</v>
      </c>
      <c r="H412" s="37" t="str">
        <f>IF(CARGA_DIARIA!A412="","",C412-D412-E412)</f>
        <v/>
      </c>
    </row>
    <row r="413" spans="1:8" ht="15.75" customHeight="1" x14ac:dyDescent="0.25">
      <c r="A413" s="32" t="str">
        <f>IF(CARGA_DIARIA!A413="","",CARGA_DIARIA!A413)</f>
        <v/>
      </c>
      <c r="B413" s="33" t="str">
        <f>IF(CARGA_DIARIA!A413="","",CARGA_DIARIA!B413)</f>
        <v/>
      </c>
      <c r="C413" s="34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5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5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8" t="s">
        <v>146</v>
      </c>
      <c r="G413" s="38" t="s">
        <v>146</v>
      </c>
      <c r="H413" s="37" t="str">
        <f>IF(CARGA_DIARIA!A413="","",C413-D413-E413)</f>
        <v/>
      </c>
    </row>
    <row r="414" spans="1:8" ht="15.75" customHeight="1" x14ac:dyDescent="0.25">
      <c r="A414" s="32" t="str">
        <f>IF(CARGA_DIARIA!A414="","",CARGA_DIARIA!A414)</f>
        <v/>
      </c>
      <c r="B414" s="33" t="str">
        <f>IF(CARGA_DIARIA!A414="","",CARGA_DIARIA!B414)</f>
        <v/>
      </c>
      <c r="C414" s="34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5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5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8" t="s">
        <v>146</v>
      </c>
      <c r="G414" s="38" t="s">
        <v>146</v>
      </c>
      <c r="H414" s="37" t="str">
        <f>IF(CARGA_DIARIA!A414="","",C414-D414-E414)</f>
        <v/>
      </c>
    </row>
    <row r="415" spans="1:8" ht="15.75" customHeight="1" x14ac:dyDescent="0.25">
      <c r="A415" s="32" t="str">
        <f>IF(CARGA_DIARIA!A415="","",CARGA_DIARIA!A415)</f>
        <v/>
      </c>
      <c r="B415" s="33" t="str">
        <f>IF(CARGA_DIARIA!A415="","",CARGA_DIARIA!B415)</f>
        <v/>
      </c>
      <c r="C415" s="34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5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5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8" t="s">
        <v>146</v>
      </c>
      <c r="G415" s="38" t="s">
        <v>146</v>
      </c>
      <c r="H415" s="37" t="str">
        <f>IF(CARGA_DIARIA!A415="","",C415-D415-E415)</f>
        <v/>
      </c>
    </row>
    <row r="416" spans="1:8" ht="15.75" customHeight="1" x14ac:dyDescent="0.25">
      <c r="A416" s="32" t="str">
        <f>IF(CARGA_DIARIA!A416="","",CARGA_DIARIA!A416)</f>
        <v/>
      </c>
      <c r="B416" s="33" t="str">
        <f>IF(CARGA_DIARIA!A416="","",CARGA_DIARIA!B416)</f>
        <v/>
      </c>
      <c r="C416" s="34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5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5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8" t="s">
        <v>146</v>
      </c>
      <c r="G416" s="38" t="s">
        <v>146</v>
      </c>
      <c r="H416" s="37" t="str">
        <f>IF(CARGA_DIARIA!A416="","",C416-D416-E416)</f>
        <v/>
      </c>
    </row>
    <row r="417" spans="1:8" ht="15.75" customHeight="1" x14ac:dyDescent="0.25">
      <c r="A417" s="32" t="str">
        <f>IF(CARGA_DIARIA!A417="","",CARGA_DIARIA!A417)</f>
        <v/>
      </c>
      <c r="B417" s="33" t="str">
        <f>IF(CARGA_DIARIA!A417="","",CARGA_DIARIA!B417)</f>
        <v/>
      </c>
      <c r="C417" s="34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5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5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8" t="s">
        <v>146</v>
      </c>
      <c r="G417" s="38" t="s">
        <v>146</v>
      </c>
      <c r="H417" s="37" t="str">
        <f>IF(CARGA_DIARIA!A417="","",C417-D417-E417)</f>
        <v/>
      </c>
    </row>
    <row r="418" spans="1:8" ht="15.75" customHeight="1" x14ac:dyDescent="0.25">
      <c r="A418" s="32" t="str">
        <f>IF(CARGA_DIARIA!A418="","",CARGA_DIARIA!A418)</f>
        <v/>
      </c>
      <c r="B418" s="33" t="str">
        <f>IF(CARGA_DIARIA!A418="","",CARGA_DIARIA!B418)</f>
        <v/>
      </c>
      <c r="C418" s="34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5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5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8" t="s">
        <v>146</v>
      </c>
      <c r="G418" s="38" t="s">
        <v>146</v>
      </c>
      <c r="H418" s="37" t="str">
        <f>IF(CARGA_DIARIA!A418="","",C418-D418-E418)</f>
        <v/>
      </c>
    </row>
    <row r="419" spans="1:8" ht="15.75" customHeight="1" x14ac:dyDescent="0.25">
      <c r="A419" s="32" t="str">
        <f>IF(CARGA_DIARIA!A419="","",CARGA_DIARIA!A419)</f>
        <v/>
      </c>
      <c r="B419" s="33" t="str">
        <f>IF(CARGA_DIARIA!A419="","",CARGA_DIARIA!B419)</f>
        <v/>
      </c>
      <c r="C419" s="34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5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5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8" t="s">
        <v>146</v>
      </c>
      <c r="G419" s="38" t="s">
        <v>146</v>
      </c>
      <c r="H419" s="37" t="str">
        <f>IF(CARGA_DIARIA!A419="","",C419-D419-E419)</f>
        <v/>
      </c>
    </row>
    <row r="420" spans="1:8" ht="15.75" customHeight="1" x14ac:dyDescent="0.25">
      <c r="A420" s="32" t="str">
        <f>IF(CARGA_DIARIA!A420="","",CARGA_DIARIA!A420)</f>
        <v/>
      </c>
      <c r="B420" s="33" t="str">
        <f>IF(CARGA_DIARIA!A420="","",CARGA_DIARIA!B420)</f>
        <v/>
      </c>
      <c r="C420" s="34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5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5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8" t="s">
        <v>146</v>
      </c>
      <c r="G420" s="38" t="s">
        <v>146</v>
      </c>
      <c r="H420" s="37" t="str">
        <f>IF(CARGA_DIARIA!A420="","",C420-D420-E420)</f>
        <v/>
      </c>
    </row>
    <row r="421" spans="1:8" ht="15.75" customHeight="1" x14ac:dyDescent="0.25">
      <c r="A421" s="32" t="str">
        <f>IF(CARGA_DIARIA!A421="","",CARGA_DIARIA!A421)</f>
        <v/>
      </c>
      <c r="B421" s="33" t="str">
        <f>IF(CARGA_DIARIA!A421="","",CARGA_DIARIA!B421)</f>
        <v/>
      </c>
      <c r="C421" s="34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5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5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8" t="s">
        <v>146</v>
      </c>
      <c r="G421" s="38" t="s">
        <v>146</v>
      </c>
      <c r="H421" s="37" t="str">
        <f>IF(CARGA_DIARIA!A421="","",C421-D421-E421)</f>
        <v/>
      </c>
    </row>
    <row r="422" spans="1:8" ht="15.75" customHeight="1" x14ac:dyDescent="0.25">
      <c r="A422" s="32" t="str">
        <f>IF(CARGA_DIARIA!A422="","",CARGA_DIARIA!A422)</f>
        <v/>
      </c>
      <c r="B422" s="33" t="str">
        <f>IF(CARGA_DIARIA!A422="","",CARGA_DIARIA!B422)</f>
        <v/>
      </c>
      <c r="C422" s="34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5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5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8" t="s">
        <v>146</v>
      </c>
      <c r="G422" s="38" t="s">
        <v>146</v>
      </c>
      <c r="H422" s="37" t="str">
        <f>IF(CARGA_DIARIA!A422="","",C422-D422-E422)</f>
        <v/>
      </c>
    </row>
    <row r="423" spans="1:8" ht="15.75" customHeight="1" x14ac:dyDescent="0.25">
      <c r="A423" s="32" t="str">
        <f>IF(CARGA_DIARIA!A423="","",CARGA_DIARIA!A423)</f>
        <v/>
      </c>
      <c r="B423" s="33" t="str">
        <f>IF(CARGA_DIARIA!A423="","",CARGA_DIARIA!B423)</f>
        <v/>
      </c>
      <c r="C423" s="34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5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5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8" t="s">
        <v>146</v>
      </c>
      <c r="G423" s="38" t="s">
        <v>146</v>
      </c>
      <c r="H423" s="37" t="str">
        <f>IF(CARGA_DIARIA!A423="","",C423-D423-E423)</f>
        <v/>
      </c>
    </row>
    <row r="424" spans="1:8" ht="15.75" customHeight="1" x14ac:dyDescent="0.25">
      <c r="A424" s="32" t="str">
        <f>IF(CARGA_DIARIA!A424="","",CARGA_DIARIA!A424)</f>
        <v/>
      </c>
      <c r="B424" s="33" t="str">
        <f>IF(CARGA_DIARIA!A424="","",CARGA_DIARIA!B424)</f>
        <v/>
      </c>
      <c r="C424" s="34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5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5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8" t="s">
        <v>146</v>
      </c>
      <c r="G424" s="38" t="s">
        <v>146</v>
      </c>
      <c r="H424" s="37" t="str">
        <f>IF(CARGA_DIARIA!A424="","",C424-D424-E424)</f>
        <v/>
      </c>
    </row>
    <row r="425" spans="1:8" ht="15.75" customHeight="1" x14ac:dyDescent="0.25">
      <c r="A425" s="32" t="str">
        <f>IF(CARGA_DIARIA!A425="","",CARGA_DIARIA!A425)</f>
        <v/>
      </c>
      <c r="B425" s="33" t="str">
        <f>IF(CARGA_DIARIA!A425="","",CARGA_DIARIA!B425)</f>
        <v/>
      </c>
      <c r="C425" s="34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5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5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8" t="s">
        <v>146</v>
      </c>
      <c r="G425" s="38" t="s">
        <v>146</v>
      </c>
      <c r="H425" s="37" t="str">
        <f>IF(CARGA_DIARIA!A425="","",C425-D425-E425)</f>
        <v/>
      </c>
    </row>
    <row r="426" spans="1:8" ht="15.75" customHeight="1" x14ac:dyDescent="0.25">
      <c r="A426" s="32" t="str">
        <f>IF(CARGA_DIARIA!A426="","",CARGA_DIARIA!A426)</f>
        <v/>
      </c>
      <c r="B426" s="33" t="str">
        <f>IF(CARGA_DIARIA!A426="","",CARGA_DIARIA!B426)</f>
        <v/>
      </c>
      <c r="C426" s="34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5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5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8" t="s">
        <v>146</v>
      </c>
      <c r="G426" s="38" t="s">
        <v>146</v>
      </c>
      <c r="H426" s="37" t="str">
        <f>IF(CARGA_DIARIA!A426="","",C426-D426-E426)</f>
        <v/>
      </c>
    </row>
    <row r="427" spans="1:8" ht="15.75" customHeight="1" x14ac:dyDescent="0.25">
      <c r="A427" s="32" t="str">
        <f>IF(CARGA_DIARIA!A427="","",CARGA_DIARIA!A427)</f>
        <v/>
      </c>
      <c r="B427" s="33" t="str">
        <f>IF(CARGA_DIARIA!A427="","",CARGA_DIARIA!B427)</f>
        <v/>
      </c>
      <c r="C427" s="34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5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5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8" t="s">
        <v>146</v>
      </c>
      <c r="G427" s="38" t="s">
        <v>146</v>
      </c>
      <c r="H427" s="37" t="str">
        <f>IF(CARGA_DIARIA!A427="","",C427-D427-E427)</f>
        <v/>
      </c>
    </row>
    <row r="428" spans="1:8" ht="15.75" customHeight="1" x14ac:dyDescent="0.25">
      <c r="A428" s="32" t="str">
        <f>IF(CARGA_DIARIA!A428="","",CARGA_DIARIA!A428)</f>
        <v/>
      </c>
      <c r="B428" s="33" t="str">
        <f>IF(CARGA_DIARIA!A428="","",CARGA_DIARIA!B428)</f>
        <v/>
      </c>
      <c r="C428" s="34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5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5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8" t="s">
        <v>146</v>
      </c>
      <c r="G428" s="38" t="s">
        <v>146</v>
      </c>
      <c r="H428" s="37" t="str">
        <f>IF(CARGA_DIARIA!A428="","",C428-D428-E428)</f>
        <v/>
      </c>
    </row>
    <row r="429" spans="1:8" ht="15.75" customHeight="1" x14ac:dyDescent="0.25">
      <c r="A429" s="32" t="str">
        <f>IF(CARGA_DIARIA!A429="","",CARGA_DIARIA!A429)</f>
        <v/>
      </c>
      <c r="B429" s="33" t="str">
        <f>IF(CARGA_DIARIA!A429="","",CARGA_DIARIA!B429)</f>
        <v/>
      </c>
      <c r="C429" s="34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5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5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8" t="s">
        <v>146</v>
      </c>
      <c r="G429" s="38" t="s">
        <v>146</v>
      </c>
      <c r="H429" s="37" t="str">
        <f>IF(CARGA_DIARIA!A429="","",C429-D429-E429)</f>
        <v/>
      </c>
    </row>
    <row r="430" spans="1:8" ht="15.75" customHeight="1" x14ac:dyDescent="0.25">
      <c r="A430" s="32" t="str">
        <f>IF(CARGA_DIARIA!A430="","",CARGA_DIARIA!A430)</f>
        <v/>
      </c>
      <c r="B430" s="33" t="str">
        <f>IF(CARGA_DIARIA!A430="","",CARGA_DIARIA!B430)</f>
        <v/>
      </c>
      <c r="C430" s="34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5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5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8" t="s">
        <v>146</v>
      </c>
      <c r="G430" s="38" t="s">
        <v>146</v>
      </c>
      <c r="H430" s="37" t="str">
        <f>IF(CARGA_DIARIA!A430="","",C430-D430-E430)</f>
        <v/>
      </c>
    </row>
    <row r="431" spans="1:8" ht="15.75" customHeight="1" x14ac:dyDescent="0.25">
      <c r="A431" s="32" t="str">
        <f>IF(CARGA_DIARIA!A431="","",CARGA_DIARIA!A431)</f>
        <v/>
      </c>
      <c r="B431" s="33" t="str">
        <f>IF(CARGA_DIARIA!A431="","",CARGA_DIARIA!B431)</f>
        <v/>
      </c>
      <c r="C431" s="34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5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5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8" t="s">
        <v>146</v>
      </c>
      <c r="G431" s="38" t="s">
        <v>146</v>
      </c>
      <c r="H431" s="37" t="str">
        <f>IF(CARGA_DIARIA!A431="","",C431-D431-E431)</f>
        <v/>
      </c>
    </row>
    <row r="432" spans="1:8" ht="15.75" customHeight="1" x14ac:dyDescent="0.25">
      <c r="A432" s="32" t="str">
        <f>IF(CARGA_DIARIA!A432="","",CARGA_DIARIA!A432)</f>
        <v/>
      </c>
      <c r="B432" s="33" t="str">
        <f>IF(CARGA_DIARIA!A432="","",CARGA_DIARIA!B432)</f>
        <v/>
      </c>
      <c r="C432" s="34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5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5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8" t="s">
        <v>146</v>
      </c>
      <c r="G432" s="38" t="s">
        <v>146</v>
      </c>
      <c r="H432" s="37" t="str">
        <f>IF(CARGA_DIARIA!A432="","",C432-D432-E432)</f>
        <v/>
      </c>
    </row>
    <row r="433" spans="1:8" ht="15.75" customHeight="1" x14ac:dyDescent="0.25">
      <c r="A433" s="32" t="str">
        <f>IF(CARGA_DIARIA!A433="","",CARGA_DIARIA!A433)</f>
        <v/>
      </c>
      <c r="B433" s="33" t="str">
        <f>IF(CARGA_DIARIA!A433="","",CARGA_DIARIA!B433)</f>
        <v/>
      </c>
      <c r="C433" s="34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5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5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8" t="s">
        <v>146</v>
      </c>
      <c r="G433" s="38" t="s">
        <v>146</v>
      </c>
      <c r="H433" s="37" t="str">
        <f>IF(CARGA_DIARIA!A433="","",C433-D433-E433)</f>
        <v/>
      </c>
    </row>
    <row r="434" spans="1:8" ht="15.75" customHeight="1" x14ac:dyDescent="0.25">
      <c r="A434" s="32" t="str">
        <f>IF(CARGA_DIARIA!A434="","",CARGA_DIARIA!A434)</f>
        <v/>
      </c>
      <c r="B434" s="33" t="str">
        <f>IF(CARGA_DIARIA!A434="","",CARGA_DIARIA!B434)</f>
        <v/>
      </c>
      <c r="C434" s="34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5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5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8" t="s">
        <v>146</v>
      </c>
      <c r="G434" s="38" t="s">
        <v>146</v>
      </c>
      <c r="H434" s="37" t="str">
        <f>IF(CARGA_DIARIA!A434="","",C434-D434-E434)</f>
        <v/>
      </c>
    </row>
    <row r="435" spans="1:8" ht="15.75" customHeight="1" x14ac:dyDescent="0.25">
      <c r="A435" s="32" t="str">
        <f>IF(CARGA_DIARIA!A435="","",CARGA_DIARIA!A435)</f>
        <v/>
      </c>
      <c r="B435" s="33" t="str">
        <f>IF(CARGA_DIARIA!A435="","",CARGA_DIARIA!B435)</f>
        <v/>
      </c>
      <c r="C435" s="34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5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5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8" t="s">
        <v>146</v>
      </c>
      <c r="G435" s="38" t="s">
        <v>146</v>
      </c>
      <c r="H435" s="37" t="str">
        <f>IF(CARGA_DIARIA!A435="","",C435-D435-E435)</f>
        <v/>
      </c>
    </row>
    <row r="436" spans="1:8" ht="15.75" customHeight="1" x14ac:dyDescent="0.25">
      <c r="A436" s="32" t="str">
        <f>IF(CARGA_DIARIA!A436="","",CARGA_DIARIA!A436)</f>
        <v/>
      </c>
      <c r="B436" s="33" t="str">
        <f>IF(CARGA_DIARIA!A436="","",CARGA_DIARIA!B436)</f>
        <v/>
      </c>
      <c r="C436" s="34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5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5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8" t="s">
        <v>146</v>
      </c>
      <c r="G436" s="38" t="s">
        <v>146</v>
      </c>
      <c r="H436" s="37" t="str">
        <f>IF(CARGA_DIARIA!A436="","",C436-D436-E436)</f>
        <v/>
      </c>
    </row>
    <row r="437" spans="1:8" ht="15.75" customHeight="1" x14ac:dyDescent="0.25">
      <c r="A437" s="32" t="str">
        <f>IF(CARGA_DIARIA!A437="","",CARGA_DIARIA!A437)</f>
        <v/>
      </c>
      <c r="B437" s="33" t="str">
        <f>IF(CARGA_DIARIA!A437="","",CARGA_DIARIA!B437)</f>
        <v/>
      </c>
      <c r="C437" s="34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5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5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8" t="s">
        <v>146</v>
      </c>
      <c r="G437" s="38" t="s">
        <v>146</v>
      </c>
      <c r="H437" s="37" t="str">
        <f>IF(CARGA_DIARIA!A437="","",C437-D437-E437)</f>
        <v/>
      </c>
    </row>
    <row r="438" spans="1:8" ht="15.75" customHeight="1" x14ac:dyDescent="0.25">
      <c r="A438" s="32" t="str">
        <f>IF(CARGA_DIARIA!A438="","",CARGA_DIARIA!A438)</f>
        <v/>
      </c>
      <c r="B438" s="33" t="str">
        <f>IF(CARGA_DIARIA!A438="","",CARGA_DIARIA!B438)</f>
        <v/>
      </c>
      <c r="C438" s="34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5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5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8" t="s">
        <v>146</v>
      </c>
      <c r="G438" s="38" t="s">
        <v>146</v>
      </c>
      <c r="H438" s="37" t="str">
        <f>IF(CARGA_DIARIA!A438="","",C438-D438-E438)</f>
        <v/>
      </c>
    </row>
    <row r="439" spans="1:8" ht="15.75" customHeight="1" x14ac:dyDescent="0.25">
      <c r="A439" s="32" t="str">
        <f>IF(CARGA_DIARIA!A439="","",CARGA_DIARIA!A439)</f>
        <v/>
      </c>
      <c r="B439" s="33" t="str">
        <f>IF(CARGA_DIARIA!A439="","",CARGA_DIARIA!B439)</f>
        <v/>
      </c>
      <c r="C439" s="34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5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5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8" t="s">
        <v>146</v>
      </c>
      <c r="G439" s="38" t="s">
        <v>146</v>
      </c>
      <c r="H439" s="37" t="str">
        <f>IF(CARGA_DIARIA!A439="","",C439-D439-E439)</f>
        <v/>
      </c>
    </row>
    <row r="440" spans="1:8" ht="15.75" customHeight="1" x14ac:dyDescent="0.25">
      <c r="A440" s="32" t="str">
        <f>IF(CARGA_DIARIA!A440="","",CARGA_DIARIA!A440)</f>
        <v/>
      </c>
      <c r="B440" s="33" t="str">
        <f>IF(CARGA_DIARIA!A440="","",CARGA_DIARIA!B440)</f>
        <v/>
      </c>
      <c r="C440" s="34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5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5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8" t="s">
        <v>146</v>
      </c>
      <c r="G440" s="38" t="s">
        <v>146</v>
      </c>
      <c r="H440" s="37" t="str">
        <f>IF(CARGA_DIARIA!A440="","",C440-D440-E440)</f>
        <v/>
      </c>
    </row>
    <row r="441" spans="1:8" ht="15.75" customHeight="1" x14ac:dyDescent="0.25">
      <c r="A441" s="32" t="str">
        <f>IF(CARGA_DIARIA!A441="","",CARGA_DIARIA!A441)</f>
        <v/>
      </c>
      <c r="B441" s="33" t="str">
        <f>IF(CARGA_DIARIA!A441="","",CARGA_DIARIA!B441)</f>
        <v/>
      </c>
      <c r="C441" s="34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5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5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8" t="s">
        <v>146</v>
      </c>
      <c r="G441" s="38" t="s">
        <v>146</v>
      </c>
      <c r="H441" s="37" t="str">
        <f>IF(CARGA_DIARIA!A441="","",C441-D441-E441)</f>
        <v/>
      </c>
    </row>
    <row r="442" spans="1:8" ht="15.75" customHeight="1" x14ac:dyDescent="0.25">
      <c r="A442" s="32" t="str">
        <f>IF(CARGA_DIARIA!A442="","",CARGA_DIARIA!A442)</f>
        <v/>
      </c>
      <c r="B442" s="33" t="str">
        <f>IF(CARGA_DIARIA!A442="","",CARGA_DIARIA!B442)</f>
        <v/>
      </c>
      <c r="C442" s="34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5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5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8" t="s">
        <v>146</v>
      </c>
      <c r="G442" s="38" t="s">
        <v>146</v>
      </c>
      <c r="H442" s="37" t="str">
        <f>IF(CARGA_DIARIA!A442="","",C442-D442-E442)</f>
        <v/>
      </c>
    </row>
    <row r="443" spans="1:8" ht="15.75" customHeight="1" x14ac:dyDescent="0.25">
      <c r="A443" s="32" t="str">
        <f>IF(CARGA_DIARIA!A443="","",CARGA_DIARIA!A443)</f>
        <v/>
      </c>
      <c r="B443" s="33" t="str">
        <f>IF(CARGA_DIARIA!A443="","",CARGA_DIARIA!B443)</f>
        <v/>
      </c>
      <c r="C443" s="34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5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5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8" t="s">
        <v>146</v>
      </c>
      <c r="G443" s="38" t="s">
        <v>146</v>
      </c>
      <c r="H443" s="37" t="str">
        <f>IF(CARGA_DIARIA!A443="","",C443-D443-E443)</f>
        <v/>
      </c>
    </row>
    <row r="444" spans="1:8" ht="15.75" customHeight="1" x14ac:dyDescent="0.25">
      <c r="A444" s="32" t="str">
        <f>IF(CARGA_DIARIA!A444="","",CARGA_DIARIA!A444)</f>
        <v/>
      </c>
      <c r="B444" s="33" t="str">
        <f>IF(CARGA_DIARIA!A444="","",CARGA_DIARIA!B444)</f>
        <v/>
      </c>
      <c r="C444" s="34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5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5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8" t="s">
        <v>146</v>
      </c>
      <c r="G444" s="38" t="s">
        <v>146</v>
      </c>
      <c r="H444" s="37" t="str">
        <f>IF(CARGA_DIARIA!A444="","",C444-D444-E444)</f>
        <v/>
      </c>
    </row>
    <row r="445" spans="1:8" ht="15.75" customHeight="1" x14ac:dyDescent="0.25">
      <c r="A445" s="32" t="str">
        <f>IF(CARGA_DIARIA!A445="","",CARGA_DIARIA!A445)</f>
        <v/>
      </c>
      <c r="B445" s="33" t="str">
        <f>IF(CARGA_DIARIA!A445="","",CARGA_DIARIA!B445)</f>
        <v/>
      </c>
      <c r="C445" s="34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5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5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8" t="s">
        <v>146</v>
      </c>
      <c r="G445" s="38" t="s">
        <v>146</v>
      </c>
      <c r="H445" s="37" t="str">
        <f>IF(CARGA_DIARIA!A445="","",C445-D445-E445)</f>
        <v/>
      </c>
    </row>
    <row r="446" spans="1:8" ht="15.75" customHeight="1" x14ac:dyDescent="0.25">
      <c r="A446" s="32" t="str">
        <f>IF(CARGA_DIARIA!A446="","",CARGA_DIARIA!A446)</f>
        <v/>
      </c>
      <c r="B446" s="33" t="str">
        <f>IF(CARGA_DIARIA!A446="","",CARGA_DIARIA!B446)</f>
        <v/>
      </c>
      <c r="C446" s="34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5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5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8" t="s">
        <v>146</v>
      </c>
      <c r="G446" s="38" t="s">
        <v>146</v>
      </c>
      <c r="H446" s="37" t="str">
        <f>IF(CARGA_DIARIA!A446="","",C446-D446-E446)</f>
        <v/>
      </c>
    </row>
    <row r="447" spans="1:8" ht="15.75" customHeight="1" x14ac:dyDescent="0.25">
      <c r="A447" s="32" t="str">
        <f>IF(CARGA_DIARIA!A447="","",CARGA_DIARIA!A447)</f>
        <v/>
      </c>
      <c r="B447" s="33" t="str">
        <f>IF(CARGA_DIARIA!A447="","",CARGA_DIARIA!B447)</f>
        <v/>
      </c>
      <c r="C447" s="34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5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5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8" t="s">
        <v>146</v>
      </c>
      <c r="G447" s="38" t="s">
        <v>146</v>
      </c>
      <c r="H447" s="37" t="str">
        <f>IF(CARGA_DIARIA!A447="","",C447-D447-E447)</f>
        <v/>
      </c>
    </row>
    <row r="448" spans="1:8" ht="15.75" customHeight="1" x14ac:dyDescent="0.25">
      <c r="A448" s="32" t="str">
        <f>IF(CARGA_DIARIA!A448="","",CARGA_DIARIA!A448)</f>
        <v/>
      </c>
      <c r="B448" s="33" t="str">
        <f>IF(CARGA_DIARIA!A448="","",CARGA_DIARIA!B448)</f>
        <v/>
      </c>
      <c r="C448" s="34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5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5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8" t="s">
        <v>146</v>
      </c>
      <c r="G448" s="38" t="s">
        <v>146</v>
      </c>
      <c r="H448" s="37" t="str">
        <f>IF(CARGA_DIARIA!A448="","",C448-D448-E448)</f>
        <v/>
      </c>
    </row>
    <row r="449" spans="1:8" ht="15.75" customHeight="1" x14ac:dyDescent="0.25">
      <c r="A449" s="32" t="str">
        <f>IF(CARGA_DIARIA!A449="","",CARGA_DIARIA!A449)</f>
        <v/>
      </c>
      <c r="B449" s="33" t="str">
        <f>IF(CARGA_DIARIA!A449="","",CARGA_DIARIA!B449)</f>
        <v/>
      </c>
      <c r="C449" s="34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5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5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8" t="s">
        <v>146</v>
      </c>
      <c r="G449" s="38" t="s">
        <v>146</v>
      </c>
      <c r="H449" s="37" t="str">
        <f>IF(CARGA_DIARIA!A449="","",C449-D449-E449)</f>
        <v/>
      </c>
    </row>
    <row r="450" spans="1:8" ht="15.75" customHeight="1" x14ac:dyDescent="0.25">
      <c r="A450" s="32" t="str">
        <f>IF(CARGA_DIARIA!A450="","",CARGA_DIARIA!A450)</f>
        <v/>
      </c>
      <c r="B450" s="33" t="str">
        <f>IF(CARGA_DIARIA!A450="","",CARGA_DIARIA!B450)</f>
        <v/>
      </c>
      <c r="C450" s="34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5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5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8" t="s">
        <v>146</v>
      </c>
      <c r="G450" s="38" t="s">
        <v>146</v>
      </c>
      <c r="H450" s="37" t="str">
        <f>IF(CARGA_DIARIA!A450="","",C450-D450-E450)</f>
        <v/>
      </c>
    </row>
    <row r="451" spans="1:8" ht="15.75" customHeight="1" x14ac:dyDescent="0.25">
      <c r="A451" s="32" t="str">
        <f>IF(CARGA_DIARIA!A451="","",CARGA_DIARIA!A451)</f>
        <v/>
      </c>
      <c r="B451" s="33" t="str">
        <f>IF(CARGA_DIARIA!A451="","",CARGA_DIARIA!B451)</f>
        <v/>
      </c>
      <c r="C451" s="34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5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5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8" t="s">
        <v>146</v>
      </c>
      <c r="G451" s="38" t="s">
        <v>146</v>
      </c>
      <c r="H451" s="37" t="str">
        <f>IF(CARGA_DIARIA!A451="","",C451-D451-E451)</f>
        <v/>
      </c>
    </row>
    <row r="452" spans="1:8" ht="15.75" customHeight="1" x14ac:dyDescent="0.25">
      <c r="A452" s="32" t="str">
        <f>IF(CARGA_DIARIA!A452="","",CARGA_DIARIA!A452)</f>
        <v/>
      </c>
      <c r="B452" s="33" t="str">
        <f>IF(CARGA_DIARIA!A452="","",CARGA_DIARIA!B452)</f>
        <v/>
      </c>
      <c r="C452" s="34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5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5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8" t="s">
        <v>146</v>
      </c>
      <c r="G452" s="38" t="s">
        <v>146</v>
      </c>
      <c r="H452" s="37" t="str">
        <f>IF(CARGA_DIARIA!A452="","",C452-D452-E452)</f>
        <v/>
      </c>
    </row>
    <row r="453" spans="1:8" ht="15.75" customHeight="1" x14ac:dyDescent="0.25">
      <c r="A453" s="32" t="str">
        <f>IF(CARGA_DIARIA!A453="","",CARGA_DIARIA!A453)</f>
        <v/>
      </c>
      <c r="B453" s="33" t="str">
        <f>IF(CARGA_DIARIA!A453="","",CARGA_DIARIA!B453)</f>
        <v/>
      </c>
      <c r="C453" s="34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5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5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8" t="s">
        <v>146</v>
      </c>
      <c r="G453" s="38" t="s">
        <v>146</v>
      </c>
      <c r="H453" s="37" t="str">
        <f>IF(CARGA_DIARIA!A453="","",C453-D453-E453)</f>
        <v/>
      </c>
    </row>
    <row r="454" spans="1:8" ht="15.75" customHeight="1" x14ac:dyDescent="0.25">
      <c r="A454" s="32" t="str">
        <f>IF(CARGA_DIARIA!A454="","",CARGA_DIARIA!A454)</f>
        <v/>
      </c>
      <c r="B454" s="33" t="str">
        <f>IF(CARGA_DIARIA!A454="","",CARGA_DIARIA!B454)</f>
        <v/>
      </c>
      <c r="C454" s="34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5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5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8" t="s">
        <v>146</v>
      </c>
      <c r="G454" s="38" t="s">
        <v>146</v>
      </c>
      <c r="H454" s="37" t="str">
        <f>IF(CARGA_DIARIA!A454="","",C454-D454-E454)</f>
        <v/>
      </c>
    </row>
    <row r="455" spans="1:8" ht="15.75" customHeight="1" x14ac:dyDescent="0.25">
      <c r="A455" s="32" t="str">
        <f>IF(CARGA_DIARIA!A455="","",CARGA_DIARIA!A455)</f>
        <v/>
      </c>
      <c r="B455" s="33" t="str">
        <f>IF(CARGA_DIARIA!A455="","",CARGA_DIARIA!B455)</f>
        <v/>
      </c>
      <c r="C455" s="34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5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5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8" t="s">
        <v>146</v>
      </c>
      <c r="G455" s="38" t="s">
        <v>146</v>
      </c>
      <c r="H455" s="37" t="str">
        <f>IF(CARGA_DIARIA!A455="","",C455-D455-E455)</f>
        <v/>
      </c>
    </row>
    <row r="456" spans="1:8" ht="15.75" customHeight="1" x14ac:dyDescent="0.25">
      <c r="A456" s="32" t="str">
        <f>IF(CARGA_DIARIA!A456="","",CARGA_DIARIA!A456)</f>
        <v/>
      </c>
      <c r="B456" s="33" t="str">
        <f>IF(CARGA_DIARIA!A456="","",CARGA_DIARIA!B456)</f>
        <v/>
      </c>
      <c r="C456" s="34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5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5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8" t="s">
        <v>146</v>
      </c>
      <c r="G456" s="38" t="s">
        <v>146</v>
      </c>
      <c r="H456" s="37" t="str">
        <f>IF(CARGA_DIARIA!A456="","",C456-D456-E456)</f>
        <v/>
      </c>
    </row>
    <row r="457" spans="1:8" ht="15.75" customHeight="1" x14ac:dyDescent="0.25">
      <c r="A457" s="32" t="str">
        <f>IF(CARGA_DIARIA!A457="","",CARGA_DIARIA!A457)</f>
        <v/>
      </c>
      <c r="B457" s="33" t="str">
        <f>IF(CARGA_DIARIA!A457="","",CARGA_DIARIA!B457)</f>
        <v/>
      </c>
      <c r="C457" s="34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5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5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8" t="s">
        <v>146</v>
      </c>
      <c r="G457" s="38" t="s">
        <v>146</v>
      </c>
      <c r="H457" s="37" t="str">
        <f>IF(CARGA_DIARIA!A457="","",C457-D457-E457)</f>
        <v/>
      </c>
    </row>
    <row r="458" spans="1:8" ht="15.75" customHeight="1" x14ac:dyDescent="0.25">
      <c r="A458" s="32" t="str">
        <f>IF(CARGA_DIARIA!A458="","",CARGA_DIARIA!A458)</f>
        <v/>
      </c>
      <c r="B458" s="33" t="str">
        <f>IF(CARGA_DIARIA!A458="","",CARGA_DIARIA!B458)</f>
        <v/>
      </c>
      <c r="C458" s="34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5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5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8" t="s">
        <v>146</v>
      </c>
      <c r="G458" s="38" t="s">
        <v>146</v>
      </c>
      <c r="H458" s="37" t="str">
        <f>IF(CARGA_DIARIA!A458="","",C458-D458-E458)</f>
        <v/>
      </c>
    </row>
    <row r="459" spans="1:8" ht="15.75" customHeight="1" x14ac:dyDescent="0.25">
      <c r="A459" s="32" t="str">
        <f>IF(CARGA_DIARIA!A459="","",CARGA_DIARIA!A459)</f>
        <v/>
      </c>
      <c r="B459" s="33" t="str">
        <f>IF(CARGA_DIARIA!A459="","",CARGA_DIARIA!B459)</f>
        <v/>
      </c>
      <c r="C459" s="34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5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5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8" t="s">
        <v>146</v>
      </c>
      <c r="G459" s="38" t="s">
        <v>146</v>
      </c>
      <c r="H459" s="37" t="str">
        <f>IF(CARGA_DIARIA!A459="","",C459-D459-E459)</f>
        <v/>
      </c>
    </row>
    <row r="460" spans="1:8" ht="15.75" customHeight="1" x14ac:dyDescent="0.25">
      <c r="A460" s="32" t="str">
        <f>IF(CARGA_DIARIA!A460="","",CARGA_DIARIA!A460)</f>
        <v/>
      </c>
      <c r="B460" s="33" t="str">
        <f>IF(CARGA_DIARIA!A460="","",CARGA_DIARIA!B460)</f>
        <v/>
      </c>
      <c r="C460" s="34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5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5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8" t="s">
        <v>146</v>
      </c>
      <c r="G460" s="38" t="s">
        <v>146</v>
      </c>
      <c r="H460" s="37" t="str">
        <f>IF(CARGA_DIARIA!A460="","",C460-D460-E460)</f>
        <v/>
      </c>
    </row>
    <row r="461" spans="1:8" ht="15.75" customHeight="1" x14ac:dyDescent="0.25">
      <c r="A461" s="32" t="str">
        <f>IF(CARGA_DIARIA!A461="","",CARGA_DIARIA!A461)</f>
        <v/>
      </c>
      <c r="B461" s="33" t="str">
        <f>IF(CARGA_DIARIA!A461="","",CARGA_DIARIA!B461)</f>
        <v/>
      </c>
      <c r="C461" s="34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5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5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8" t="s">
        <v>146</v>
      </c>
      <c r="G461" s="38" t="s">
        <v>146</v>
      </c>
      <c r="H461" s="37" t="str">
        <f>IF(CARGA_DIARIA!A461="","",C461-D461-E461)</f>
        <v/>
      </c>
    </row>
    <row r="462" spans="1:8" ht="15.75" customHeight="1" x14ac:dyDescent="0.25">
      <c r="A462" s="32" t="str">
        <f>IF(CARGA_DIARIA!A462="","",CARGA_DIARIA!A462)</f>
        <v/>
      </c>
      <c r="B462" s="33" t="str">
        <f>IF(CARGA_DIARIA!A462="","",CARGA_DIARIA!B462)</f>
        <v/>
      </c>
      <c r="C462" s="34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5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5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8" t="s">
        <v>146</v>
      </c>
      <c r="G462" s="38" t="s">
        <v>146</v>
      </c>
      <c r="H462" s="37" t="str">
        <f>IF(CARGA_DIARIA!A462="","",C462-D462-E462)</f>
        <v/>
      </c>
    </row>
    <row r="463" spans="1:8" ht="15.75" customHeight="1" x14ac:dyDescent="0.25">
      <c r="A463" s="32" t="str">
        <f>IF(CARGA_DIARIA!A463="","",CARGA_DIARIA!A463)</f>
        <v/>
      </c>
      <c r="B463" s="33" t="str">
        <f>IF(CARGA_DIARIA!A463="","",CARGA_DIARIA!B463)</f>
        <v/>
      </c>
      <c r="C463" s="34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5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5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8" t="s">
        <v>146</v>
      </c>
      <c r="G463" s="38" t="s">
        <v>146</v>
      </c>
      <c r="H463" s="37" t="str">
        <f>IF(CARGA_DIARIA!A463="","",C463-D463-E463)</f>
        <v/>
      </c>
    </row>
    <row r="464" spans="1:8" ht="15.75" customHeight="1" x14ac:dyDescent="0.25">
      <c r="A464" s="32" t="str">
        <f>IF(CARGA_DIARIA!A464="","",CARGA_DIARIA!A464)</f>
        <v/>
      </c>
      <c r="B464" s="33" t="str">
        <f>IF(CARGA_DIARIA!A464="","",CARGA_DIARIA!B464)</f>
        <v/>
      </c>
      <c r="C464" s="34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5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5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8" t="s">
        <v>146</v>
      </c>
      <c r="G464" s="38" t="s">
        <v>146</v>
      </c>
      <c r="H464" s="37" t="str">
        <f>IF(CARGA_DIARIA!A464="","",C464-D464-E464)</f>
        <v/>
      </c>
    </row>
    <row r="465" spans="1:8" ht="15.75" customHeight="1" x14ac:dyDescent="0.25">
      <c r="A465" s="32" t="str">
        <f>IF(CARGA_DIARIA!A465="","",CARGA_DIARIA!A465)</f>
        <v/>
      </c>
      <c r="B465" s="33" t="str">
        <f>IF(CARGA_DIARIA!A465="","",CARGA_DIARIA!B465)</f>
        <v/>
      </c>
      <c r="C465" s="34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5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5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8" t="s">
        <v>146</v>
      </c>
      <c r="G465" s="38" t="s">
        <v>146</v>
      </c>
      <c r="H465" s="37" t="str">
        <f>IF(CARGA_DIARIA!A465="","",C465-D465-E465)</f>
        <v/>
      </c>
    </row>
    <row r="466" spans="1:8" ht="15.75" customHeight="1" x14ac:dyDescent="0.25">
      <c r="A466" s="32" t="str">
        <f>IF(CARGA_DIARIA!A466="","",CARGA_DIARIA!A466)</f>
        <v/>
      </c>
      <c r="B466" s="33" t="str">
        <f>IF(CARGA_DIARIA!A466="","",CARGA_DIARIA!B466)</f>
        <v/>
      </c>
      <c r="C466" s="34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5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5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8" t="s">
        <v>146</v>
      </c>
      <c r="G466" s="38" t="s">
        <v>146</v>
      </c>
      <c r="H466" s="37" t="str">
        <f>IF(CARGA_DIARIA!A466="","",C466-D466-E466)</f>
        <v/>
      </c>
    </row>
    <row r="467" spans="1:8" ht="15.75" customHeight="1" x14ac:dyDescent="0.25">
      <c r="A467" s="32" t="str">
        <f>IF(CARGA_DIARIA!A467="","",CARGA_DIARIA!A467)</f>
        <v/>
      </c>
      <c r="B467" s="33" t="str">
        <f>IF(CARGA_DIARIA!A467="","",CARGA_DIARIA!B467)</f>
        <v/>
      </c>
      <c r="C467" s="34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5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5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8" t="s">
        <v>146</v>
      </c>
      <c r="G467" s="38" t="s">
        <v>146</v>
      </c>
      <c r="H467" s="37" t="str">
        <f>IF(CARGA_DIARIA!A467="","",C467-D467-E467)</f>
        <v/>
      </c>
    </row>
    <row r="468" spans="1:8" ht="15.75" customHeight="1" x14ac:dyDescent="0.25">
      <c r="A468" s="32" t="str">
        <f>IF(CARGA_DIARIA!A468="","",CARGA_DIARIA!A468)</f>
        <v/>
      </c>
      <c r="B468" s="33" t="str">
        <f>IF(CARGA_DIARIA!A468="","",CARGA_DIARIA!B468)</f>
        <v/>
      </c>
      <c r="C468" s="34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5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5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8" t="s">
        <v>146</v>
      </c>
      <c r="G468" s="38" t="s">
        <v>146</v>
      </c>
      <c r="H468" s="37" t="str">
        <f>IF(CARGA_DIARIA!A468="","",C468-D468-E468)</f>
        <v/>
      </c>
    </row>
    <row r="469" spans="1:8" ht="15.75" customHeight="1" x14ac:dyDescent="0.25">
      <c r="A469" s="32" t="str">
        <f>IF(CARGA_DIARIA!A469="","",CARGA_DIARIA!A469)</f>
        <v/>
      </c>
      <c r="B469" s="33" t="str">
        <f>IF(CARGA_DIARIA!A469="","",CARGA_DIARIA!B469)</f>
        <v/>
      </c>
      <c r="C469" s="34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5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5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8" t="s">
        <v>146</v>
      </c>
      <c r="G469" s="38" t="s">
        <v>146</v>
      </c>
      <c r="H469" s="37" t="str">
        <f>IF(CARGA_DIARIA!A469="","",C469-D469-E469)</f>
        <v/>
      </c>
    </row>
    <row r="470" spans="1:8" ht="15.75" customHeight="1" x14ac:dyDescent="0.25">
      <c r="A470" s="32" t="str">
        <f>IF(CARGA_DIARIA!A470="","",CARGA_DIARIA!A470)</f>
        <v/>
      </c>
      <c r="B470" s="33" t="str">
        <f>IF(CARGA_DIARIA!A470="","",CARGA_DIARIA!B470)</f>
        <v/>
      </c>
      <c r="C470" s="34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5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5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8" t="s">
        <v>146</v>
      </c>
      <c r="G470" s="38" t="s">
        <v>146</v>
      </c>
      <c r="H470" s="37" t="str">
        <f>IF(CARGA_DIARIA!A470="","",C470-D470-E470)</f>
        <v/>
      </c>
    </row>
    <row r="471" spans="1:8" ht="15.75" customHeight="1" x14ac:dyDescent="0.25">
      <c r="A471" s="32" t="str">
        <f>IF(CARGA_DIARIA!A471="","",CARGA_DIARIA!A471)</f>
        <v/>
      </c>
      <c r="B471" s="33" t="str">
        <f>IF(CARGA_DIARIA!A471="","",CARGA_DIARIA!B471)</f>
        <v/>
      </c>
      <c r="C471" s="34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5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5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8" t="s">
        <v>146</v>
      </c>
      <c r="G471" s="38" t="s">
        <v>146</v>
      </c>
      <c r="H471" s="37" t="str">
        <f>IF(CARGA_DIARIA!A471="","",C471-D471-E471)</f>
        <v/>
      </c>
    </row>
    <row r="472" spans="1:8" ht="15.75" customHeight="1" x14ac:dyDescent="0.25">
      <c r="A472" s="32" t="str">
        <f>IF(CARGA_DIARIA!A472="","",CARGA_DIARIA!A472)</f>
        <v/>
      </c>
      <c r="B472" s="33" t="str">
        <f>IF(CARGA_DIARIA!A472="","",CARGA_DIARIA!B472)</f>
        <v/>
      </c>
      <c r="C472" s="34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5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5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8" t="s">
        <v>146</v>
      </c>
      <c r="G472" s="38" t="s">
        <v>146</v>
      </c>
      <c r="H472" s="37" t="str">
        <f>IF(CARGA_DIARIA!A472="","",C472-D472-E472)</f>
        <v/>
      </c>
    </row>
    <row r="473" spans="1:8" ht="15.75" customHeight="1" x14ac:dyDescent="0.25">
      <c r="A473" s="32" t="str">
        <f>IF(CARGA_DIARIA!A473="","",CARGA_DIARIA!A473)</f>
        <v/>
      </c>
      <c r="B473" s="33" t="str">
        <f>IF(CARGA_DIARIA!A473="","",CARGA_DIARIA!B473)</f>
        <v/>
      </c>
      <c r="C473" s="34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5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5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8" t="s">
        <v>146</v>
      </c>
      <c r="G473" s="38" t="s">
        <v>146</v>
      </c>
      <c r="H473" s="37" t="str">
        <f>IF(CARGA_DIARIA!A473="","",C473-D473-E473)</f>
        <v/>
      </c>
    </row>
    <row r="474" spans="1:8" ht="15.75" customHeight="1" x14ac:dyDescent="0.25">
      <c r="A474" s="32" t="str">
        <f>IF(CARGA_DIARIA!A474="","",CARGA_DIARIA!A474)</f>
        <v/>
      </c>
      <c r="B474" s="33" t="str">
        <f>IF(CARGA_DIARIA!A474="","",CARGA_DIARIA!B474)</f>
        <v/>
      </c>
      <c r="C474" s="34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5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5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8" t="s">
        <v>146</v>
      </c>
      <c r="G474" s="38" t="s">
        <v>146</v>
      </c>
      <c r="H474" s="37" t="str">
        <f>IF(CARGA_DIARIA!A474="","",C474-D474-E474)</f>
        <v/>
      </c>
    </row>
    <row r="475" spans="1:8" ht="15.75" customHeight="1" x14ac:dyDescent="0.25">
      <c r="A475" s="32" t="str">
        <f>IF(CARGA_DIARIA!A475="","",CARGA_DIARIA!A475)</f>
        <v/>
      </c>
      <c r="B475" s="33" t="str">
        <f>IF(CARGA_DIARIA!A475="","",CARGA_DIARIA!B475)</f>
        <v/>
      </c>
      <c r="C475" s="34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5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5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8" t="s">
        <v>146</v>
      </c>
      <c r="G475" s="38" t="s">
        <v>146</v>
      </c>
      <c r="H475" s="37" t="str">
        <f>IF(CARGA_DIARIA!A475="","",C475-D475-E475)</f>
        <v/>
      </c>
    </row>
    <row r="476" spans="1:8" ht="15.75" customHeight="1" x14ac:dyDescent="0.25">
      <c r="A476" s="32" t="str">
        <f>IF(CARGA_DIARIA!A476="","",CARGA_DIARIA!A476)</f>
        <v/>
      </c>
      <c r="B476" s="33" t="str">
        <f>IF(CARGA_DIARIA!A476="","",CARGA_DIARIA!B476)</f>
        <v/>
      </c>
      <c r="C476" s="34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5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5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8" t="s">
        <v>146</v>
      </c>
      <c r="G476" s="38" t="s">
        <v>146</v>
      </c>
      <c r="H476" s="37" t="str">
        <f>IF(CARGA_DIARIA!A476="","",C476-D476-E476)</f>
        <v/>
      </c>
    </row>
    <row r="477" spans="1:8" ht="15.75" customHeight="1" x14ac:dyDescent="0.25">
      <c r="A477" s="32" t="str">
        <f>IF(CARGA_DIARIA!A477="","",CARGA_DIARIA!A477)</f>
        <v/>
      </c>
      <c r="B477" s="33" t="str">
        <f>IF(CARGA_DIARIA!A477="","",CARGA_DIARIA!B477)</f>
        <v/>
      </c>
      <c r="C477" s="34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5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5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8" t="s">
        <v>146</v>
      </c>
      <c r="G477" s="38" t="s">
        <v>146</v>
      </c>
      <c r="H477" s="37" t="str">
        <f>IF(CARGA_DIARIA!A477="","",C477-D477-E477)</f>
        <v/>
      </c>
    </row>
    <row r="478" spans="1:8" ht="15.75" customHeight="1" x14ac:dyDescent="0.25">
      <c r="A478" s="32" t="str">
        <f>IF(CARGA_DIARIA!A478="","",CARGA_DIARIA!A478)</f>
        <v/>
      </c>
      <c r="B478" s="33" t="str">
        <f>IF(CARGA_DIARIA!A478="","",CARGA_DIARIA!B478)</f>
        <v/>
      </c>
      <c r="C478" s="34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5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5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8" t="s">
        <v>146</v>
      </c>
      <c r="G478" s="38" t="s">
        <v>146</v>
      </c>
      <c r="H478" s="37" t="str">
        <f>IF(CARGA_DIARIA!A478="","",C478-D478-E478)</f>
        <v/>
      </c>
    </row>
    <row r="479" spans="1:8" ht="15.75" customHeight="1" x14ac:dyDescent="0.25">
      <c r="A479" s="32" t="str">
        <f>IF(CARGA_DIARIA!A479="","",CARGA_DIARIA!A479)</f>
        <v/>
      </c>
      <c r="B479" s="33" t="str">
        <f>IF(CARGA_DIARIA!A479="","",CARGA_DIARIA!B479)</f>
        <v/>
      </c>
      <c r="C479" s="34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5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5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8" t="s">
        <v>146</v>
      </c>
      <c r="G479" s="38" t="s">
        <v>146</v>
      </c>
      <c r="H479" s="37" t="str">
        <f>IF(CARGA_DIARIA!A479="","",C479-D479-E479)</f>
        <v/>
      </c>
    </row>
    <row r="480" spans="1:8" ht="15.75" customHeight="1" x14ac:dyDescent="0.25">
      <c r="A480" s="32" t="str">
        <f>IF(CARGA_DIARIA!A480="","",CARGA_DIARIA!A480)</f>
        <v/>
      </c>
      <c r="B480" s="33" t="str">
        <f>IF(CARGA_DIARIA!A480="","",CARGA_DIARIA!B480)</f>
        <v/>
      </c>
      <c r="C480" s="34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5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5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8" t="s">
        <v>146</v>
      </c>
      <c r="G480" s="38" t="s">
        <v>146</v>
      </c>
      <c r="H480" s="37" t="str">
        <f>IF(CARGA_DIARIA!A480="","",C480-D480-E480)</f>
        <v/>
      </c>
    </row>
    <row r="481" spans="1:8" ht="15.75" customHeight="1" x14ac:dyDescent="0.25">
      <c r="A481" s="32" t="str">
        <f>IF(CARGA_DIARIA!A481="","",CARGA_DIARIA!A481)</f>
        <v/>
      </c>
      <c r="B481" s="33" t="str">
        <f>IF(CARGA_DIARIA!A481="","",CARGA_DIARIA!B481)</f>
        <v/>
      </c>
      <c r="C481" s="34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5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5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8" t="s">
        <v>146</v>
      </c>
      <c r="G481" s="38" t="s">
        <v>146</v>
      </c>
      <c r="H481" s="37" t="str">
        <f>IF(CARGA_DIARIA!A481="","",C481-D481-E481)</f>
        <v/>
      </c>
    </row>
    <row r="482" spans="1:8" ht="15.75" customHeight="1" x14ac:dyDescent="0.25">
      <c r="A482" s="32" t="str">
        <f>IF(CARGA_DIARIA!A482="","",CARGA_DIARIA!A482)</f>
        <v/>
      </c>
      <c r="B482" s="33" t="str">
        <f>IF(CARGA_DIARIA!A482="","",CARGA_DIARIA!B482)</f>
        <v/>
      </c>
      <c r="C482" s="34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5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5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8" t="s">
        <v>146</v>
      </c>
      <c r="G482" s="38" t="s">
        <v>146</v>
      </c>
      <c r="H482" s="37" t="str">
        <f>IF(CARGA_DIARIA!A482="","",C482-D482-E482)</f>
        <v/>
      </c>
    </row>
    <row r="483" spans="1:8" ht="15.75" customHeight="1" x14ac:dyDescent="0.25">
      <c r="A483" s="32" t="str">
        <f>IF(CARGA_DIARIA!A483="","",CARGA_DIARIA!A483)</f>
        <v/>
      </c>
      <c r="B483" s="33" t="str">
        <f>IF(CARGA_DIARIA!A483="","",CARGA_DIARIA!B483)</f>
        <v/>
      </c>
      <c r="C483" s="34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5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5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8" t="s">
        <v>146</v>
      </c>
      <c r="G483" s="38" t="s">
        <v>146</v>
      </c>
      <c r="H483" s="37" t="str">
        <f>IF(CARGA_DIARIA!A483="","",C483-D483-E483)</f>
        <v/>
      </c>
    </row>
    <row r="484" spans="1:8" ht="15.75" customHeight="1" x14ac:dyDescent="0.25">
      <c r="A484" s="32" t="str">
        <f>IF(CARGA_DIARIA!A484="","",CARGA_DIARIA!A484)</f>
        <v/>
      </c>
      <c r="B484" s="33" t="str">
        <f>IF(CARGA_DIARIA!A484="","",CARGA_DIARIA!B484)</f>
        <v/>
      </c>
      <c r="C484" s="34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5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5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8" t="s">
        <v>146</v>
      </c>
      <c r="G484" s="38" t="s">
        <v>146</v>
      </c>
      <c r="H484" s="37" t="str">
        <f>IF(CARGA_DIARIA!A484="","",C484-D484-E484)</f>
        <v/>
      </c>
    </row>
    <row r="485" spans="1:8" ht="15.75" customHeight="1" x14ac:dyDescent="0.25">
      <c r="A485" s="32" t="str">
        <f>IF(CARGA_DIARIA!A485="","",CARGA_DIARIA!A485)</f>
        <v/>
      </c>
      <c r="B485" s="33" t="str">
        <f>IF(CARGA_DIARIA!A485="","",CARGA_DIARIA!B485)</f>
        <v/>
      </c>
      <c r="C485" s="34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5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5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8" t="s">
        <v>146</v>
      </c>
      <c r="G485" s="38" t="s">
        <v>146</v>
      </c>
      <c r="H485" s="37" t="str">
        <f>IF(CARGA_DIARIA!A485="","",C485-D485-E485)</f>
        <v/>
      </c>
    </row>
    <row r="486" spans="1:8" ht="15.75" customHeight="1" x14ac:dyDescent="0.25">
      <c r="A486" s="32" t="str">
        <f>IF(CARGA_DIARIA!A486="","",CARGA_DIARIA!A486)</f>
        <v/>
      </c>
      <c r="B486" s="33" t="str">
        <f>IF(CARGA_DIARIA!A486="","",CARGA_DIARIA!B486)</f>
        <v/>
      </c>
      <c r="C486" s="34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5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5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8" t="s">
        <v>146</v>
      </c>
      <c r="G486" s="38" t="s">
        <v>146</v>
      </c>
      <c r="H486" s="37" t="str">
        <f>IF(CARGA_DIARIA!A486="","",C486-D486-E486)</f>
        <v/>
      </c>
    </row>
    <row r="487" spans="1:8" ht="15.75" customHeight="1" x14ac:dyDescent="0.25">
      <c r="A487" s="32" t="str">
        <f>IF(CARGA_DIARIA!A487="","",CARGA_DIARIA!A487)</f>
        <v/>
      </c>
      <c r="B487" s="33" t="str">
        <f>IF(CARGA_DIARIA!A487="","",CARGA_DIARIA!B487)</f>
        <v/>
      </c>
      <c r="C487" s="34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5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5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8" t="s">
        <v>146</v>
      </c>
      <c r="G487" s="38" t="s">
        <v>146</v>
      </c>
      <c r="H487" s="37" t="str">
        <f>IF(CARGA_DIARIA!A487="","",C487-D487-E487)</f>
        <v/>
      </c>
    </row>
    <row r="488" spans="1:8" ht="15.75" customHeight="1" x14ac:dyDescent="0.25">
      <c r="A488" s="32" t="str">
        <f>IF(CARGA_DIARIA!A488="","",CARGA_DIARIA!A488)</f>
        <v/>
      </c>
      <c r="B488" s="33" t="str">
        <f>IF(CARGA_DIARIA!A488="","",CARGA_DIARIA!B488)</f>
        <v/>
      </c>
      <c r="C488" s="34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5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5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8" t="s">
        <v>146</v>
      </c>
      <c r="G488" s="38" t="s">
        <v>146</v>
      </c>
      <c r="H488" s="37" t="str">
        <f>IF(CARGA_DIARIA!A488="","",C488-D488-E488)</f>
        <v/>
      </c>
    </row>
    <row r="489" spans="1:8" ht="15.75" customHeight="1" x14ac:dyDescent="0.25">
      <c r="A489" s="32" t="str">
        <f>IF(CARGA_DIARIA!A489="","",CARGA_DIARIA!A489)</f>
        <v/>
      </c>
      <c r="B489" s="33" t="str">
        <f>IF(CARGA_DIARIA!A489="","",CARGA_DIARIA!B489)</f>
        <v/>
      </c>
      <c r="C489" s="34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5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5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8" t="s">
        <v>146</v>
      </c>
      <c r="G489" s="38" t="s">
        <v>146</v>
      </c>
      <c r="H489" s="37" t="str">
        <f>IF(CARGA_DIARIA!A489="","",C489-D489-E489)</f>
        <v/>
      </c>
    </row>
    <row r="490" spans="1:8" ht="15.75" customHeight="1" x14ac:dyDescent="0.25">
      <c r="A490" s="32" t="str">
        <f>IF(CARGA_DIARIA!A490="","",CARGA_DIARIA!A490)</f>
        <v/>
      </c>
      <c r="B490" s="33" t="str">
        <f>IF(CARGA_DIARIA!A490="","",CARGA_DIARIA!B490)</f>
        <v/>
      </c>
      <c r="C490" s="34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5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5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8" t="s">
        <v>146</v>
      </c>
      <c r="G490" s="38" t="s">
        <v>146</v>
      </c>
      <c r="H490" s="37" t="str">
        <f>IF(CARGA_DIARIA!A490="","",C490-D490-E490)</f>
        <v/>
      </c>
    </row>
    <row r="491" spans="1:8" ht="15.75" customHeight="1" x14ac:dyDescent="0.25">
      <c r="A491" s="32" t="str">
        <f>IF(CARGA_DIARIA!A491="","",CARGA_DIARIA!A491)</f>
        <v/>
      </c>
      <c r="B491" s="33" t="str">
        <f>IF(CARGA_DIARIA!A491="","",CARGA_DIARIA!B491)</f>
        <v/>
      </c>
      <c r="C491" s="34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5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5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8" t="s">
        <v>146</v>
      </c>
      <c r="G491" s="38" t="s">
        <v>146</v>
      </c>
      <c r="H491" s="37" t="str">
        <f>IF(CARGA_DIARIA!A491="","",C491-D491-E491)</f>
        <v/>
      </c>
    </row>
    <row r="492" spans="1:8" ht="15.75" customHeight="1" x14ac:dyDescent="0.25">
      <c r="A492" s="32" t="str">
        <f>IF(CARGA_DIARIA!A492="","",CARGA_DIARIA!A492)</f>
        <v/>
      </c>
      <c r="B492" s="33" t="str">
        <f>IF(CARGA_DIARIA!A492="","",CARGA_DIARIA!B492)</f>
        <v/>
      </c>
      <c r="C492" s="34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5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5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8" t="s">
        <v>146</v>
      </c>
      <c r="G492" s="38" t="s">
        <v>146</v>
      </c>
      <c r="H492" s="37" t="str">
        <f>IF(CARGA_DIARIA!A492="","",C492-D492-E492)</f>
        <v/>
      </c>
    </row>
    <row r="493" spans="1:8" ht="15.75" customHeight="1" x14ac:dyDescent="0.25">
      <c r="A493" s="32" t="str">
        <f>IF(CARGA_DIARIA!A493="","",CARGA_DIARIA!A493)</f>
        <v/>
      </c>
      <c r="B493" s="33" t="str">
        <f>IF(CARGA_DIARIA!A493="","",CARGA_DIARIA!B493)</f>
        <v/>
      </c>
      <c r="C493" s="34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5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5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8" t="s">
        <v>146</v>
      </c>
      <c r="G493" s="38" t="s">
        <v>146</v>
      </c>
      <c r="H493" s="37" t="str">
        <f>IF(CARGA_DIARIA!A493="","",C493-D493-E493)</f>
        <v/>
      </c>
    </row>
    <row r="494" spans="1:8" ht="15.75" customHeight="1" x14ac:dyDescent="0.25">
      <c r="A494" s="32" t="str">
        <f>IF(CARGA_DIARIA!A494="","",CARGA_DIARIA!A494)</f>
        <v/>
      </c>
      <c r="B494" s="33" t="str">
        <f>IF(CARGA_DIARIA!A494="","",CARGA_DIARIA!B494)</f>
        <v/>
      </c>
      <c r="C494" s="34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5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5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8" t="s">
        <v>146</v>
      </c>
      <c r="G494" s="38" t="s">
        <v>146</v>
      </c>
      <c r="H494" s="37" t="str">
        <f>IF(CARGA_DIARIA!A494="","",C494-D494-E494)</f>
        <v/>
      </c>
    </row>
    <row r="495" spans="1:8" ht="15.75" customHeight="1" x14ac:dyDescent="0.25">
      <c r="A495" s="32" t="str">
        <f>IF(CARGA_DIARIA!A495="","",CARGA_DIARIA!A495)</f>
        <v/>
      </c>
      <c r="B495" s="33" t="str">
        <f>IF(CARGA_DIARIA!A495="","",CARGA_DIARIA!B495)</f>
        <v/>
      </c>
      <c r="C495" s="34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5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5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8" t="s">
        <v>146</v>
      </c>
      <c r="G495" s="38" t="s">
        <v>146</v>
      </c>
      <c r="H495" s="37" t="str">
        <f>IF(CARGA_DIARIA!A495="","",C495-D495-E495)</f>
        <v/>
      </c>
    </row>
    <row r="496" spans="1:8" ht="15.75" customHeight="1" x14ac:dyDescent="0.25">
      <c r="A496" s="32" t="str">
        <f>IF(CARGA_DIARIA!A496="","",CARGA_DIARIA!A496)</f>
        <v/>
      </c>
      <c r="B496" s="33" t="str">
        <f>IF(CARGA_DIARIA!A496="","",CARGA_DIARIA!B496)</f>
        <v/>
      </c>
      <c r="C496" s="34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5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5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8" t="s">
        <v>146</v>
      </c>
      <c r="G496" s="38" t="s">
        <v>146</v>
      </c>
      <c r="H496" s="37" t="str">
        <f>IF(CARGA_DIARIA!A496="","",C496-D496-E496)</f>
        <v/>
      </c>
    </row>
    <row r="497" spans="1:8" ht="15.75" customHeight="1" x14ac:dyDescent="0.25">
      <c r="A497" s="32" t="str">
        <f>IF(CARGA_DIARIA!A497="","",CARGA_DIARIA!A497)</f>
        <v/>
      </c>
      <c r="B497" s="33" t="str">
        <f>IF(CARGA_DIARIA!A497="","",CARGA_DIARIA!B497)</f>
        <v/>
      </c>
      <c r="C497" s="34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5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5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8" t="s">
        <v>146</v>
      </c>
      <c r="G497" s="38" t="s">
        <v>146</v>
      </c>
      <c r="H497" s="37" t="str">
        <f>IF(CARGA_DIARIA!A497="","",C497-D497-E497)</f>
        <v/>
      </c>
    </row>
    <row r="498" spans="1:8" ht="15.75" customHeight="1" x14ac:dyDescent="0.25">
      <c r="A498" s="32" t="str">
        <f>IF(CARGA_DIARIA!A498="","",CARGA_DIARIA!A498)</f>
        <v/>
      </c>
      <c r="B498" s="33" t="str">
        <f>IF(CARGA_DIARIA!A498="","",CARGA_DIARIA!B498)</f>
        <v/>
      </c>
      <c r="C498" s="34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5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5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8" t="s">
        <v>146</v>
      </c>
      <c r="G498" s="38" t="s">
        <v>146</v>
      </c>
      <c r="H498" s="37" t="str">
        <f>IF(CARGA_DIARIA!A498="","",C498-D498-E498)</f>
        <v/>
      </c>
    </row>
    <row r="499" spans="1:8" ht="15.75" customHeight="1" x14ac:dyDescent="0.25">
      <c r="A499" s="32" t="str">
        <f>IF(CARGA_DIARIA!A499="","",CARGA_DIARIA!A499)</f>
        <v/>
      </c>
      <c r="B499" s="33" t="str">
        <f>IF(CARGA_DIARIA!A499="","",CARGA_DIARIA!B499)</f>
        <v/>
      </c>
      <c r="C499" s="34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5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5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8" t="s">
        <v>146</v>
      </c>
      <c r="G499" s="38" t="s">
        <v>146</v>
      </c>
      <c r="H499" s="37" t="str">
        <f>IF(CARGA_DIARIA!A499="","",C499-D499-E499)</f>
        <v/>
      </c>
    </row>
    <row r="500" spans="1:8" ht="15.75" customHeight="1" x14ac:dyDescent="0.25">
      <c r="A500" s="32" t="str">
        <f>IF(CARGA_DIARIA!A500="","",CARGA_DIARIA!A500)</f>
        <v/>
      </c>
      <c r="B500" s="33" t="str">
        <f>IF(CARGA_DIARIA!A500="","",CARGA_DIARIA!B500)</f>
        <v/>
      </c>
      <c r="C500" s="34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5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5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8" t="s">
        <v>146</v>
      </c>
      <c r="G500" s="38" t="s">
        <v>146</v>
      </c>
      <c r="H500" s="37" t="str">
        <f>IF(CARGA_DIARIA!A500="","",C500-D500-E500)</f>
        <v/>
      </c>
    </row>
    <row r="501" spans="1:8" ht="15.75" customHeight="1" x14ac:dyDescent="0.25">
      <c r="A501" s="32" t="str">
        <f>IF(CARGA_DIARIA!A501="","",CARGA_DIARIA!A501)</f>
        <v/>
      </c>
      <c r="B501" s="33" t="str">
        <f>IF(CARGA_DIARIA!A501="","",CARGA_DIARIA!B501)</f>
        <v/>
      </c>
      <c r="C501" s="34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5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5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8" t="s">
        <v>146</v>
      </c>
      <c r="G501" s="38" t="s">
        <v>146</v>
      </c>
      <c r="H501" s="37" t="str">
        <f>IF(CARGA_DIARIA!A501="","",C501-D501-E501)</f>
        <v/>
      </c>
    </row>
    <row r="502" spans="1:8" ht="15.75" customHeight="1" x14ac:dyDescent="0.25">
      <c r="A502" s="32" t="str">
        <f>IF(CARGA_DIARIA!A502="","",CARGA_DIARIA!A502)</f>
        <v/>
      </c>
      <c r="B502" s="33" t="str">
        <f>IF(CARGA_DIARIA!A502="","",CARGA_DIARIA!B502)</f>
        <v/>
      </c>
      <c r="C502" s="34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5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5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8" t="s">
        <v>146</v>
      </c>
      <c r="G502" s="38" t="s">
        <v>146</v>
      </c>
      <c r="H502" s="37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18"/>
  <sheetViews>
    <sheetView showGridLines="0" zoomScaleNormal="100" workbookViewId="0">
      <pane ySplit="3" topLeftCell="A4" activePane="bottomLeft" state="frozen"/>
      <selection pane="bottomLeft" activeCell="A4" sqref="A4:XFD4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58" t="s">
        <v>147</v>
      </c>
      <c r="B1" s="58"/>
      <c r="C1" s="58"/>
      <c r="D1" s="58"/>
      <c r="E1" s="58"/>
      <c r="F1" s="58"/>
      <c r="G1" s="58"/>
    </row>
    <row r="2" spans="1:7" ht="15.75" customHeight="1" x14ac:dyDescent="0.25">
      <c r="A2" s="68" t="s">
        <v>148</v>
      </c>
      <c r="B2" s="68"/>
      <c r="C2" s="68"/>
      <c r="D2" s="68"/>
      <c r="E2" s="68"/>
      <c r="F2" s="68"/>
      <c r="G2" s="68"/>
    </row>
    <row r="3" spans="1:7" ht="30" customHeight="1" x14ac:dyDescent="0.25">
      <c r="A3" s="18" t="s">
        <v>149</v>
      </c>
      <c r="B3" s="18" t="s">
        <v>150</v>
      </c>
      <c r="C3" s="18" t="s">
        <v>125</v>
      </c>
      <c r="D3" s="18" t="s">
        <v>151</v>
      </c>
      <c r="E3" s="18" t="s">
        <v>152</v>
      </c>
      <c r="F3" s="18" t="s">
        <v>153</v>
      </c>
      <c r="G3" s="18" t="s">
        <v>154</v>
      </c>
    </row>
    <row r="4" spans="1:7" ht="15.75" customHeight="1" x14ac:dyDescent="0.25">
      <c r="A4" t="s">
        <v>832</v>
      </c>
      <c r="B4">
        <v>13378001</v>
      </c>
      <c r="C4">
        <v>3100000</v>
      </c>
      <c r="D4" s="13"/>
      <c r="E4" s="57">
        <v>46153</v>
      </c>
      <c r="F4" s="40">
        <f t="shared" ref="F4:F30" si="0">+E4+2</f>
        <v>46155</v>
      </c>
      <c r="G4" s="26"/>
    </row>
    <row r="5" spans="1:7" ht="15.75" customHeight="1" x14ac:dyDescent="0.25">
      <c r="A5" t="s">
        <v>832</v>
      </c>
      <c r="B5">
        <v>13378002</v>
      </c>
      <c r="C5">
        <v>3100000</v>
      </c>
      <c r="D5" s="13"/>
      <c r="E5" s="57">
        <v>46153</v>
      </c>
      <c r="F5" s="40">
        <f t="shared" si="0"/>
        <v>46155</v>
      </c>
      <c r="G5" s="26"/>
    </row>
    <row r="6" spans="1:7" ht="15.75" customHeight="1" x14ac:dyDescent="0.25">
      <c r="A6" t="s">
        <v>832</v>
      </c>
      <c r="B6">
        <v>13378003</v>
      </c>
      <c r="C6">
        <v>3100000</v>
      </c>
      <c r="D6" s="13"/>
      <c r="E6" s="57">
        <v>46153</v>
      </c>
      <c r="F6" s="40">
        <f t="shared" si="0"/>
        <v>46155</v>
      </c>
      <c r="G6" s="26"/>
    </row>
    <row r="7" spans="1:7" ht="15.75" customHeight="1" x14ac:dyDescent="0.25">
      <c r="A7" t="s">
        <v>844</v>
      </c>
      <c r="B7">
        <v>65991486</v>
      </c>
      <c r="C7">
        <v>10000000</v>
      </c>
      <c r="D7" s="13"/>
      <c r="E7" s="57">
        <v>46153</v>
      </c>
      <c r="F7" s="40">
        <f t="shared" si="0"/>
        <v>46155</v>
      </c>
      <c r="G7" s="26"/>
    </row>
    <row r="8" spans="1:7" ht="15.75" customHeight="1" x14ac:dyDescent="0.25">
      <c r="A8" t="s">
        <v>844</v>
      </c>
      <c r="B8">
        <v>65991495</v>
      </c>
      <c r="C8">
        <v>10000000</v>
      </c>
      <c r="D8" s="13"/>
      <c r="E8" s="57">
        <v>46153</v>
      </c>
      <c r="F8" s="40">
        <f t="shared" si="0"/>
        <v>46155</v>
      </c>
      <c r="G8" s="26"/>
    </row>
    <row r="9" spans="1:7" ht="15.75" customHeight="1" x14ac:dyDescent="0.25">
      <c r="A9" t="s">
        <v>844</v>
      </c>
      <c r="B9">
        <v>65991500</v>
      </c>
      <c r="C9">
        <v>10000000</v>
      </c>
      <c r="D9" s="13"/>
      <c r="E9" s="57">
        <v>46153</v>
      </c>
      <c r="F9" s="40">
        <f t="shared" si="0"/>
        <v>46155</v>
      </c>
      <c r="G9" s="26"/>
    </row>
    <row r="10" spans="1:7" ht="15.75" customHeight="1" x14ac:dyDescent="0.25">
      <c r="A10" t="s">
        <v>844</v>
      </c>
      <c r="B10">
        <v>65991510</v>
      </c>
      <c r="C10">
        <v>10000000</v>
      </c>
      <c r="D10" s="13"/>
      <c r="E10" s="57">
        <v>46153</v>
      </c>
      <c r="F10" s="40">
        <f t="shared" si="0"/>
        <v>46155</v>
      </c>
      <c r="G10" s="26"/>
    </row>
    <row r="11" spans="1:7" ht="15.75" customHeight="1" x14ac:dyDescent="0.25">
      <c r="A11" t="s">
        <v>844</v>
      </c>
      <c r="B11">
        <v>65991522</v>
      </c>
      <c r="C11">
        <v>9035234.8800000008</v>
      </c>
      <c r="D11" s="13"/>
      <c r="E11" s="57">
        <v>46153</v>
      </c>
      <c r="F11" s="40">
        <f t="shared" si="0"/>
        <v>46155</v>
      </c>
      <c r="G11" s="26"/>
    </row>
    <row r="12" spans="1:7" ht="15.75" customHeight="1" x14ac:dyDescent="0.25">
      <c r="A12" t="s">
        <v>842</v>
      </c>
      <c r="B12">
        <v>6747</v>
      </c>
      <c r="C12">
        <v>11370880</v>
      </c>
      <c r="D12" s="13"/>
      <c r="E12" s="57">
        <v>46153</v>
      </c>
      <c r="F12" s="40">
        <f t="shared" si="0"/>
        <v>46155</v>
      </c>
      <c r="G12" s="26"/>
    </row>
    <row r="13" spans="1:7" ht="15.75" customHeight="1" x14ac:dyDescent="0.25">
      <c r="A13" t="s">
        <v>833</v>
      </c>
      <c r="B13">
        <v>78055857</v>
      </c>
      <c r="C13">
        <v>1227000</v>
      </c>
      <c r="D13" s="13"/>
      <c r="E13" s="57">
        <v>46153</v>
      </c>
      <c r="F13" s="40">
        <f t="shared" si="0"/>
        <v>46155</v>
      </c>
      <c r="G13" s="26"/>
    </row>
    <row r="14" spans="1:7" ht="15.75" customHeight="1" x14ac:dyDescent="0.25">
      <c r="A14" t="s">
        <v>833</v>
      </c>
      <c r="B14">
        <v>78055863</v>
      </c>
      <c r="C14">
        <v>1325000</v>
      </c>
      <c r="D14" s="13"/>
      <c r="E14" s="57">
        <v>46153</v>
      </c>
      <c r="F14" s="40">
        <f t="shared" si="0"/>
        <v>46155</v>
      </c>
      <c r="G14" s="26"/>
    </row>
    <row r="15" spans="1:7" ht="15.75" customHeight="1" x14ac:dyDescent="0.25">
      <c r="A15" t="s">
        <v>841</v>
      </c>
      <c r="B15">
        <v>29057187</v>
      </c>
      <c r="C15">
        <v>43000000</v>
      </c>
      <c r="D15" s="13"/>
      <c r="E15" s="57">
        <v>46153</v>
      </c>
      <c r="F15" s="40">
        <f t="shared" si="0"/>
        <v>46155</v>
      </c>
      <c r="G15" s="26"/>
    </row>
    <row r="16" spans="1:7" ht="15.75" customHeight="1" x14ac:dyDescent="0.25">
      <c r="A16" t="s">
        <v>845</v>
      </c>
      <c r="B16">
        <v>9487742</v>
      </c>
      <c r="C16">
        <v>12289006.199999999</v>
      </c>
      <c r="D16" s="13"/>
      <c r="E16" s="57">
        <v>46153</v>
      </c>
      <c r="F16" s="40">
        <f t="shared" si="0"/>
        <v>46155</v>
      </c>
      <c r="G16" s="26"/>
    </row>
    <row r="17" spans="1:7" ht="15.75" customHeight="1" x14ac:dyDescent="0.25">
      <c r="A17" t="s">
        <v>830</v>
      </c>
      <c r="B17">
        <v>14974124</v>
      </c>
      <c r="C17">
        <v>990000</v>
      </c>
      <c r="D17" s="13"/>
      <c r="E17" s="57">
        <v>46153</v>
      </c>
      <c r="F17" s="40">
        <f t="shared" si="0"/>
        <v>46155</v>
      </c>
      <c r="G17" s="26"/>
    </row>
    <row r="18" spans="1:7" ht="15.75" customHeight="1" x14ac:dyDescent="0.25">
      <c r="A18" t="s">
        <v>835</v>
      </c>
      <c r="B18">
        <v>9583068</v>
      </c>
      <c r="C18">
        <v>12938400</v>
      </c>
      <c r="D18" s="13"/>
      <c r="E18" s="57">
        <v>46153</v>
      </c>
      <c r="F18" s="40">
        <f t="shared" si="0"/>
        <v>46155</v>
      </c>
      <c r="G18" s="26"/>
    </row>
    <row r="19" spans="1:7" ht="15.75" customHeight="1" x14ac:dyDescent="0.25">
      <c r="A19" t="s">
        <v>831</v>
      </c>
      <c r="B19">
        <v>12924512</v>
      </c>
      <c r="C19">
        <v>10000000</v>
      </c>
      <c r="D19" s="13"/>
      <c r="E19" s="57">
        <v>46153</v>
      </c>
      <c r="F19" s="40">
        <f t="shared" si="0"/>
        <v>46155</v>
      </c>
      <c r="G19" s="26"/>
    </row>
    <row r="20" spans="1:7" ht="15.75" customHeight="1" x14ac:dyDescent="0.25">
      <c r="A20" t="s">
        <v>838</v>
      </c>
      <c r="B20">
        <v>4537</v>
      </c>
      <c r="C20">
        <v>930000</v>
      </c>
      <c r="D20" s="13"/>
      <c r="E20" s="57">
        <v>46153</v>
      </c>
      <c r="F20" s="40">
        <f t="shared" si="0"/>
        <v>46155</v>
      </c>
      <c r="G20" s="26"/>
    </row>
    <row r="21" spans="1:7" ht="15.75" customHeight="1" x14ac:dyDescent="0.25">
      <c r="A21" t="s">
        <v>838</v>
      </c>
      <c r="B21">
        <v>4571</v>
      </c>
      <c r="C21">
        <v>1300000</v>
      </c>
      <c r="D21" s="13"/>
      <c r="E21" s="57">
        <v>46153</v>
      </c>
      <c r="F21" s="40">
        <f t="shared" si="0"/>
        <v>46155</v>
      </c>
      <c r="G21" s="26"/>
    </row>
    <row r="22" spans="1:7" ht="15.75" customHeight="1" x14ac:dyDescent="0.25">
      <c r="A22" t="s">
        <v>846</v>
      </c>
      <c r="B22">
        <v>9564653</v>
      </c>
      <c r="C22">
        <v>2754200</v>
      </c>
      <c r="D22" s="13"/>
      <c r="E22" s="57">
        <v>46153</v>
      </c>
      <c r="F22" s="40">
        <f t="shared" si="0"/>
        <v>46155</v>
      </c>
      <c r="G22" s="26"/>
    </row>
    <row r="23" spans="1:7" ht="15.75" customHeight="1" x14ac:dyDescent="0.25">
      <c r="A23" t="s">
        <v>846</v>
      </c>
      <c r="B23">
        <v>9564654</v>
      </c>
      <c r="C23">
        <v>4500000</v>
      </c>
      <c r="D23" s="13"/>
      <c r="E23" s="57">
        <v>46153</v>
      </c>
      <c r="F23" s="40">
        <f t="shared" si="0"/>
        <v>46155</v>
      </c>
      <c r="G23" s="26"/>
    </row>
    <row r="24" spans="1:7" ht="15.75" customHeight="1" x14ac:dyDescent="0.25">
      <c r="A24" t="s">
        <v>846</v>
      </c>
      <c r="B24">
        <v>9564655</v>
      </c>
      <c r="C24">
        <v>4500000</v>
      </c>
      <c r="D24" s="13"/>
      <c r="E24" s="57">
        <v>46153</v>
      </c>
      <c r="F24" s="40">
        <f t="shared" si="0"/>
        <v>46155</v>
      </c>
      <c r="G24" s="26"/>
    </row>
    <row r="25" spans="1:7" ht="15.75" customHeight="1" x14ac:dyDescent="0.25">
      <c r="A25" t="s">
        <v>846</v>
      </c>
      <c r="B25">
        <v>9564656</v>
      </c>
      <c r="C25">
        <v>4500000</v>
      </c>
      <c r="D25" s="13"/>
      <c r="E25" s="57">
        <v>46153</v>
      </c>
      <c r="F25" s="40">
        <f t="shared" si="0"/>
        <v>46155</v>
      </c>
      <c r="G25" s="26"/>
    </row>
    <row r="26" spans="1:7" ht="15.75" customHeight="1" x14ac:dyDescent="0.25">
      <c r="A26" t="s">
        <v>846</v>
      </c>
      <c r="B26">
        <v>697</v>
      </c>
      <c r="C26">
        <v>5000000</v>
      </c>
      <c r="D26" s="13"/>
      <c r="E26" s="57">
        <v>46153</v>
      </c>
      <c r="F26" s="40">
        <f t="shared" si="0"/>
        <v>46155</v>
      </c>
      <c r="G26" s="26"/>
    </row>
    <row r="27" spans="1:7" ht="15.75" customHeight="1" x14ac:dyDescent="0.25">
      <c r="A27" t="s">
        <v>846</v>
      </c>
      <c r="B27">
        <v>698</v>
      </c>
      <c r="C27">
        <v>6756340</v>
      </c>
      <c r="D27" s="13"/>
      <c r="E27" s="57">
        <v>46153</v>
      </c>
      <c r="F27" s="40">
        <f t="shared" si="0"/>
        <v>46155</v>
      </c>
      <c r="G27" s="26"/>
    </row>
    <row r="28" spans="1:7" ht="15.75" customHeight="1" x14ac:dyDescent="0.25">
      <c r="A28" t="s">
        <v>846</v>
      </c>
      <c r="B28">
        <v>699</v>
      </c>
      <c r="C28">
        <v>5000000</v>
      </c>
      <c r="D28" s="13"/>
      <c r="E28" s="57">
        <v>46153</v>
      </c>
      <c r="F28" s="40">
        <f t="shared" si="0"/>
        <v>46155</v>
      </c>
      <c r="G28" s="26"/>
    </row>
    <row r="29" spans="1:7" ht="15.75" customHeight="1" x14ac:dyDescent="0.25">
      <c r="A29" t="s">
        <v>846</v>
      </c>
      <c r="B29">
        <v>700</v>
      </c>
      <c r="C29">
        <v>5000000</v>
      </c>
      <c r="D29" s="13"/>
      <c r="E29" s="57">
        <v>46153</v>
      </c>
      <c r="F29" s="40">
        <f t="shared" si="0"/>
        <v>46155</v>
      </c>
      <c r="G29" s="26"/>
    </row>
    <row r="30" spans="1:7" ht="15.75" customHeight="1" x14ac:dyDescent="0.25">
      <c r="A30" t="s">
        <v>846</v>
      </c>
      <c r="B30">
        <v>701</v>
      </c>
      <c r="C30">
        <v>5000000</v>
      </c>
      <c r="D30" s="13"/>
      <c r="E30" s="57">
        <v>46153</v>
      </c>
      <c r="F30" s="40">
        <f t="shared" si="0"/>
        <v>46155</v>
      </c>
      <c r="G30" s="26"/>
    </row>
    <row r="31" spans="1:7" ht="15.75" customHeight="1" x14ac:dyDescent="0.25">
      <c r="A31" t="s">
        <v>846</v>
      </c>
      <c r="B31">
        <v>711</v>
      </c>
      <c r="C31">
        <v>5000000</v>
      </c>
      <c r="D31" s="13"/>
      <c r="E31" s="57">
        <v>46153</v>
      </c>
      <c r="F31" s="40">
        <f t="shared" ref="F31:F94" si="1">+E31+2</f>
        <v>46155</v>
      </c>
      <c r="G31" s="26"/>
    </row>
    <row r="32" spans="1:7" ht="15.75" customHeight="1" x14ac:dyDescent="0.25">
      <c r="A32" t="s">
        <v>833</v>
      </c>
      <c r="B32">
        <v>78055880</v>
      </c>
      <c r="C32">
        <v>500000</v>
      </c>
      <c r="D32" s="13"/>
      <c r="E32" s="57">
        <v>46153</v>
      </c>
      <c r="F32" s="40">
        <f t="shared" si="1"/>
        <v>46155</v>
      </c>
      <c r="G32" s="26"/>
    </row>
    <row r="33" spans="1:7" ht="15.75" customHeight="1" x14ac:dyDescent="0.25">
      <c r="A33" t="s">
        <v>833</v>
      </c>
      <c r="B33">
        <v>78055888</v>
      </c>
      <c r="C33">
        <v>890000</v>
      </c>
      <c r="D33" s="13"/>
      <c r="E33" s="57">
        <v>46153</v>
      </c>
      <c r="F33" s="40">
        <f t="shared" si="1"/>
        <v>46155</v>
      </c>
      <c r="G33" s="26"/>
    </row>
    <row r="34" spans="1:7" ht="15.75" customHeight="1" x14ac:dyDescent="0.25">
      <c r="A34" t="s">
        <v>847</v>
      </c>
      <c r="B34">
        <v>120</v>
      </c>
      <c r="C34">
        <v>3000343.8</v>
      </c>
      <c r="D34" s="13"/>
      <c r="E34" s="57">
        <v>46153</v>
      </c>
      <c r="F34" s="40">
        <f t="shared" si="1"/>
        <v>46155</v>
      </c>
      <c r="G34" s="26"/>
    </row>
    <row r="35" spans="1:7" ht="15.75" customHeight="1" x14ac:dyDescent="0.25">
      <c r="A35" t="s">
        <v>847</v>
      </c>
      <c r="B35">
        <v>121</v>
      </c>
      <c r="C35">
        <v>4024000</v>
      </c>
      <c r="D35" s="13"/>
      <c r="E35" s="57">
        <v>46153</v>
      </c>
      <c r="F35" s="40">
        <f t="shared" si="1"/>
        <v>46155</v>
      </c>
      <c r="G35" s="26"/>
    </row>
    <row r="36" spans="1:7" ht="15.75" customHeight="1" x14ac:dyDescent="0.25">
      <c r="A36" t="s">
        <v>832</v>
      </c>
      <c r="B36">
        <v>13378004</v>
      </c>
      <c r="C36">
        <v>3100000</v>
      </c>
      <c r="D36" s="13"/>
      <c r="E36" s="57">
        <v>46154</v>
      </c>
      <c r="F36" s="40">
        <f t="shared" si="1"/>
        <v>46156</v>
      </c>
      <c r="G36" s="26"/>
    </row>
    <row r="37" spans="1:7" ht="15.75" customHeight="1" x14ac:dyDescent="0.25">
      <c r="A37" t="s">
        <v>832</v>
      </c>
      <c r="B37">
        <v>13378019</v>
      </c>
      <c r="C37">
        <v>2027843.4</v>
      </c>
      <c r="D37" s="13"/>
      <c r="E37" s="57">
        <v>46154</v>
      </c>
      <c r="F37" s="40">
        <f t="shared" si="1"/>
        <v>46156</v>
      </c>
      <c r="G37" s="26"/>
    </row>
    <row r="38" spans="1:7" ht="15.75" customHeight="1" x14ac:dyDescent="0.25">
      <c r="A38" t="s">
        <v>833</v>
      </c>
      <c r="B38">
        <v>78055864</v>
      </c>
      <c r="C38">
        <v>1325000</v>
      </c>
      <c r="D38" s="13"/>
      <c r="E38" s="57">
        <v>46154</v>
      </c>
      <c r="F38" s="40">
        <f t="shared" si="1"/>
        <v>46156</v>
      </c>
      <c r="G38" s="26"/>
    </row>
    <row r="39" spans="1:7" ht="15.75" customHeight="1" x14ac:dyDescent="0.25">
      <c r="A39" t="s">
        <v>831</v>
      </c>
      <c r="B39">
        <v>12924513</v>
      </c>
      <c r="C39">
        <v>10000000</v>
      </c>
      <c r="D39" s="13"/>
      <c r="E39" s="57">
        <v>46154</v>
      </c>
      <c r="F39" s="40">
        <f t="shared" si="1"/>
        <v>46156</v>
      </c>
      <c r="G39" s="26"/>
    </row>
    <row r="40" spans="1:7" ht="15.75" customHeight="1" x14ac:dyDescent="0.25">
      <c r="A40" t="s">
        <v>838</v>
      </c>
      <c r="B40">
        <v>4538</v>
      </c>
      <c r="C40">
        <v>930000</v>
      </c>
      <c r="D40" s="13"/>
      <c r="E40" s="57">
        <v>46154</v>
      </c>
      <c r="F40" s="40">
        <f t="shared" si="1"/>
        <v>46156</v>
      </c>
      <c r="G40" s="26"/>
    </row>
    <row r="41" spans="1:7" ht="15.75" customHeight="1" x14ac:dyDescent="0.25">
      <c r="A41" t="s">
        <v>838</v>
      </c>
      <c r="B41">
        <v>4572</v>
      </c>
      <c r="C41">
        <v>1300000</v>
      </c>
      <c r="D41" s="13"/>
      <c r="E41" s="57">
        <v>46154</v>
      </c>
      <c r="F41" s="40">
        <f t="shared" si="1"/>
        <v>46156</v>
      </c>
      <c r="G41" s="26"/>
    </row>
    <row r="42" spans="1:7" ht="15.75" customHeight="1" x14ac:dyDescent="0.25">
      <c r="A42" t="s">
        <v>833</v>
      </c>
      <c r="B42">
        <v>78055881</v>
      </c>
      <c r="C42">
        <v>500000</v>
      </c>
      <c r="D42" s="13"/>
      <c r="E42" s="57">
        <v>46154</v>
      </c>
      <c r="F42" s="40">
        <f t="shared" si="1"/>
        <v>46156</v>
      </c>
      <c r="G42" s="26"/>
    </row>
    <row r="43" spans="1:7" ht="15.75" customHeight="1" x14ac:dyDescent="0.25">
      <c r="A43" t="s">
        <v>833</v>
      </c>
      <c r="B43">
        <v>78055889</v>
      </c>
      <c r="C43">
        <v>890000</v>
      </c>
      <c r="D43" s="13"/>
      <c r="E43" s="57">
        <v>46154</v>
      </c>
      <c r="F43" s="40">
        <f t="shared" si="1"/>
        <v>46156</v>
      </c>
      <c r="G43" s="26"/>
    </row>
    <row r="44" spans="1:7" ht="15.75" customHeight="1" x14ac:dyDescent="0.25">
      <c r="A44" t="s">
        <v>832</v>
      </c>
      <c r="B44">
        <v>13378005</v>
      </c>
      <c r="C44">
        <v>3100000</v>
      </c>
      <c r="D44" s="13"/>
      <c r="E44" s="57">
        <v>46155</v>
      </c>
      <c r="F44" s="40">
        <f t="shared" si="1"/>
        <v>46157</v>
      </c>
      <c r="G44" s="26"/>
    </row>
    <row r="45" spans="1:7" ht="15.75" customHeight="1" x14ac:dyDescent="0.25">
      <c r="A45" t="s">
        <v>832</v>
      </c>
      <c r="B45">
        <v>13378020</v>
      </c>
      <c r="C45">
        <v>2200000</v>
      </c>
      <c r="D45" s="13"/>
      <c r="E45" s="57">
        <v>46155</v>
      </c>
      <c r="F45" s="40">
        <f t="shared" si="1"/>
        <v>46157</v>
      </c>
      <c r="G45" s="26"/>
    </row>
    <row r="46" spans="1:7" ht="15.75" customHeight="1" x14ac:dyDescent="0.25">
      <c r="A46" t="s">
        <v>831</v>
      </c>
      <c r="B46">
        <v>12924514</v>
      </c>
      <c r="C46">
        <v>10000000</v>
      </c>
      <c r="D46" s="13"/>
      <c r="E46" s="57">
        <v>46155</v>
      </c>
      <c r="F46" s="40">
        <f t="shared" si="1"/>
        <v>46157</v>
      </c>
      <c r="G46" s="26"/>
    </row>
    <row r="47" spans="1:7" ht="15.75" customHeight="1" x14ac:dyDescent="0.25">
      <c r="A47" t="s">
        <v>838</v>
      </c>
      <c r="B47">
        <v>4539</v>
      </c>
      <c r="C47">
        <v>930000</v>
      </c>
      <c r="D47" s="13"/>
      <c r="E47" s="57">
        <v>46155</v>
      </c>
      <c r="F47" s="40">
        <f t="shared" si="1"/>
        <v>46157</v>
      </c>
      <c r="G47" s="26"/>
    </row>
    <row r="48" spans="1:7" ht="15.75" customHeight="1" x14ac:dyDescent="0.25">
      <c r="A48" t="s">
        <v>838</v>
      </c>
      <c r="B48">
        <v>4573</v>
      </c>
      <c r="C48">
        <v>1300000</v>
      </c>
      <c r="D48" s="13"/>
      <c r="E48" s="57">
        <v>46155</v>
      </c>
      <c r="F48" s="40">
        <f t="shared" si="1"/>
        <v>46157</v>
      </c>
      <c r="G48" s="26"/>
    </row>
    <row r="49" spans="1:7" ht="15.75" customHeight="1" x14ac:dyDescent="0.25">
      <c r="A49" t="s">
        <v>837</v>
      </c>
      <c r="B49">
        <v>1367</v>
      </c>
      <c r="C49">
        <v>25000000</v>
      </c>
      <c r="D49" s="13"/>
      <c r="E49" s="57">
        <v>46155</v>
      </c>
      <c r="F49" s="40">
        <f t="shared" si="1"/>
        <v>46157</v>
      </c>
      <c r="G49" s="26"/>
    </row>
    <row r="50" spans="1:7" ht="15.75" customHeight="1" x14ac:dyDescent="0.25">
      <c r="A50" t="s">
        <v>832</v>
      </c>
      <c r="B50">
        <v>13378006</v>
      </c>
      <c r="C50">
        <v>3100000</v>
      </c>
      <c r="D50" s="13"/>
      <c r="E50" s="57">
        <v>46156</v>
      </c>
      <c r="F50" s="40">
        <f t="shared" si="1"/>
        <v>46158</v>
      </c>
      <c r="G50" s="26"/>
    </row>
    <row r="51" spans="1:7" ht="15.75" customHeight="1" x14ac:dyDescent="0.25">
      <c r="A51" t="s">
        <v>832</v>
      </c>
      <c r="B51">
        <v>13378021</v>
      </c>
      <c r="C51">
        <v>2200000</v>
      </c>
      <c r="D51" s="13"/>
      <c r="E51" s="57">
        <v>46156</v>
      </c>
      <c r="F51" s="40">
        <f t="shared" si="1"/>
        <v>46158</v>
      </c>
      <c r="G51" s="26"/>
    </row>
    <row r="52" spans="1:7" ht="15.75" customHeight="1" x14ac:dyDescent="0.25">
      <c r="A52" t="s">
        <v>833</v>
      </c>
      <c r="B52">
        <v>78055865</v>
      </c>
      <c r="C52">
        <v>1325000</v>
      </c>
      <c r="D52" s="13"/>
      <c r="E52" s="57">
        <v>46156</v>
      </c>
      <c r="F52" s="40">
        <f t="shared" si="1"/>
        <v>46158</v>
      </c>
      <c r="G52" s="26"/>
    </row>
    <row r="53" spans="1:7" ht="15.75" customHeight="1" x14ac:dyDescent="0.25">
      <c r="A53" t="s">
        <v>831</v>
      </c>
      <c r="B53">
        <v>12924515</v>
      </c>
      <c r="C53">
        <v>10000000</v>
      </c>
      <c r="D53" s="13"/>
      <c r="E53" s="57">
        <v>46156</v>
      </c>
      <c r="F53" s="40">
        <f t="shared" si="1"/>
        <v>46158</v>
      </c>
      <c r="G53" s="26"/>
    </row>
    <row r="54" spans="1:7" ht="15.75" customHeight="1" x14ac:dyDescent="0.25">
      <c r="A54" t="s">
        <v>839</v>
      </c>
      <c r="B54">
        <v>4959</v>
      </c>
      <c r="C54">
        <v>3118540</v>
      </c>
      <c r="D54" s="13"/>
      <c r="E54" s="57">
        <v>46156</v>
      </c>
      <c r="F54" s="40">
        <f t="shared" si="1"/>
        <v>46158</v>
      </c>
      <c r="G54" s="26"/>
    </row>
    <row r="55" spans="1:7" ht="15.75" customHeight="1" x14ac:dyDescent="0.25">
      <c r="A55" t="s">
        <v>833</v>
      </c>
      <c r="B55">
        <v>78055890</v>
      </c>
      <c r="C55">
        <v>890000</v>
      </c>
      <c r="D55" s="13"/>
      <c r="E55" s="57">
        <v>46156</v>
      </c>
      <c r="F55" s="40">
        <f t="shared" si="1"/>
        <v>46158</v>
      </c>
      <c r="G55" s="26"/>
    </row>
    <row r="56" spans="1:7" ht="15.75" customHeight="1" x14ac:dyDescent="0.25">
      <c r="A56" t="s">
        <v>833</v>
      </c>
      <c r="B56">
        <v>8055882</v>
      </c>
      <c r="C56">
        <v>500000</v>
      </c>
      <c r="D56" s="13"/>
      <c r="E56" s="57">
        <v>46156</v>
      </c>
      <c r="F56" s="40">
        <f t="shared" si="1"/>
        <v>46158</v>
      </c>
      <c r="G56" s="26"/>
    </row>
    <row r="57" spans="1:7" ht="15.75" customHeight="1" x14ac:dyDescent="0.25">
      <c r="A57" t="s">
        <v>832</v>
      </c>
      <c r="B57">
        <v>13378022</v>
      </c>
      <c r="C57">
        <v>2200000</v>
      </c>
      <c r="D57" s="13"/>
      <c r="E57" s="57">
        <v>46157</v>
      </c>
      <c r="F57" s="40">
        <f t="shared" si="1"/>
        <v>46159</v>
      </c>
      <c r="G57" s="26"/>
    </row>
    <row r="58" spans="1:7" ht="15.75" customHeight="1" x14ac:dyDescent="0.25">
      <c r="A58" t="s">
        <v>833</v>
      </c>
      <c r="B58">
        <v>78055866</v>
      </c>
      <c r="C58">
        <v>1325000</v>
      </c>
      <c r="D58" s="13"/>
      <c r="E58" s="57">
        <v>46157</v>
      </c>
      <c r="F58" s="40">
        <f t="shared" si="1"/>
        <v>46159</v>
      </c>
      <c r="G58" s="26"/>
    </row>
    <row r="59" spans="1:7" ht="15.75" customHeight="1" x14ac:dyDescent="0.25">
      <c r="A59" t="s">
        <v>842</v>
      </c>
      <c r="B59">
        <v>6769</v>
      </c>
      <c r="C59">
        <v>17049600</v>
      </c>
      <c r="D59" s="13"/>
      <c r="E59" s="57">
        <v>46157</v>
      </c>
      <c r="F59" s="40">
        <f t="shared" si="1"/>
        <v>46159</v>
      </c>
      <c r="G59" s="26"/>
    </row>
    <row r="60" spans="1:7" ht="15.75" customHeight="1" x14ac:dyDescent="0.25">
      <c r="A60" t="s">
        <v>831</v>
      </c>
      <c r="B60">
        <v>12924516</v>
      </c>
      <c r="C60">
        <v>10000000</v>
      </c>
      <c r="D60" s="13"/>
      <c r="E60" s="57">
        <v>46157</v>
      </c>
      <c r="F60" s="40">
        <f t="shared" si="1"/>
        <v>46159</v>
      </c>
      <c r="G60" s="26"/>
    </row>
    <row r="61" spans="1:7" ht="15.75" customHeight="1" x14ac:dyDescent="0.25">
      <c r="A61" t="s">
        <v>836</v>
      </c>
      <c r="B61">
        <v>29117288</v>
      </c>
      <c r="C61">
        <v>10000000</v>
      </c>
      <c r="D61" s="13"/>
      <c r="E61" s="57">
        <v>46157</v>
      </c>
      <c r="F61" s="40">
        <f t="shared" si="1"/>
        <v>46159</v>
      </c>
      <c r="G61" s="26"/>
    </row>
    <row r="62" spans="1:7" ht="15.75" customHeight="1" x14ac:dyDescent="0.25">
      <c r="A62" t="s">
        <v>838</v>
      </c>
      <c r="B62">
        <v>4540</v>
      </c>
      <c r="C62">
        <v>891750</v>
      </c>
      <c r="D62" s="13"/>
      <c r="E62" s="57">
        <v>46157</v>
      </c>
      <c r="F62" s="40">
        <f t="shared" si="1"/>
        <v>46159</v>
      </c>
      <c r="G62" s="26"/>
    </row>
    <row r="63" spans="1:7" ht="15.75" customHeight="1" x14ac:dyDescent="0.25">
      <c r="A63" t="s">
        <v>838</v>
      </c>
      <c r="B63">
        <v>4574</v>
      </c>
      <c r="C63">
        <v>1300000</v>
      </c>
      <c r="D63" s="13"/>
      <c r="E63" s="57">
        <v>46157</v>
      </c>
      <c r="F63" s="40">
        <f t="shared" si="1"/>
        <v>46159</v>
      </c>
      <c r="G63" s="26"/>
    </row>
    <row r="64" spans="1:7" ht="15.75" customHeight="1" x14ac:dyDescent="0.25">
      <c r="A64" t="s">
        <v>836</v>
      </c>
      <c r="B64">
        <v>3360</v>
      </c>
      <c r="C64">
        <v>2190000</v>
      </c>
      <c r="D64" s="13"/>
      <c r="E64" s="57">
        <v>46157</v>
      </c>
      <c r="F64" s="40">
        <f t="shared" si="1"/>
        <v>46159</v>
      </c>
      <c r="G64" s="26"/>
    </row>
    <row r="65" spans="1:7" ht="15.75" customHeight="1" x14ac:dyDescent="0.25">
      <c r="A65" t="s">
        <v>833</v>
      </c>
      <c r="B65">
        <v>78055883</v>
      </c>
      <c r="C65">
        <v>500000</v>
      </c>
      <c r="D65" s="13"/>
      <c r="E65" s="57">
        <v>46157</v>
      </c>
      <c r="F65" s="40">
        <f t="shared" si="1"/>
        <v>46159</v>
      </c>
      <c r="G65" s="26"/>
    </row>
    <row r="66" spans="1:7" ht="15.75" customHeight="1" x14ac:dyDescent="0.25">
      <c r="A66" t="s">
        <v>833</v>
      </c>
      <c r="B66">
        <v>78055891</v>
      </c>
      <c r="C66">
        <v>890000</v>
      </c>
      <c r="D66" s="13"/>
      <c r="E66" s="57">
        <v>46157</v>
      </c>
      <c r="F66" s="40">
        <f t="shared" si="1"/>
        <v>46159</v>
      </c>
      <c r="G66" s="26"/>
    </row>
    <row r="67" spans="1:7" ht="15.75" customHeight="1" x14ac:dyDescent="0.25">
      <c r="A67" t="s">
        <v>847</v>
      </c>
      <c r="B67">
        <v>122</v>
      </c>
      <c r="C67">
        <v>3000261.82</v>
      </c>
      <c r="D67" s="13"/>
      <c r="E67" s="57">
        <v>46157</v>
      </c>
      <c r="F67" s="40">
        <f t="shared" si="1"/>
        <v>46159</v>
      </c>
      <c r="G67" s="26"/>
    </row>
    <row r="68" spans="1:7" ht="15.75" customHeight="1" x14ac:dyDescent="0.25">
      <c r="A68" t="s">
        <v>847</v>
      </c>
      <c r="B68">
        <v>123</v>
      </c>
      <c r="C68">
        <v>3870000</v>
      </c>
      <c r="D68" s="13"/>
      <c r="E68" s="57">
        <v>46157</v>
      </c>
      <c r="F68" s="40">
        <f t="shared" si="1"/>
        <v>46159</v>
      </c>
      <c r="G68" s="26"/>
    </row>
    <row r="69" spans="1:7" ht="15.75" customHeight="1" x14ac:dyDescent="0.25">
      <c r="A69" t="s">
        <v>847</v>
      </c>
      <c r="B69">
        <v>124</v>
      </c>
      <c r="C69">
        <v>4000000</v>
      </c>
      <c r="D69" s="13"/>
      <c r="E69" s="57">
        <v>46157</v>
      </c>
      <c r="F69" s="40">
        <f t="shared" si="1"/>
        <v>46159</v>
      </c>
      <c r="G69" s="26"/>
    </row>
    <row r="70" spans="1:7" ht="15.75" customHeight="1" x14ac:dyDescent="0.25">
      <c r="A70" t="s">
        <v>834</v>
      </c>
      <c r="B70">
        <v>66486728</v>
      </c>
      <c r="C70">
        <v>4528200</v>
      </c>
      <c r="D70" s="13"/>
      <c r="E70" s="57">
        <v>46157</v>
      </c>
      <c r="F70" s="40">
        <f t="shared" si="1"/>
        <v>46159</v>
      </c>
      <c r="G70" s="26"/>
    </row>
    <row r="71" spans="1:7" ht="15.75" customHeight="1" x14ac:dyDescent="0.25">
      <c r="A71" t="s">
        <v>843</v>
      </c>
      <c r="B71">
        <v>61747694</v>
      </c>
      <c r="C71">
        <v>7365600</v>
      </c>
      <c r="D71" s="13"/>
      <c r="E71" s="57">
        <v>46157</v>
      </c>
      <c r="F71" s="40">
        <f t="shared" si="1"/>
        <v>46159</v>
      </c>
      <c r="G71" s="26"/>
    </row>
    <row r="72" spans="1:7" ht="15.75" customHeight="1" x14ac:dyDescent="0.25">
      <c r="A72" t="s">
        <v>838</v>
      </c>
      <c r="B72">
        <v>4628</v>
      </c>
      <c r="C72">
        <v>1300000</v>
      </c>
      <c r="D72" s="13"/>
      <c r="E72" s="57">
        <v>46157</v>
      </c>
      <c r="F72" s="40">
        <f t="shared" si="1"/>
        <v>46159</v>
      </c>
      <c r="G72" s="26"/>
    </row>
    <row r="73" spans="1:7" ht="15.75" customHeight="1" x14ac:dyDescent="0.25">
      <c r="A73" t="s">
        <v>848</v>
      </c>
      <c r="B73">
        <v>3436586</v>
      </c>
      <c r="C73">
        <v>1800000</v>
      </c>
      <c r="D73" s="13"/>
      <c r="E73" s="57">
        <v>46160</v>
      </c>
      <c r="F73" s="40">
        <f t="shared" si="1"/>
        <v>46162</v>
      </c>
      <c r="G73" s="26"/>
    </row>
    <row r="74" spans="1:7" ht="15.75" customHeight="1" x14ac:dyDescent="0.25">
      <c r="A74" t="s">
        <v>848</v>
      </c>
      <c r="B74">
        <v>3436587</v>
      </c>
      <c r="C74">
        <v>1850000</v>
      </c>
      <c r="D74" s="13"/>
      <c r="E74" s="57">
        <v>46160</v>
      </c>
      <c r="F74" s="40">
        <f t="shared" si="1"/>
        <v>46162</v>
      </c>
      <c r="G74" s="26"/>
    </row>
    <row r="75" spans="1:7" ht="15.75" customHeight="1" x14ac:dyDescent="0.25">
      <c r="A75" t="s">
        <v>833</v>
      </c>
      <c r="B75">
        <v>78055867</v>
      </c>
      <c r="C75">
        <v>1324500</v>
      </c>
      <c r="D75" s="13"/>
      <c r="E75" s="57">
        <v>46160</v>
      </c>
      <c r="F75" s="40">
        <f t="shared" si="1"/>
        <v>46162</v>
      </c>
      <c r="G75" s="26"/>
    </row>
    <row r="76" spans="1:7" ht="15.75" customHeight="1" x14ac:dyDescent="0.25">
      <c r="A76" t="s">
        <v>845</v>
      </c>
      <c r="B76">
        <v>9487743</v>
      </c>
      <c r="C76">
        <v>12220447.59</v>
      </c>
      <c r="D76" s="13"/>
      <c r="E76" s="57">
        <v>46160</v>
      </c>
      <c r="F76" s="40">
        <f t="shared" si="1"/>
        <v>46162</v>
      </c>
      <c r="G76" s="26"/>
    </row>
    <row r="77" spans="1:7" ht="15.75" customHeight="1" x14ac:dyDescent="0.25">
      <c r="A77" t="s">
        <v>831</v>
      </c>
      <c r="B77">
        <v>12924517</v>
      </c>
      <c r="C77">
        <v>7374980</v>
      </c>
      <c r="D77" s="13"/>
      <c r="E77" s="57">
        <v>46160</v>
      </c>
      <c r="F77" s="40">
        <f t="shared" si="1"/>
        <v>46162</v>
      </c>
      <c r="G77" s="26"/>
    </row>
    <row r="78" spans="1:7" ht="15.75" customHeight="1" x14ac:dyDescent="0.25">
      <c r="A78" t="s">
        <v>838</v>
      </c>
      <c r="B78">
        <v>4575</v>
      </c>
      <c r="C78">
        <v>1300000</v>
      </c>
      <c r="D78" s="13"/>
      <c r="E78" s="57">
        <v>46160</v>
      </c>
      <c r="F78" s="40">
        <f t="shared" si="1"/>
        <v>46162</v>
      </c>
      <c r="G78" s="26"/>
    </row>
    <row r="79" spans="1:7" ht="15.75" customHeight="1" x14ac:dyDescent="0.25">
      <c r="A79" t="s">
        <v>846</v>
      </c>
      <c r="B79">
        <v>674</v>
      </c>
      <c r="C79">
        <v>4500000</v>
      </c>
      <c r="D79" s="13"/>
      <c r="E79" s="57">
        <v>46160</v>
      </c>
      <c r="F79" s="40">
        <f t="shared" si="1"/>
        <v>46162</v>
      </c>
      <c r="G79" s="26"/>
    </row>
    <row r="80" spans="1:7" ht="15.75" customHeight="1" x14ac:dyDescent="0.25">
      <c r="A80" t="s">
        <v>846</v>
      </c>
      <c r="B80">
        <v>675</v>
      </c>
      <c r="C80">
        <v>4500000</v>
      </c>
      <c r="D80" s="13"/>
      <c r="E80" s="57">
        <v>46160</v>
      </c>
      <c r="F80" s="40">
        <f t="shared" si="1"/>
        <v>46162</v>
      </c>
      <c r="G80" s="26"/>
    </row>
    <row r="81" spans="1:7" ht="15.75" customHeight="1" x14ac:dyDescent="0.25">
      <c r="A81" t="s">
        <v>846</v>
      </c>
      <c r="B81">
        <v>676</v>
      </c>
      <c r="C81">
        <v>3724600</v>
      </c>
      <c r="D81" s="13"/>
      <c r="E81" s="57">
        <v>46160</v>
      </c>
      <c r="F81" s="40">
        <f t="shared" si="1"/>
        <v>46162</v>
      </c>
      <c r="G81" s="26"/>
    </row>
    <row r="82" spans="1:7" ht="15.75" customHeight="1" x14ac:dyDescent="0.25">
      <c r="A82" t="s">
        <v>846</v>
      </c>
      <c r="B82">
        <v>677</v>
      </c>
      <c r="C82">
        <v>4500000</v>
      </c>
      <c r="D82" s="13"/>
      <c r="E82" s="57">
        <v>46160</v>
      </c>
      <c r="F82" s="40">
        <f t="shared" si="1"/>
        <v>46162</v>
      </c>
      <c r="G82" s="26"/>
    </row>
    <row r="83" spans="1:7" ht="15.75" customHeight="1" x14ac:dyDescent="0.25">
      <c r="A83" t="s">
        <v>844</v>
      </c>
      <c r="B83">
        <v>66288756</v>
      </c>
      <c r="C83">
        <v>10766250</v>
      </c>
      <c r="D83" s="13"/>
      <c r="E83" s="57">
        <v>46160</v>
      </c>
      <c r="F83" s="40">
        <f t="shared" si="1"/>
        <v>46162</v>
      </c>
      <c r="G83" s="26"/>
    </row>
    <row r="84" spans="1:7" ht="15.75" customHeight="1" x14ac:dyDescent="0.25">
      <c r="A84" t="s">
        <v>844</v>
      </c>
      <c r="B84">
        <v>66288779</v>
      </c>
      <c r="C84">
        <v>9000000</v>
      </c>
      <c r="D84" s="13"/>
      <c r="E84" s="57">
        <v>46160</v>
      </c>
      <c r="F84" s="40">
        <f t="shared" si="1"/>
        <v>46162</v>
      </c>
      <c r="G84" s="26"/>
    </row>
    <row r="85" spans="1:7" ht="15.75" customHeight="1" x14ac:dyDescent="0.25">
      <c r="A85" t="s">
        <v>841</v>
      </c>
      <c r="B85">
        <v>29133200</v>
      </c>
      <c r="C85">
        <v>9455600</v>
      </c>
      <c r="D85" s="13"/>
      <c r="E85" s="57">
        <v>46160</v>
      </c>
      <c r="F85" s="40">
        <f t="shared" si="1"/>
        <v>46162</v>
      </c>
      <c r="G85" s="26"/>
    </row>
    <row r="86" spans="1:7" ht="15.75" customHeight="1" x14ac:dyDescent="0.25">
      <c r="A86" t="s">
        <v>839</v>
      </c>
      <c r="B86">
        <v>4960</v>
      </c>
      <c r="C86">
        <v>1864135</v>
      </c>
      <c r="D86" s="13"/>
      <c r="E86" s="57">
        <v>46160</v>
      </c>
      <c r="F86" s="40">
        <f t="shared" si="1"/>
        <v>46162</v>
      </c>
      <c r="G86" s="26"/>
    </row>
    <row r="87" spans="1:7" ht="15.75" customHeight="1" x14ac:dyDescent="0.25">
      <c r="A87" t="s">
        <v>833</v>
      </c>
      <c r="B87">
        <v>78055884</v>
      </c>
      <c r="C87">
        <v>500000</v>
      </c>
      <c r="D87" s="13"/>
      <c r="E87" s="57">
        <v>46160</v>
      </c>
      <c r="F87" s="40">
        <f t="shared" si="1"/>
        <v>46162</v>
      </c>
      <c r="G87" s="26"/>
    </row>
    <row r="88" spans="1:7" ht="15.75" customHeight="1" x14ac:dyDescent="0.25">
      <c r="A88" t="s">
        <v>833</v>
      </c>
      <c r="B88">
        <v>78055892</v>
      </c>
      <c r="C88">
        <v>890000</v>
      </c>
      <c r="D88" s="13"/>
      <c r="E88" s="57">
        <v>46160</v>
      </c>
      <c r="F88" s="40">
        <f t="shared" si="1"/>
        <v>46162</v>
      </c>
      <c r="G88" s="26"/>
    </row>
    <row r="89" spans="1:7" ht="15.75" customHeight="1" x14ac:dyDescent="0.25">
      <c r="A89" t="s">
        <v>847</v>
      </c>
      <c r="B89">
        <v>125</v>
      </c>
      <c r="C89">
        <v>3000314.05</v>
      </c>
      <c r="D89" s="13"/>
      <c r="E89" s="57">
        <v>46160</v>
      </c>
      <c r="F89" s="40">
        <f t="shared" si="1"/>
        <v>46162</v>
      </c>
      <c r="G89" s="26"/>
    </row>
    <row r="90" spans="1:7" ht="15.75" customHeight="1" x14ac:dyDescent="0.25">
      <c r="A90" t="s">
        <v>847</v>
      </c>
      <c r="B90">
        <v>126</v>
      </c>
      <c r="C90">
        <v>3500000</v>
      </c>
      <c r="D90" s="13"/>
      <c r="E90" s="57">
        <v>46160</v>
      </c>
      <c r="F90" s="40">
        <f t="shared" si="1"/>
        <v>46162</v>
      </c>
      <c r="G90" s="26"/>
    </row>
    <row r="91" spans="1:7" ht="15.75" customHeight="1" x14ac:dyDescent="0.25">
      <c r="A91" t="s">
        <v>847</v>
      </c>
      <c r="B91">
        <v>127</v>
      </c>
      <c r="C91">
        <v>3024000</v>
      </c>
      <c r="D91" s="13"/>
      <c r="E91" s="57">
        <v>46160</v>
      </c>
      <c r="F91" s="40">
        <f t="shared" si="1"/>
        <v>46162</v>
      </c>
      <c r="G91" s="26"/>
    </row>
    <row r="92" spans="1:7" ht="15.75" customHeight="1" x14ac:dyDescent="0.25">
      <c r="A92" t="s">
        <v>847</v>
      </c>
      <c r="B92">
        <v>128</v>
      </c>
      <c r="C92">
        <v>2000000</v>
      </c>
      <c r="D92" s="13"/>
      <c r="E92" s="57">
        <v>46160</v>
      </c>
      <c r="F92" s="40">
        <f t="shared" si="1"/>
        <v>46162</v>
      </c>
      <c r="G92" s="26"/>
    </row>
    <row r="93" spans="1:7" ht="15.75" customHeight="1" x14ac:dyDescent="0.25">
      <c r="A93" t="s">
        <v>844</v>
      </c>
      <c r="B93">
        <v>66612046</v>
      </c>
      <c r="C93">
        <v>13057192.01</v>
      </c>
      <c r="D93" s="13"/>
      <c r="E93" s="57">
        <v>46160</v>
      </c>
      <c r="F93" s="40">
        <f t="shared" si="1"/>
        <v>46162</v>
      </c>
      <c r="G93" s="26"/>
    </row>
    <row r="94" spans="1:7" ht="15.75" customHeight="1" x14ac:dyDescent="0.25">
      <c r="A94" t="s">
        <v>833</v>
      </c>
      <c r="B94">
        <v>78055898</v>
      </c>
      <c r="C94">
        <v>960000</v>
      </c>
      <c r="D94" s="13"/>
      <c r="E94" s="57">
        <v>46160</v>
      </c>
      <c r="F94" s="40">
        <f t="shared" si="1"/>
        <v>46162</v>
      </c>
      <c r="G94" s="26"/>
    </row>
    <row r="95" spans="1:7" ht="15.75" customHeight="1" x14ac:dyDescent="0.25">
      <c r="A95" t="s">
        <v>840</v>
      </c>
      <c r="B95">
        <v>90018038</v>
      </c>
      <c r="C95">
        <v>9684400</v>
      </c>
      <c r="D95" s="13"/>
      <c r="E95" s="57">
        <v>46160</v>
      </c>
      <c r="F95" s="40">
        <f t="shared" ref="F95:F158" si="2">+E95+2</f>
        <v>46162</v>
      </c>
      <c r="G95" s="26"/>
    </row>
    <row r="96" spans="1:7" ht="15.75" customHeight="1" x14ac:dyDescent="0.25">
      <c r="A96" t="s">
        <v>838</v>
      </c>
      <c r="B96">
        <v>4629</v>
      </c>
      <c r="C96">
        <v>1300000</v>
      </c>
      <c r="D96" s="13"/>
      <c r="E96" s="57">
        <v>46160</v>
      </c>
      <c r="F96" s="40">
        <f t="shared" si="2"/>
        <v>46162</v>
      </c>
      <c r="G96" s="26"/>
    </row>
    <row r="97" spans="1:7" ht="15.75" customHeight="1" x14ac:dyDescent="0.25">
      <c r="A97" t="s">
        <v>841</v>
      </c>
      <c r="B97">
        <v>29057186</v>
      </c>
      <c r="C97">
        <v>30901040</v>
      </c>
      <c r="D97" s="13"/>
      <c r="E97" s="57">
        <v>46161</v>
      </c>
      <c r="F97" s="40">
        <f t="shared" si="2"/>
        <v>46163</v>
      </c>
      <c r="G97" s="26"/>
    </row>
    <row r="98" spans="1:7" ht="15.75" customHeight="1" x14ac:dyDescent="0.25">
      <c r="A98" t="s">
        <v>836</v>
      </c>
      <c r="B98">
        <v>29117287</v>
      </c>
      <c r="C98">
        <v>10216372.48</v>
      </c>
      <c r="D98" s="13"/>
      <c r="E98" s="57">
        <v>46161</v>
      </c>
      <c r="F98" s="40">
        <f t="shared" si="2"/>
        <v>46163</v>
      </c>
      <c r="G98" s="26"/>
    </row>
    <row r="99" spans="1:7" ht="15.75" customHeight="1" x14ac:dyDescent="0.25">
      <c r="A99" t="s">
        <v>835</v>
      </c>
      <c r="B99">
        <v>9583076</v>
      </c>
      <c r="C99">
        <v>11530750</v>
      </c>
      <c r="D99" s="13"/>
      <c r="E99" s="57">
        <v>46161</v>
      </c>
      <c r="F99" s="40">
        <f t="shared" si="2"/>
        <v>46163</v>
      </c>
      <c r="G99" s="26"/>
    </row>
    <row r="100" spans="1:7" ht="15.75" customHeight="1" x14ac:dyDescent="0.25">
      <c r="A100" t="s">
        <v>838</v>
      </c>
      <c r="B100">
        <v>4576</v>
      </c>
      <c r="C100">
        <v>949750</v>
      </c>
      <c r="D100" s="13"/>
      <c r="E100" s="57">
        <v>46161</v>
      </c>
      <c r="F100" s="40">
        <f t="shared" si="2"/>
        <v>46163</v>
      </c>
      <c r="G100" s="26"/>
    </row>
    <row r="101" spans="1:7" ht="15.75" customHeight="1" x14ac:dyDescent="0.25">
      <c r="A101" t="s">
        <v>833</v>
      </c>
      <c r="B101">
        <v>78055885</v>
      </c>
      <c r="C101">
        <v>500000</v>
      </c>
      <c r="D101" s="13"/>
      <c r="E101" s="57">
        <v>46161</v>
      </c>
      <c r="F101" s="40">
        <f t="shared" si="2"/>
        <v>46163</v>
      </c>
      <c r="G101" s="26"/>
    </row>
    <row r="102" spans="1:7" ht="15.75" customHeight="1" x14ac:dyDescent="0.25">
      <c r="A102" t="s">
        <v>833</v>
      </c>
      <c r="B102">
        <v>78055893</v>
      </c>
      <c r="C102">
        <v>890000</v>
      </c>
      <c r="D102" s="13"/>
      <c r="E102" s="57">
        <v>46161</v>
      </c>
      <c r="F102" s="40">
        <f t="shared" si="2"/>
        <v>46163</v>
      </c>
      <c r="G102" s="26"/>
    </row>
    <row r="103" spans="1:7" ht="15.75" customHeight="1" x14ac:dyDescent="0.25">
      <c r="A103" t="s">
        <v>833</v>
      </c>
      <c r="B103">
        <v>78055899</v>
      </c>
      <c r="C103">
        <v>960000</v>
      </c>
      <c r="D103" s="13"/>
      <c r="E103" s="57">
        <v>46161</v>
      </c>
      <c r="F103" s="40">
        <f t="shared" si="2"/>
        <v>46163</v>
      </c>
      <c r="G103" s="26"/>
    </row>
    <row r="104" spans="1:7" ht="15.75" customHeight="1" x14ac:dyDescent="0.25">
      <c r="A104" t="s">
        <v>838</v>
      </c>
      <c r="B104">
        <v>4630</v>
      </c>
      <c r="C104">
        <v>1300000</v>
      </c>
      <c r="D104" s="13"/>
      <c r="E104" s="57">
        <v>46161</v>
      </c>
      <c r="F104" s="40">
        <f t="shared" si="2"/>
        <v>46163</v>
      </c>
      <c r="G104" s="26"/>
    </row>
    <row r="105" spans="1:7" ht="15.75" customHeight="1" x14ac:dyDescent="0.25">
      <c r="A105" t="s">
        <v>837</v>
      </c>
      <c r="B105">
        <v>1368</v>
      </c>
      <c r="C105">
        <v>26000000</v>
      </c>
      <c r="D105" s="13"/>
      <c r="E105" s="57">
        <v>46162</v>
      </c>
      <c r="F105" s="40">
        <f t="shared" si="2"/>
        <v>46164</v>
      </c>
      <c r="G105" s="26"/>
    </row>
    <row r="106" spans="1:7" ht="15.75" customHeight="1" x14ac:dyDescent="0.25">
      <c r="A106" t="s">
        <v>834</v>
      </c>
      <c r="B106">
        <v>66486598</v>
      </c>
      <c r="C106">
        <v>5000000</v>
      </c>
      <c r="D106" s="13"/>
      <c r="E106" s="57">
        <v>46162</v>
      </c>
      <c r="F106" s="40">
        <f t="shared" si="2"/>
        <v>46164</v>
      </c>
      <c r="G106" s="26"/>
    </row>
    <row r="107" spans="1:7" ht="15.75" customHeight="1" x14ac:dyDescent="0.25">
      <c r="A107" t="s">
        <v>838</v>
      </c>
      <c r="B107">
        <v>4631</v>
      </c>
      <c r="C107">
        <v>1300000</v>
      </c>
      <c r="D107" s="13"/>
      <c r="E107" s="57">
        <v>46162</v>
      </c>
      <c r="F107" s="40">
        <f t="shared" si="2"/>
        <v>46164</v>
      </c>
      <c r="G107" s="26"/>
    </row>
    <row r="108" spans="1:7" ht="15.75" customHeight="1" x14ac:dyDescent="0.25">
      <c r="A108" t="s">
        <v>835</v>
      </c>
      <c r="B108">
        <v>1</v>
      </c>
      <c r="C108">
        <v>14034570</v>
      </c>
      <c r="D108" s="13"/>
      <c r="E108" s="57">
        <v>46163</v>
      </c>
      <c r="F108" s="40">
        <f t="shared" si="2"/>
        <v>46165</v>
      </c>
      <c r="G108" s="26"/>
    </row>
    <row r="109" spans="1:7" ht="15.75" customHeight="1" x14ac:dyDescent="0.25">
      <c r="A109" t="s">
        <v>832</v>
      </c>
      <c r="B109">
        <v>13378069</v>
      </c>
      <c r="C109">
        <v>2465900</v>
      </c>
      <c r="D109" s="13"/>
      <c r="E109" s="57">
        <v>46163</v>
      </c>
      <c r="F109" s="40">
        <f t="shared" si="2"/>
        <v>46165</v>
      </c>
      <c r="G109" s="26"/>
    </row>
    <row r="110" spans="1:7" ht="15.75" customHeight="1" x14ac:dyDescent="0.25">
      <c r="A110" t="s">
        <v>833</v>
      </c>
      <c r="B110">
        <v>78055886</v>
      </c>
      <c r="C110">
        <v>500000</v>
      </c>
      <c r="D110" s="13"/>
      <c r="E110" s="57">
        <v>46163</v>
      </c>
      <c r="F110" s="40">
        <f t="shared" si="2"/>
        <v>46165</v>
      </c>
      <c r="G110" s="26"/>
    </row>
    <row r="111" spans="1:7" ht="15.75" customHeight="1" x14ac:dyDescent="0.25">
      <c r="A111" t="s">
        <v>833</v>
      </c>
      <c r="B111">
        <v>78055894</v>
      </c>
      <c r="C111">
        <v>890000</v>
      </c>
      <c r="D111" s="13"/>
      <c r="E111" s="57">
        <v>46163</v>
      </c>
      <c r="F111" s="40">
        <f t="shared" si="2"/>
        <v>46165</v>
      </c>
      <c r="G111" s="26"/>
    </row>
    <row r="112" spans="1:7" ht="15.75" customHeight="1" x14ac:dyDescent="0.25">
      <c r="A112" t="s">
        <v>833</v>
      </c>
      <c r="B112">
        <v>78055900</v>
      </c>
      <c r="C112">
        <v>960000</v>
      </c>
      <c r="D112" s="13"/>
      <c r="E112" s="57">
        <v>46163</v>
      </c>
      <c r="F112" s="40">
        <f t="shared" si="2"/>
        <v>46165</v>
      </c>
      <c r="G112" s="26"/>
    </row>
    <row r="113" spans="1:7" ht="15.75" customHeight="1" x14ac:dyDescent="0.25">
      <c r="A113" t="s">
        <v>832</v>
      </c>
      <c r="B113">
        <v>13378070</v>
      </c>
      <c r="C113">
        <v>2500000</v>
      </c>
      <c r="D113" s="13"/>
      <c r="E113" s="57">
        <v>46164</v>
      </c>
      <c r="F113" s="40">
        <f t="shared" si="2"/>
        <v>46166</v>
      </c>
      <c r="G113" s="26"/>
    </row>
    <row r="114" spans="1:7" ht="15.75" customHeight="1" x14ac:dyDescent="0.25">
      <c r="A114" t="s">
        <v>839</v>
      </c>
      <c r="B114">
        <v>5214</v>
      </c>
      <c r="C114">
        <v>1373700</v>
      </c>
      <c r="D114" s="13"/>
      <c r="E114" s="57">
        <v>46164</v>
      </c>
      <c r="F114" s="40">
        <f t="shared" si="2"/>
        <v>46166</v>
      </c>
      <c r="G114" s="26"/>
    </row>
    <row r="115" spans="1:7" ht="15.75" customHeight="1" x14ac:dyDescent="0.25">
      <c r="A115" t="s">
        <v>836</v>
      </c>
      <c r="B115">
        <v>1280</v>
      </c>
      <c r="C115">
        <v>5603667.5499999998</v>
      </c>
      <c r="D115" s="13"/>
      <c r="E115" s="57">
        <v>46164</v>
      </c>
      <c r="F115" s="40">
        <f t="shared" si="2"/>
        <v>46166</v>
      </c>
      <c r="G115" s="26"/>
    </row>
    <row r="116" spans="1:7" ht="15.75" customHeight="1" x14ac:dyDescent="0.25">
      <c r="A116" t="s">
        <v>833</v>
      </c>
      <c r="B116">
        <v>78055895</v>
      </c>
      <c r="C116">
        <v>890000</v>
      </c>
      <c r="D116" s="13"/>
      <c r="E116" s="57">
        <v>46164</v>
      </c>
      <c r="F116" s="40">
        <f t="shared" si="2"/>
        <v>46166</v>
      </c>
      <c r="G116" s="26"/>
    </row>
    <row r="117" spans="1:7" ht="15.75" customHeight="1" x14ac:dyDescent="0.25">
      <c r="A117" t="s">
        <v>833</v>
      </c>
      <c r="B117">
        <v>78055896</v>
      </c>
      <c r="C117">
        <v>890000</v>
      </c>
      <c r="D117" s="13"/>
      <c r="E117" s="57">
        <v>46164</v>
      </c>
      <c r="F117" s="40">
        <f t="shared" si="2"/>
        <v>46166</v>
      </c>
      <c r="G117" s="26"/>
    </row>
    <row r="118" spans="1:7" ht="15.75" customHeight="1" x14ac:dyDescent="0.25">
      <c r="A118" t="s">
        <v>833</v>
      </c>
      <c r="B118">
        <v>8055887</v>
      </c>
      <c r="C118">
        <v>525400</v>
      </c>
      <c r="D118" s="13"/>
      <c r="E118" s="57">
        <v>46164</v>
      </c>
      <c r="F118" s="40">
        <f t="shared" si="2"/>
        <v>46166</v>
      </c>
      <c r="G118" s="26"/>
    </row>
    <row r="119" spans="1:7" ht="15.75" customHeight="1" x14ac:dyDescent="0.25">
      <c r="A119" t="s">
        <v>837</v>
      </c>
      <c r="B119">
        <v>1369</v>
      </c>
      <c r="C119">
        <v>26348155</v>
      </c>
      <c r="D119" s="13"/>
      <c r="E119" s="57">
        <v>46164</v>
      </c>
      <c r="F119" s="40">
        <f t="shared" si="2"/>
        <v>46166</v>
      </c>
      <c r="G119" s="26"/>
    </row>
    <row r="120" spans="1:7" ht="15.75" customHeight="1" x14ac:dyDescent="0.25">
      <c r="A120" t="s">
        <v>849</v>
      </c>
      <c r="B120">
        <v>6800188</v>
      </c>
      <c r="C120">
        <v>16576560</v>
      </c>
      <c r="D120" s="13"/>
      <c r="E120" s="57">
        <v>46164</v>
      </c>
      <c r="F120" s="40">
        <f t="shared" si="2"/>
        <v>46166</v>
      </c>
      <c r="G120" s="26"/>
    </row>
    <row r="121" spans="1:7" ht="15.75" customHeight="1" x14ac:dyDescent="0.25">
      <c r="A121" t="s">
        <v>833</v>
      </c>
      <c r="B121">
        <v>78055901</v>
      </c>
      <c r="C121">
        <v>960000</v>
      </c>
      <c r="D121" s="13"/>
      <c r="E121" s="57">
        <v>46164</v>
      </c>
      <c r="F121" s="40">
        <f t="shared" si="2"/>
        <v>46166</v>
      </c>
      <c r="G121" s="26"/>
    </row>
    <row r="122" spans="1:7" ht="15.75" customHeight="1" x14ac:dyDescent="0.25">
      <c r="A122" t="s">
        <v>840</v>
      </c>
      <c r="B122">
        <v>90018039</v>
      </c>
      <c r="C122">
        <v>9640400</v>
      </c>
      <c r="D122" s="13"/>
      <c r="E122" s="57">
        <v>46164</v>
      </c>
      <c r="F122" s="40">
        <f t="shared" si="2"/>
        <v>46166</v>
      </c>
      <c r="G122" s="26"/>
    </row>
    <row r="123" spans="1:7" ht="15.75" customHeight="1" x14ac:dyDescent="0.25">
      <c r="A123" t="s">
        <v>838</v>
      </c>
      <c r="B123">
        <v>4715</v>
      </c>
      <c r="C123">
        <v>1300000</v>
      </c>
      <c r="D123" s="13"/>
      <c r="E123" s="57">
        <v>46164</v>
      </c>
      <c r="F123" s="40">
        <f t="shared" si="2"/>
        <v>46166</v>
      </c>
      <c r="G123" s="26"/>
    </row>
    <row r="124" spans="1:7" ht="15.75" customHeight="1" x14ac:dyDescent="0.25">
      <c r="A124" t="s">
        <v>838</v>
      </c>
      <c r="B124">
        <v>4632</v>
      </c>
      <c r="C124">
        <v>1300000</v>
      </c>
      <c r="D124" s="13"/>
      <c r="E124" s="57">
        <v>46164</v>
      </c>
      <c r="F124" s="40">
        <f t="shared" si="2"/>
        <v>46166</v>
      </c>
      <c r="G124" s="26"/>
    </row>
    <row r="125" spans="1:7" ht="15.75" customHeight="1" x14ac:dyDescent="0.25">
      <c r="A125" t="s">
        <v>842</v>
      </c>
      <c r="B125">
        <v>6818</v>
      </c>
      <c r="C125">
        <v>22336160</v>
      </c>
      <c r="D125" s="13"/>
      <c r="E125" s="57">
        <v>46167</v>
      </c>
      <c r="F125" s="40">
        <f t="shared" si="2"/>
        <v>46169</v>
      </c>
      <c r="G125" s="26"/>
    </row>
    <row r="126" spans="1:7" ht="15.75" customHeight="1" x14ac:dyDescent="0.25">
      <c r="A126" t="s">
        <v>845</v>
      </c>
      <c r="B126">
        <v>9487744</v>
      </c>
      <c r="C126">
        <v>8879287.4600000009</v>
      </c>
      <c r="D126" s="13"/>
      <c r="E126" s="57">
        <v>46167</v>
      </c>
      <c r="F126" s="40">
        <f t="shared" si="2"/>
        <v>46169</v>
      </c>
      <c r="G126" s="26"/>
    </row>
    <row r="127" spans="1:7" ht="15.75" customHeight="1" x14ac:dyDescent="0.25">
      <c r="A127" t="s">
        <v>832</v>
      </c>
      <c r="B127">
        <v>13378071</v>
      </c>
      <c r="C127">
        <v>2500000</v>
      </c>
      <c r="D127" s="13"/>
      <c r="E127" s="57">
        <v>46167</v>
      </c>
      <c r="F127" s="40">
        <f t="shared" si="2"/>
        <v>46169</v>
      </c>
      <c r="G127" s="26"/>
    </row>
    <row r="128" spans="1:7" ht="15.75" customHeight="1" x14ac:dyDescent="0.25">
      <c r="A128" t="s">
        <v>832</v>
      </c>
      <c r="B128">
        <v>13378072</v>
      </c>
      <c r="C128">
        <v>2500000</v>
      </c>
      <c r="D128" s="13"/>
      <c r="E128" s="57">
        <v>46167</v>
      </c>
      <c r="F128" s="40">
        <f t="shared" si="2"/>
        <v>46169</v>
      </c>
      <c r="G128" s="26"/>
    </row>
    <row r="129" spans="1:7" ht="15.75" customHeight="1" x14ac:dyDescent="0.25">
      <c r="A129" t="s">
        <v>832</v>
      </c>
      <c r="B129">
        <v>13378073</v>
      </c>
      <c r="C129">
        <v>2500000</v>
      </c>
      <c r="D129" s="13"/>
      <c r="E129" s="57">
        <v>46167</v>
      </c>
      <c r="F129" s="40">
        <f t="shared" si="2"/>
        <v>46169</v>
      </c>
      <c r="G129" s="26"/>
    </row>
    <row r="130" spans="1:7" ht="15.75" customHeight="1" x14ac:dyDescent="0.25">
      <c r="A130" t="s">
        <v>844</v>
      </c>
      <c r="B130">
        <v>66612110</v>
      </c>
      <c r="C130">
        <v>14000000</v>
      </c>
      <c r="D130" s="13"/>
      <c r="E130" s="57">
        <v>46167</v>
      </c>
      <c r="F130" s="40">
        <f t="shared" si="2"/>
        <v>46169</v>
      </c>
      <c r="G130" s="26"/>
    </row>
    <row r="131" spans="1:7" ht="15.75" customHeight="1" x14ac:dyDescent="0.25">
      <c r="A131" t="s">
        <v>834</v>
      </c>
      <c r="B131">
        <v>66487132</v>
      </c>
      <c r="C131">
        <v>4796000</v>
      </c>
      <c r="D131" s="13"/>
      <c r="E131" s="57">
        <v>46167</v>
      </c>
      <c r="F131" s="40">
        <f t="shared" si="2"/>
        <v>46169</v>
      </c>
      <c r="G131" s="26"/>
    </row>
    <row r="132" spans="1:7" ht="15.75" customHeight="1" x14ac:dyDescent="0.25">
      <c r="A132" t="s">
        <v>833</v>
      </c>
      <c r="B132">
        <v>78055897</v>
      </c>
      <c r="C132">
        <v>907700</v>
      </c>
      <c r="D132" s="13"/>
      <c r="E132" s="57">
        <v>46168</v>
      </c>
      <c r="F132" s="40">
        <f t="shared" si="2"/>
        <v>46170</v>
      </c>
      <c r="G132" s="26"/>
    </row>
    <row r="133" spans="1:7" ht="15.75" customHeight="1" x14ac:dyDescent="0.25">
      <c r="A133" t="s">
        <v>833</v>
      </c>
      <c r="B133">
        <v>78055902</v>
      </c>
      <c r="C133">
        <v>960000</v>
      </c>
      <c r="D133" s="13"/>
      <c r="E133" s="57">
        <v>46168</v>
      </c>
      <c r="F133" s="40">
        <f t="shared" si="2"/>
        <v>46170</v>
      </c>
      <c r="G133" s="26"/>
    </row>
    <row r="134" spans="1:7" ht="15.75" customHeight="1" x14ac:dyDescent="0.25">
      <c r="A134" t="s">
        <v>838</v>
      </c>
      <c r="B134">
        <v>4716</v>
      </c>
      <c r="C134">
        <v>1300000</v>
      </c>
      <c r="D134" s="13"/>
      <c r="E134" s="57">
        <v>46168</v>
      </c>
      <c r="F134" s="40">
        <f t="shared" si="2"/>
        <v>46170</v>
      </c>
      <c r="G134" s="26"/>
    </row>
    <row r="135" spans="1:7" ht="15.75" customHeight="1" x14ac:dyDescent="0.25">
      <c r="A135" t="s">
        <v>838</v>
      </c>
      <c r="B135">
        <v>4633</v>
      </c>
      <c r="C135">
        <v>1162600</v>
      </c>
      <c r="D135" s="13"/>
      <c r="E135" s="57">
        <v>46168</v>
      </c>
      <c r="F135" s="40">
        <f t="shared" si="2"/>
        <v>46170</v>
      </c>
      <c r="G135" s="26"/>
    </row>
    <row r="136" spans="1:7" ht="15.75" customHeight="1" x14ac:dyDescent="0.25">
      <c r="A136" t="s">
        <v>838</v>
      </c>
      <c r="B136">
        <v>4742</v>
      </c>
      <c r="C136">
        <v>1200000</v>
      </c>
      <c r="D136" s="13"/>
      <c r="E136" s="57">
        <v>46168</v>
      </c>
      <c r="F136" s="40">
        <f t="shared" si="2"/>
        <v>46170</v>
      </c>
      <c r="G136" s="26"/>
    </row>
    <row r="137" spans="1:7" ht="15.75" customHeight="1" x14ac:dyDescent="0.25">
      <c r="A137" t="s">
        <v>835</v>
      </c>
      <c r="B137">
        <v>16</v>
      </c>
      <c r="C137">
        <v>19042210</v>
      </c>
      <c r="D137" s="13"/>
      <c r="E137" s="57">
        <v>46169</v>
      </c>
      <c r="F137" s="40">
        <f t="shared" si="2"/>
        <v>46171</v>
      </c>
      <c r="G137" s="26"/>
    </row>
    <row r="138" spans="1:7" ht="15.75" customHeight="1" x14ac:dyDescent="0.25">
      <c r="A138" t="s">
        <v>834</v>
      </c>
      <c r="B138">
        <v>66486893</v>
      </c>
      <c r="C138">
        <v>5000000</v>
      </c>
      <c r="D138" s="13"/>
      <c r="E138" s="57">
        <v>46169</v>
      </c>
      <c r="F138" s="40">
        <f t="shared" si="2"/>
        <v>46171</v>
      </c>
      <c r="G138" s="26"/>
    </row>
    <row r="139" spans="1:7" ht="15.75" customHeight="1" x14ac:dyDescent="0.25">
      <c r="A139" t="s">
        <v>833</v>
      </c>
      <c r="B139">
        <v>78055903</v>
      </c>
      <c r="C139">
        <v>960000</v>
      </c>
      <c r="D139" s="13"/>
      <c r="E139" s="57">
        <v>46169</v>
      </c>
      <c r="F139" s="40">
        <f t="shared" si="2"/>
        <v>46171</v>
      </c>
      <c r="G139" s="26"/>
    </row>
    <row r="140" spans="1:7" ht="15.75" customHeight="1" x14ac:dyDescent="0.25">
      <c r="A140" t="s">
        <v>838</v>
      </c>
      <c r="B140">
        <v>4717</v>
      </c>
      <c r="C140">
        <v>1300000</v>
      </c>
      <c r="D140" s="13"/>
      <c r="E140" s="57">
        <v>46169</v>
      </c>
      <c r="F140" s="40">
        <f t="shared" si="2"/>
        <v>46171</v>
      </c>
      <c r="G140" s="26"/>
    </row>
    <row r="141" spans="1:7" ht="15.75" customHeight="1" x14ac:dyDescent="0.25">
      <c r="A141" t="s">
        <v>838</v>
      </c>
      <c r="B141">
        <v>4743</v>
      </c>
      <c r="C141">
        <v>1200000</v>
      </c>
      <c r="D141" s="13"/>
      <c r="E141" s="57">
        <v>46169</v>
      </c>
      <c r="F141" s="40">
        <f t="shared" si="2"/>
        <v>46171</v>
      </c>
      <c r="G141" s="26"/>
    </row>
    <row r="142" spans="1:7" ht="15.75" customHeight="1" x14ac:dyDescent="0.25">
      <c r="A142" t="s">
        <v>838</v>
      </c>
      <c r="B142">
        <v>4772</v>
      </c>
      <c r="C142">
        <v>1300000</v>
      </c>
      <c r="D142" s="13"/>
      <c r="E142" s="57">
        <v>46169</v>
      </c>
      <c r="F142" s="40">
        <f t="shared" si="2"/>
        <v>46171</v>
      </c>
      <c r="G142" s="26"/>
    </row>
    <row r="143" spans="1:7" ht="15.75" customHeight="1" x14ac:dyDescent="0.25">
      <c r="A143" t="s">
        <v>836</v>
      </c>
      <c r="B143">
        <v>29153824</v>
      </c>
      <c r="C143">
        <v>8049582.4500000002</v>
      </c>
      <c r="D143" s="13"/>
      <c r="E143" s="57">
        <v>46170</v>
      </c>
      <c r="F143" s="40">
        <f t="shared" si="2"/>
        <v>46172</v>
      </c>
      <c r="G143" s="26"/>
    </row>
    <row r="144" spans="1:7" ht="15.75" customHeight="1" x14ac:dyDescent="0.25">
      <c r="A144" t="s">
        <v>833</v>
      </c>
      <c r="B144">
        <v>78055904</v>
      </c>
      <c r="C144">
        <v>960000</v>
      </c>
      <c r="D144" s="13"/>
      <c r="E144" s="57">
        <v>46170</v>
      </c>
      <c r="F144" s="40">
        <f t="shared" si="2"/>
        <v>46172</v>
      </c>
      <c r="G144" s="26"/>
    </row>
    <row r="145" spans="1:7" ht="15.75" customHeight="1" x14ac:dyDescent="0.25">
      <c r="A145" t="s">
        <v>839</v>
      </c>
      <c r="B145">
        <v>5221</v>
      </c>
      <c r="C145">
        <v>1626750</v>
      </c>
      <c r="D145" s="13"/>
      <c r="E145" s="57">
        <v>46171</v>
      </c>
      <c r="F145" s="40">
        <f t="shared" si="2"/>
        <v>46173</v>
      </c>
      <c r="G145" s="26"/>
    </row>
    <row r="146" spans="1:7" ht="15.75" customHeight="1" x14ac:dyDescent="0.25">
      <c r="A146" t="s">
        <v>833</v>
      </c>
      <c r="B146">
        <v>78055905</v>
      </c>
      <c r="C146">
        <v>960000</v>
      </c>
      <c r="D146" s="13"/>
      <c r="E146" s="57">
        <v>46171</v>
      </c>
      <c r="F146" s="40">
        <f t="shared" si="2"/>
        <v>46173</v>
      </c>
      <c r="G146" s="26"/>
    </row>
    <row r="147" spans="1:7" ht="15.75" customHeight="1" x14ac:dyDescent="0.25">
      <c r="A147" t="s">
        <v>838</v>
      </c>
      <c r="B147">
        <v>4718</v>
      </c>
      <c r="C147">
        <v>1300000</v>
      </c>
      <c r="D147" s="13"/>
      <c r="E147" s="57">
        <v>46171</v>
      </c>
      <c r="F147" s="40">
        <f t="shared" si="2"/>
        <v>46173</v>
      </c>
      <c r="G147" s="26"/>
    </row>
    <row r="148" spans="1:7" ht="15.75" customHeight="1" x14ac:dyDescent="0.25">
      <c r="A148" t="s">
        <v>838</v>
      </c>
      <c r="B148">
        <v>4744</v>
      </c>
      <c r="C148">
        <v>1200000</v>
      </c>
      <c r="D148" s="13"/>
      <c r="E148" s="57">
        <v>46171</v>
      </c>
      <c r="F148" s="40">
        <f t="shared" si="2"/>
        <v>46173</v>
      </c>
      <c r="G148" s="26"/>
    </row>
    <row r="149" spans="1:7" ht="15.75" customHeight="1" x14ac:dyDescent="0.25">
      <c r="A149" t="s">
        <v>838</v>
      </c>
      <c r="B149">
        <v>4773</v>
      </c>
      <c r="C149">
        <v>1300000</v>
      </c>
      <c r="D149" s="13"/>
      <c r="E149" s="57">
        <v>46171</v>
      </c>
      <c r="F149" s="40">
        <f t="shared" si="2"/>
        <v>46173</v>
      </c>
      <c r="G149" s="26"/>
    </row>
    <row r="150" spans="1:7" ht="15.75" customHeight="1" x14ac:dyDescent="0.25">
      <c r="A150" t="s">
        <v>842</v>
      </c>
      <c r="B150">
        <v>6894</v>
      </c>
      <c r="C150">
        <v>19015040</v>
      </c>
      <c r="D150" s="13"/>
      <c r="E150" s="57">
        <v>46174</v>
      </c>
      <c r="F150" s="40">
        <f t="shared" si="2"/>
        <v>46176</v>
      </c>
      <c r="G150" s="26"/>
    </row>
    <row r="151" spans="1:7" ht="15.75" customHeight="1" x14ac:dyDescent="0.25">
      <c r="A151" t="s">
        <v>833</v>
      </c>
      <c r="B151">
        <v>78055906</v>
      </c>
      <c r="C151">
        <v>960000</v>
      </c>
      <c r="D151" s="13"/>
      <c r="E151" s="57">
        <v>46174</v>
      </c>
      <c r="F151" s="40">
        <f t="shared" si="2"/>
        <v>46176</v>
      </c>
      <c r="G151" s="26"/>
    </row>
    <row r="152" spans="1:7" ht="15.75" customHeight="1" x14ac:dyDescent="0.25">
      <c r="A152" t="s">
        <v>835</v>
      </c>
      <c r="B152">
        <v>9845350</v>
      </c>
      <c r="C152">
        <v>10000000</v>
      </c>
      <c r="D152" s="13"/>
      <c r="E152" s="57">
        <v>46174</v>
      </c>
      <c r="F152" s="40">
        <f t="shared" si="2"/>
        <v>46176</v>
      </c>
      <c r="G152" s="26"/>
    </row>
    <row r="153" spans="1:7" ht="15.75" customHeight="1" x14ac:dyDescent="0.25">
      <c r="A153" t="s">
        <v>835</v>
      </c>
      <c r="B153">
        <v>9845351</v>
      </c>
      <c r="C153">
        <v>12575630</v>
      </c>
      <c r="D153" s="13"/>
      <c r="E153" s="57">
        <v>46174</v>
      </c>
      <c r="F153" s="40">
        <f t="shared" si="2"/>
        <v>46176</v>
      </c>
      <c r="G153" s="26"/>
    </row>
    <row r="154" spans="1:7" ht="15.75" customHeight="1" x14ac:dyDescent="0.25">
      <c r="A154" t="s">
        <v>838</v>
      </c>
      <c r="B154">
        <v>4782</v>
      </c>
      <c r="C154">
        <v>1300000</v>
      </c>
      <c r="D154" s="13"/>
      <c r="E154" s="57">
        <v>46174</v>
      </c>
      <c r="F154" s="40">
        <f t="shared" si="2"/>
        <v>46176</v>
      </c>
      <c r="G154" s="26"/>
    </row>
    <row r="155" spans="1:7" ht="15.75" customHeight="1" x14ac:dyDescent="0.25">
      <c r="A155" t="s">
        <v>834</v>
      </c>
      <c r="B155">
        <v>66643962</v>
      </c>
      <c r="C155">
        <v>4457800</v>
      </c>
      <c r="D155" s="13"/>
      <c r="E155" s="57">
        <v>46175</v>
      </c>
      <c r="F155" s="40">
        <f t="shared" si="2"/>
        <v>46177</v>
      </c>
      <c r="G155" s="26"/>
    </row>
    <row r="156" spans="1:7" ht="15.75" customHeight="1" x14ac:dyDescent="0.25">
      <c r="A156" t="s">
        <v>833</v>
      </c>
      <c r="B156">
        <v>78055907</v>
      </c>
      <c r="C156">
        <v>943200</v>
      </c>
      <c r="D156" s="13"/>
      <c r="E156" s="57">
        <v>46175</v>
      </c>
      <c r="F156" s="40">
        <f t="shared" si="2"/>
        <v>46177</v>
      </c>
      <c r="G156" s="26"/>
    </row>
    <row r="157" spans="1:7" ht="15.75" customHeight="1" x14ac:dyDescent="0.25">
      <c r="A157" t="s">
        <v>838</v>
      </c>
      <c r="B157">
        <v>4783</v>
      </c>
      <c r="C157">
        <v>1300000</v>
      </c>
      <c r="D157" s="13"/>
      <c r="E157" s="57">
        <v>46175</v>
      </c>
      <c r="F157" s="40">
        <f t="shared" si="2"/>
        <v>46177</v>
      </c>
      <c r="G157" s="26"/>
    </row>
    <row r="158" spans="1:7" ht="15.75" customHeight="1" x14ac:dyDescent="0.25">
      <c r="A158" t="s">
        <v>834</v>
      </c>
      <c r="B158">
        <v>66643850</v>
      </c>
      <c r="C158">
        <v>4400000</v>
      </c>
      <c r="D158" s="13"/>
      <c r="E158" s="57">
        <v>46176</v>
      </c>
      <c r="F158" s="40">
        <f t="shared" si="2"/>
        <v>46178</v>
      </c>
      <c r="G158" s="26"/>
    </row>
    <row r="159" spans="1:7" ht="15.75" customHeight="1" x14ac:dyDescent="0.25">
      <c r="A159" t="s">
        <v>838</v>
      </c>
      <c r="B159">
        <v>4745</v>
      </c>
      <c r="C159">
        <v>1200000</v>
      </c>
      <c r="D159" s="13"/>
      <c r="E159" s="57">
        <v>46176</v>
      </c>
      <c r="F159" s="40">
        <f t="shared" ref="F159:F174" si="3">+E159+2</f>
        <v>46178</v>
      </c>
      <c r="G159" s="26"/>
    </row>
    <row r="160" spans="1:7" ht="15.75" customHeight="1" x14ac:dyDescent="0.25">
      <c r="A160" t="s">
        <v>838</v>
      </c>
      <c r="B160">
        <v>4784</v>
      </c>
      <c r="C160">
        <v>1300000</v>
      </c>
      <c r="D160" s="13"/>
      <c r="E160" s="57">
        <v>46176</v>
      </c>
      <c r="F160" s="40">
        <f t="shared" si="3"/>
        <v>46178</v>
      </c>
      <c r="G160" s="26"/>
    </row>
    <row r="161" spans="1:7" ht="15.75" customHeight="1" x14ac:dyDescent="0.25">
      <c r="A161" t="s">
        <v>838</v>
      </c>
      <c r="B161">
        <v>4746</v>
      </c>
      <c r="C161">
        <v>1200000</v>
      </c>
      <c r="D161" s="13"/>
      <c r="E161" s="57">
        <v>46177</v>
      </c>
      <c r="F161" s="40">
        <f t="shared" si="3"/>
        <v>46179</v>
      </c>
      <c r="G161" s="26"/>
    </row>
    <row r="162" spans="1:7" ht="15.75" customHeight="1" x14ac:dyDescent="0.25">
      <c r="A162" t="s">
        <v>842</v>
      </c>
      <c r="B162">
        <v>6948</v>
      </c>
      <c r="C162">
        <v>17842880</v>
      </c>
      <c r="D162" s="13"/>
      <c r="E162" s="57">
        <v>46178</v>
      </c>
      <c r="F162" s="40">
        <f t="shared" si="3"/>
        <v>46180</v>
      </c>
      <c r="G162" s="26"/>
    </row>
    <row r="163" spans="1:7" ht="15.75" customHeight="1" x14ac:dyDescent="0.25">
      <c r="A163" t="s">
        <v>838</v>
      </c>
      <c r="B163">
        <v>4719</v>
      </c>
      <c r="C163">
        <v>1300000</v>
      </c>
      <c r="D163" s="13"/>
      <c r="E163" s="57">
        <v>46178</v>
      </c>
      <c r="F163" s="40">
        <f t="shared" si="3"/>
        <v>46180</v>
      </c>
      <c r="G163" s="26"/>
    </row>
    <row r="164" spans="1:7" ht="15.75" customHeight="1" x14ac:dyDescent="0.25">
      <c r="A164" t="s">
        <v>838</v>
      </c>
      <c r="B164">
        <v>4747</v>
      </c>
      <c r="C164">
        <v>953100</v>
      </c>
      <c r="D164" s="13"/>
      <c r="E164" s="57">
        <v>46178</v>
      </c>
      <c r="F164" s="40">
        <f t="shared" si="3"/>
        <v>46180</v>
      </c>
      <c r="G164" s="26"/>
    </row>
    <row r="165" spans="1:7" ht="15.75" customHeight="1" x14ac:dyDescent="0.25">
      <c r="A165" t="s">
        <v>838</v>
      </c>
      <c r="B165">
        <v>4720</v>
      </c>
      <c r="C165">
        <v>949750</v>
      </c>
      <c r="D165" s="13"/>
      <c r="E165" s="57">
        <v>46181</v>
      </c>
      <c r="F165" s="40">
        <f t="shared" si="3"/>
        <v>46183</v>
      </c>
      <c r="G165" s="26"/>
    </row>
    <row r="166" spans="1:7" ht="15.75" customHeight="1" x14ac:dyDescent="0.25">
      <c r="A166" t="s">
        <v>838</v>
      </c>
      <c r="B166">
        <v>4774</v>
      </c>
      <c r="C166">
        <v>1300000</v>
      </c>
      <c r="D166" s="13"/>
      <c r="E166" s="57">
        <v>46181</v>
      </c>
      <c r="F166" s="40">
        <f t="shared" si="3"/>
        <v>46183</v>
      </c>
      <c r="G166" s="26"/>
    </row>
    <row r="167" spans="1:7" ht="15.75" customHeight="1" x14ac:dyDescent="0.25">
      <c r="A167" t="s">
        <v>838</v>
      </c>
      <c r="B167">
        <v>4785</v>
      </c>
      <c r="C167">
        <v>1300000</v>
      </c>
      <c r="D167" s="13"/>
      <c r="E167" s="57">
        <v>46181</v>
      </c>
      <c r="F167" s="40">
        <f t="shared" si="3"/>
        <v>46183</v>
      </c>
      <c r="G167" s="26"/>
    </row>
    <row r="168" spans="1:7" ht="15.75" customHeight="1" x14ac:dyDescent="0.25">
      <c r="A168" t="s">
        <v>838</v>
      </c>
      <c r="B168">
        <v>4775</v>
      </c>
      <c r="C168">
        <v>1300000</v>
      </c>
      <c r="D168" s="13"/>
      <c r="E168" s="57">
        <v>46182</v>
      </c>
      <c r="F168" s="40">
        <f t="shared" si="3"/>
        <v>46184</v>
      </c>
      <c r="G168" s="26"/>
    </row>
    <row r="169" spans="1:7" ht="15.75" customHeight="1" x14ac:dyDescent="0.25">
      <c r="A169" t="s">
        <v>838</v>
      </c>
      <c r="B169">
        <v>4786</v>
      </c>
      <c r="C169">
        <v>1300000</v>
      </c>
      <c r="D169" s="13"/>
      <c r="E169" s="57">
        <v>46182</v>
      </c>
      <c r="F169" s="40">
        <f t="shared" si="3"/>
        <v>46184</v>
      </c>
      <c r="G169" s="26"/>
    </row>
    <row r="170" spans="1:7" ht="15.75" customHeight="1" x14ac:dyDescent="0.25">
      <c r="A170" t="s">
        <v>838</v>
      </c>
      <c r="B170">
        <v>4776</v>
      </c>
      <c r="C170">
        <v>1300000</v>
      </c>
      <c r="D170" s="13"/>
      <c r="E170" s="57">
        <v>46183</v>
      </c>
      <c r="F170" s="40">
        <f t="shared" si="3"/>
        <v>46185</v>
      </c>
      <c r="G170" s="26"/>
    </row>
    <row r="171" spans="1:7" ht="15.75" customHeight="1" x14ac:dyDescent="0.25">
      <c r="A171" t="s">
        <v>838</v>
      </c>
      <c r="B171">
        <v>4787</v>
      </c>
      <c r="C171">
        <v>1162600</v>
      </c>
      <c r="D171" s="13"/>
      <c r="E171" s="57">
        <v>46183</v>
      </c>
      <c r="F171" s="40">
        <f t="shared" si="3"/>
        <v>46185</v>
      </c>
      <c r="G171" s="26"/>
    </row>
    <row r="172" spans="1:7" ht="15.75" customHeight="1" x14ac:dyDescent="0.25">
      <c r="A172" t="s">
        <v>849</v>
      </c>
      <c r="B172">
        <v>6760642</v>
      </c>
      <c r="C172">
        <v>24824194.600000001</v>
      </c>
      <c r="D172" s="13"/>
      <c r="E172" s="57">
        <v>46185</v>
      </c>
      <c r="F172" s="40">
        <f t="shared" si="3"/>
        <v>46187</v>
      </c>
      <c r="G172" s="26"/>
    </row>
    <row r="173" spans="1:7" ht="15.75" customHeight="1" x14ac:dyDescent="0.25">
      <c r="A173" t="s">
        <v>838</v>
      </c>
      <c r="B173">
        <v>4777</v>
      </c>
      <c r="C173">
        <v>1269025</v>
      </c>
      <c r="D173" s="13"/>
      <c r="E173" s="57">
        <v>46185</v>
      </c>
      <c r="F173" s="40">
        <f t="shared" si="3"/>
        <v>46187</v>
      </c>
      <c r="G173" s="26"/>
    </row>
    <row r="174" spans="1:7" ht="15.75" customHeight="1" x14ac:dyDescent="0.25">
      <c r="A174" t="s">
        <v>848</v>
      </c>
      <c r="B174">
        <v>3436588</v>
      </c>
      <c r="C174">
        <v>1934482.85</v>
      </c>
      <c r="D174" s="13"/>
      <c r="E174" s="57">
        <v>46223</v>
      </c>
      <c r="F174" s="40">
        <f t="shared" si="3"/>
        <v>46225</v>
      </c>
      <c r="G174" s="26"/>
    </row>
    <row r="175" spans="1:7" ht="15.75" customHeight="1" x14ac:dyDescent="0.25">
      <c r="A175" s="26"/>
      <c r="B175" s="39"/>
      <c r="C175" s="14"/>
      <c r="D175" s="13"/>
      <c r="E175" s="13"/>
      <c r="F175" s="40"/>
      <c r="G175" s="26"/>
    </row>
    <row r="176" spans="1:7" ht="15.75" customHeight="1" x14ac:dyDescent="0.25">
      <c r="A176" s="26"/>
      <c r="B176" s="39"/>
      <c r="C176" s="14"/>
      <c r="D176" s="13"/>
      <c r="E176" s="13"/>
      <c r="F176" s="40"/>
      <c r="G176" s="26"/>
    </row>
    <row r="177" spans="1:7" ht="15.75" customHeight="1" x14ac:dyDescent="0.25">
      <c r="A177" s="26"/>
      <c r="B177" s="39"/>
      <c r="C177" s="14"/>
      <c r="D177" s="13"/>
      <c r="E177" s="13"/>
      <c r="F177" s="40"/>
      <c r="G177" s="26"/>
    </row>
    <row r="178" spans="1:7" ht="15.75" customHeight="1" x14ac:dyDescent="0.25">
      <c r="A178" s="26"/>
      <c r="B178" s="39"/>
      <c r="C178" s="14"/>
      <c r="D178" s="13"/>
      <c r="E178" s="13"/>
      <c r="F178" s="40"/>
      <c r="G178" s="26"/>
    </row>
    <row r="179" spans="1:7" ht="15.75" customHeight="1" x14ac:dyDescent="0.25">
      <c r="A179" s="26"/>
      <c r="B179" s="39"/>
      <c r="C179" s="14"/>
      <c r="D179" s="13"/>
      <c r="E179" s="13"/>
      <c r="F179" s="40"/>
      <c r="G179" s="26"/>
    </row>
    <row r="180" spans="1:7" ht="15.75" customHeight="1" x14ac:dyDescent="0.25">
      <c r="A180" s="26"/>
      <c r="B180" s="39"/>
      <c r="C180" s="14"/>
      <c r="D180" s="13"/>
      <c r="E180" s="13"/>
      <c r="F180" s="40"/>
      <c r="G180" s="26"/>
    </row>
    <row r="181" spans="1:7" ht="15.75" customHeight="1" x14ac:dyDescent="0.25">
      <c r="A181" s="26"/>
      <c r="B181" s="39"/>
      <c r="C181" s="14"/>
      <c r="D181" s="13"/>
      <c r="E181" s="13"/>
      <c r="F181" s="40"/>
      <c r="G181" s="26"/>
    </row>
    <row r="182" spans="1:7" ht="15.75" customHeight="1" x14ac:dyDescent="0.25">
      <c r="A182" s="26"/>
      <c r="B182" s="39"/>
      <c r="C182" s="14"/>
      <c r="D182" s="13"/>
      <c r="E182" s="13"/>
      <c r="F182" s="40"/>
      <c r="G182" s="26"/>
    </row>
    <row r="183" spans="1:7" ht="15.75" customHeight="1" x14ac:dyDescent="0.25">
      <c r="A183" s="26"/>
      <c r="B183" s="39"/>
      <c r="C183" s="14"/>
      <c r="D183" s="13"/>
      <c r="E183" s="13"/>
      <c r="F183" s="40"/>
      <c r="G183" s="26"/>
    </row>
    <row r="184" spans="1:7" ht="15.75" customHeight="1" x14ac:dyDescent="0.25">
      <c r="A184" s="26"/>
      <c r="B184" s="39"/>
      <c r="C184" s="14"/>
      <c r="D184" s="13"/>
      <c r="E184" s="13"/>
      <c r="F184" s="40"/>
      <c r="G184" s="26"/>
    </row>
    <row r="185" spans="1:7" ht="15.75" customHeight="1" x14ac:dyDescent="0.25">
      <c r="A185" s="26"/>
      <c r="B185" s="39"/>
      <c r="C185" s="14"/>
      <c r="D185" s="13"/>
      <c r="E185" s="13"/>
      <c r="F185" s="40"/>
      <c r="G185" s="26"/>
    </row>
    <row r="186" spans="1:7" ht="15.75" customHeight="1" x14ac:dyDescent="0.25">
      <c r="A186" s="26"/>
      <c r="B186" s="39"/>
      <c r="C186" s="14"/>
      <c r="D186" s="13"/>
      <c r="E186" s="13"/>
      <c r="F186" s="40"/>
      <c r="G186" s="26"/>
    </row>
    <row r="187" spans="1:7" ht="15.75" customHeight="1" x14ac:dyDescent="0.25">
      <c r="A187" s="26"/>
      <c r="B187" s="39"/>
      <c r="C187" s="14"/>
      <c r="D187" s="13"/>
      <c r="E187" s="13"/>
      <c r="F187" s="40"/>
      <c r="G187" s="26"/>
    </row>
    <row r="188" spans="1:7" ht="15.75" customHeight="1" x14ac:dyDescent="0.25">
      <c r="A188" s="26"/>
      <c r="B188" s="39"/>
      <c r="C188" s="14"/>
      <c r="D188" s="13"/>
      <c r="E188" s="13"/>
      <c r="F188" s="40"/>
      <c r="G188" s="26"/>
    </row>
    <row r="189" spans="1:7" ht="15.75" customHeight="1" x14ac:dyDescent="0.25">
      <c r="A189" s="26"/>
      <c r="B189" s="39"/>
      <c r="C189" s="14"/>
      <c r="D189" s="13"/>
      <c r="E189" s="13"/>
      <c r="F189" s="40"/>
      <c r="G189" s="26"/>
    </row>
    <row r="190" spans="1:7" ht="15.75" customHeight="1" x14ac:dyDescent="0.25">
      <c r="A190" s="26"/>
      <c r="B190" s="39"/>
      <c r="C190" s="14"/>
      <c r="D190" s="13"/>
      <c r="E190" s="13"/>
      <c r="F190" s="40"/>
      <c r="G190" s="26"/>
    </row>
    <row r="191" spans="1:7" ht="15.75" customHeight="1" x14ac:dyDescent="0.25">
      <c r="A191" s="26"/>
      <c r="B191" s="39"/>
      <c r="C191" s="14"/>
      <c r="D191" s="13"/>
      <c r="E191" s="13"/>
      <c r="F191" s="40"/>
      <c r="G191" s="26"/>
    </row>
    <row r="192" spans="1:7" ht="15.75" customHeight="1" x14ac:dyDescent="0.25">
      <c r="A192" s="26"/>
      <c r="B192" s="39"/>
      <c r="C192" s="14"/>
      <c r="D192" s="13"/>
      <c r="E192" s="13"/>
      <c r="F192" s="40"/>
      <c r="G192" s="26"/>
    </row>
    <row r="193" spans="1:7" ht="15.75" customHeight="1" x14ac:dyDescent="0.25">
      <c r="A193" s="26"/>
      <c r="B193" s="39"/>
      <c r="C193" s="14"/>
      <c r="D193" s="13"/>
      <c r="E193" s="13"/>
      <c r="F193" s="40"/>
      <c r="G193" s="26"/>
    </row>
    <row r="194" spans="1:7" ht="15.75" customHeight="1" x14ac:dyDescent="0.25">
      <c r="A194" s="26"/>
      <c r="B194" s="39"/>
      <c r="C194" s="14"/>
      <c r="D194" s="13"/>
      <c r="E194" s="13"/>
      <c r="F194" s="40"/>
      <c r="G194" s="26"/>
    </row>
    <row r="195" spans="1:7" ht="15.75" customHeight="1" x14ac:dyDescent="0.25">
      <c r="A195" s="26"/>
      <c r="B195" s="39"/>
      <c r="C195" s="14"/>
      <c r="D195" s="13"/>
      <c r="E195" s="13"/>
      <c r="F195" s="40"/>
      <c r="G195" s="26"/>
    </row>
    <row r="196" spans="1:7" ht="15.75" customHeight="1" x14ac:dyDescent="0.25">
      <c r="A196" s="26"/>
      <c r="B196" s="39"/>
      <c r="C196" s="14"/>
      <c r="D196" s="13"/>
      <c r="E196" s="13"/>
      <c r="F196" s="40"/>
      <c r="G196" s="26"/>
    </row>
    <row r="197" spans="1:7" ht="15.75" customHeight="1" x14ac:dyDescent="0.25">
      <c r="A197" s="26"/>
      <c r="B197" s="39"/>
      <c r="C197" s="14"/>
      <c r="D197" s="13"/>
      <c r="E197" s="13"/>
      <c r="F197" s="40"/>
      <c r="G197" s="26"/>
    </row>
    <row r="198" spans="1:7" ht="15.75" customHeight="1" x14ac:dyDescent="0.25">
      <c r="A198" s="26"/>
      <c r="B198" s="39"/>
      <c r="C198" s="14"/>
      <c r="D198" s="13"/>
      <c r="E198" s="13"/>
      <c r="F198" s="40"/>
      <c r="G198" s="26"/>
    </row>
    <row r="199" spans="1:7" ht="15.75" customHeight="1" x14ac:dyDescent="0.25">
      <c r="A199" s="26"/>
      <c r="B199" s="39"/>
      <c r="C199" s="14"/>
      <c r="D199" s="13"/>
      <c r="E199" s="13"/>
      <c r="F199" s="40"/>
      <c r="G199" s="26"/>
    </row>
    <row r="200" spans="1:7" ht="15.75" customHeight="1" x14ac:dyDescent="0.25">
      <c r="A200" s="26"/>
      <c r="B200" s="39"/>
      <c r="C200" s="14"/>
      <c r="D200" s="13"/>
      <c r="E200" s="13"/>
      <c r="F200" s="40"/>
      <c r="G200" s="26"/>
    </row>
    <row r="201" spans="1:7" ht="15.75" customHeight="1" x14ac:dyDescent="0.25">
      <c r="A201" s="26"/>
      <c r="B201" s="39"/>
      <c r="C201" s="14"/>
      <c r="D201" s="13"/>
      <c r="E201" s="13"/>
      <c r="F201" s="40"/>
      <c r="G201" s="26"/>
    </row>
    <row r="202" spans="1:7" ht="15.75" customHeight="1" x14ac:dyDescent="0.25">
      <c r="A202" s="26"/>
      <c r="B202" s="39"/>
      <c r="C202" s="14"/>
      <c r="D202" s="13"/>
      <c r="E202" s="13"/>
      <c r="F202" s="40"/>
      <c r="G202" s="26"/>
    </row>
    <row r="203" spans="1:7" ht="15.75" customHeight="1" x14ac:dyDescent="0.25">
      <c r="A203" s="26"/>
      <c r="B203" s="39"/>
      <c r="C203" s="14"/>
      <c r="D203" s="13"/>
      <c r="E203" s="13"/>
      <c r="F203" s="40"/>
      <c r="G203" s="26"/>
    </row>
    <row r="204" spans="1:7" ht="15.75" customHeight="1" x14ac:dyDescent="0.25">
      <c r="A204" s="26"/>
      <c r="B204" s="39"/>
      <c r="C204" s="14"/>
      <c r="D204" s="13"/>
      <c r="E204" s="13"/>
      <c r="F204" s="40"/>
      <c r="G204" s="26"/>
    </row>
    <row r="205" spans="1:7" ht="15.75" customHeight="1" x14ac:dyDescent="0.25">
      <c r="A205" s="26"/>
      <c r="B205" s="39"/>
      <c r="C205" s="14"/>
      <c r="D205" s="13"/>
      <c r="E205" s="13"/>
      <c r="F205" s="40"/>
      <c r="G205" s="26"/>
    </row>
    <row r="206" spans="1:7" ht="15.75" customHeight="1" x14ac:dyDescent="0.25">
      <c r="A206" s="26"/>
      <c r="B206" s="39"/>
      <c r="C206" s="14"/>
      <c r="D206" s="13"/>
      <c r="E206" s="13"/>
      <c r="F206" s="40"/>
      <c r="G206" s="26"/>
    </row>
    <row r="207" spans="1:7" ht="15.75" customHeight="1" x14ac:dyDescent="0.25">
      <c r="A207" s="26"/>
      <c r="B207" s="39"/>
      <c r="C207" s="14"/>
      <c r="D207" s="13"/>
      <c r="E207" s="13"/>
      <c r="F207" s="40"/>
      <c r="G207" s="26"/>
    </row>
    <row r="208" spans="1:7" ht="15.75" customHeight="1" x14ac:dyDescent="0.25">
      <c r="A208" s="26"/>
      <c r="B208" s="39"/>
      <c r="C208" s="14"/>
      <c r="D208" s="13"/>
      <c r="E208" s="13"/>
      <c r="F208" s="40"/>
      <c r="G208" s="26"/>
    </row>
    <row r="209" spans="1:7" ht="15.75" customHeight="1" x14ac:dyDescent="0.25">
      <c r="A209" s="26"/>
      <c r="B209" s="39"/>
      <c r="C209" s="14"/>
      <c r="D209" s="13"/>
      <c r="E209" s="13"/>
      <c r="F209" s="40"/>
      <c r="G209" s="26"/>
    </row>
    <row r="210" spans="1:7" ht="15.75" customHeight="1" x14ac:dyDescent="0.25">
      <c r="A210" s="26"/>
      <c r="B210" s="39"/>
      <c r="C210" s="14"/>
      <c r="D210" s="13"/>
      <c r="E210" s="13"/>
      <c r="F210" s="40"/>
      <c r="G210" s="26"/>
    </row>
    <row r="211" spans="1:7" ht="15.75" customHeight="1" x14ac:dyDescent="0.25">
      <c r="A211" s="26"/>
      <c r="B211" s="39"/>
      <c r="C211" s="14"/>
      <c r="D211" s="13"/>
      <c r="E211" s="13"/>
      <c r="F211" s="40"/>
      <c r="G211" s="26"/>
    </row>
    <row r="212" spans="1:7" ht="15.75" customHeight="1" x14ac:dyDescent="0.25">
      <c r="A212" s="26"/>
      <c r="B212" s="39"/>
      <c r="C212" s="14"/>
      <c r="D212" s="13"/>
      <c r="E212" s="13"/>
      <c r="F212" s="40"/>
      <c r="G212" s="26"/>
    </row>
    <row r="213" spans="1:7" ht="15.75" customHeight="1" x14ac:dyDescent="0.25">
      <c r="A213" s="26"/>
      <c r="B213" s="39"/>
      <c r="C213" s="14"/>
      <c r="D213" s="13"/>
      <c r="E213" s="13"/>
      <c r="F213" s="40"/>
      <c r="G213" s="26"/>
    </row>
    <row r="214" spans="1:7" ht="15.75" customHeight="1" x14ac:dyDescent="0.25">
      <c r="A214" s="26"/>
      <c r="B214" s="39"/>
      <c r="C214" s="14"/>
      <c r="D214" s="13"/>
      <c r="E214" s="13"/>
      <c r="F214" s="40"/>
      <c r="G214" s="26"/>
    </row>
    <row r="215" spans="1:7" ht="15.75" customHeight="1" x14ac:dyDescent="0.25">
      <c r="A215" s="26"/>
      <c r="B215" s="39"/>
      <c r="C215" s="14"/>
      <c r="D215" s="13"/>
      <c r="E215" s="13"/>
      <c r="F215" s="40"/>
      <c r="G215" s="26"/>
    </row>
    <row r="216" spans="1:7" ht="15.75" customHeight="1" x14ac:dyDescent="0.25">
      <c r="A216" s="26"/>
      <c r="B216" s="39"/>
      <c r="C216" s="14"/>
      <c r="D216" s="13"/>
      <c r="E216" s="13"/>
      <c r="F216" s="40"/>
      <c r="G216" s="26"/>
    </row>
    <row r="217" spans="1:7" ht="15.75" customHeight="1" x14ac:dyDescent="0.25">
      <c r="A217" s="26"/>
      <c r="B217" s="39"/>
      <c r="C217" s="14"/>
      <c r="D217" s="13"/>
      <c r="E217" s="13"/>
      <c r="F217" s="40"/>
      <c r="G217" s="26"/>
    </row>
    <row r="218" spans="1:7" ht="15.75" customHeight="1" x14ac:dyDescent="0.25">
      <c r="A218" s="26"/>
      <c r="B218" s="39"/>
      <c r="C218" s="14"/>
      <c r="D218" s="13"/>
      <c r="E218" s="13"/>
      <c r="F218" s="40"/>
      <c r="G218" s="26"/>
    </row>
    <row r="219" spans="1:7" ht="15.75" customHeight="1" x14ac:dyDescent="0.25">
      <c r="A219" s="26"/>
      <c r="B219" s="39"/>
      <c r="C219" s="14"/>
      <c r="D219" s="13"/>
      <c r="E219" s="13"/>
      <c r="F219" s="40"/>
      <c r="G219" s="26"/>
    </row>
    <row r="220" spans="1:7" ht="15.75" customHeight="1" x14ac:dyDescent="0.25">
      <c r="A220" s="26"/>
      <c r="B220" s="39"/>
      <c r="C220" s="14"/>
      <c r="D220" s="13"/>
      <c r="E220" s="13"/>
      <c r="F220" s="40"/>
      <c r="G220" s="26"/>
    </row>
    <row r="221" spans="1:7" ht="15.75" customHeight="1" x14ac:dyDescent="0.25">
      <c r="A221" s="26"/>
      <c r="B221" s="39"/>
      <c r="C221" s="14"/>
      <c r="D221" s="13"/>
      <c r="E221" s="13"/>
      <c r="F221" s="40"/>
      <c r="G221" s="26"/>
    </row>
    <row r="222" spans="1:7" ht="15.75" customHeight="1" x14ac:dyDescent="0.25">
      <c r="A222" s="26"/>
      <c r="B222" s="39"/>
      <c r="C222" s="14"/>
      <c r="D222" s="13"/>
      <c r="E222" s="13"/>
      <c r="F222" s="40"/>
      <c r="G222" s="26"/>
    </row>
    <row r="223" spans="1:7" ht="15.75" customHeight="1" x14ac:dyDescent="0.25">
      <c r="A223" s="26"/>
      <c r="B223" s="39"/>
      <c r="C223" s="14"/>
      <c r="D223" s="13"/>
      <c r="E223" s="13"/>
      <c r="F223" s="40"/>
      <c r="G223" s="26"/>
    </row>
    <row r="224" spans="1:7" ht="15.75" customHeight="1" x14ac:dyDescent="0.25">
      <c r="A224" s="26"/>
      <c r="B224" s="39"/>
      <c r="C224" s="14"/>
      <c r="D224" s="13"/>
      <c r="E224" s="13"/>
      <c r="F224" s="40"/>
      <c r="G224" s="26"/>
    </row>
    <row r="225" spans="1:7" ht="15.75" customHeight="1" x14ac:dyDescent="0.25">
      <c r="A225" s="26"/>
      <c r="B225" s="39"/>
      <c r="C225" s="14"/>
      <c r="D225" s="13"/>
      <c r="E225" s="13"/>
      <c r="F225" s="40"/>
      <c r="G225" s="26"/>
    </row>
    <row r="226" spans="1:7" ht="15.75" customHeight="1" x14ac:dyDescent="0.25">
      <c r="A226" s="26"/>
      <c r="B226" s="39"/>
      <c r="C226" s="14"/>
      <c r="D226" s="13"/>
      <c r="E226" s="13"/>
      <c r="F226" s="40"/>
      <c r="G226" s="26"/>
    </row>
    <row r="227" spans="1:7" ht="15.75" customHeight="1" x14ac:dyDescent="0.25">
      <c r="A227" s="26"/>
      <c r="B227" s="39"/>
      <c r="C227" s="14"/>
      <c r="D227" s="13"/>
      <c r="E227" s="13"/>
      <c r="F227" s="40"/>
      <c r="G227" s="26"/>
    </row>
    <row r="228" spans="1:7" ht="15.75" customHeight="1" x14ac:dyDescent="0.25">
      <c r="A228" s="26"/>
      <c r="B228" s="39"/>
      <c r="C228" s="14"/>
      <c r="D228" s="13"/>
      <c r="E228" s="13"/>
      <c r="F228" s="40"/>
      <c r="G228" s="26"/>
    </row>
    <row r="229" spans="1:7" ht="15.75" customHeight="1" x14ac:dyDescent="0.25">
      <c r="A229" s="26"/>
      <c r="B229" s="39"/>
      <c r="C229" s="14"/>
      <c r="D229" s="13"/>
      <c r="E229" s="13"/>
      <c r="F229" s="40"/>
      <c r="G229" s="26"/>
    </row>
    <row r="230" spans="1:7" ht="15.75" customHeight="1" x14ac:dyDescent="0.25">
      <c r="A230" s="26"/>
      <c r="B230" s="39"/>
      <c r="C230" s="14"/>
      <c r="D230" s="13"/>
      <c r="E230" s="13"/>
      <c r="F230" s="40"/>
      <c r="G230" s="26"/>
    </row>
    <row r="231" spans="1:7" ht="15.75" customHeight="1" x14ac:dyDescent="0.25">
      <c r="A231" s="26"/>
      <c r="B231" s="39"/>
      <c r="C231" s="14"/>
      <c r="D231" s="13"/>
      <c r="E231" s="13"/>
      <c r="F231" s="40"/>
      <c r="G231" s="26"/>
    </row>
    <row r="232" spans="1:7" ht="15.75" customHeight="1" x14ac:dyDescent="0.25">
      <c r="A232" s="26"/>
      <c r="B232" s="39"/>
      <c r="C232" s="14"/>
      <c r="D232" s="13"/>
      <c r="E232" s="13"/>
      <c r="F232" s="40"/>
      <c r="G232" s="26"/>
    </row>
    <row r="233" spans="1:7" ht="15.75" customHeight="1" x14ac:dyDescent="0.25">
      <c r="A233" s="26"/>
      <c r="B233" s="39"/>
      <c r="C233" s="14"/>
      <c r="D233" s="13"/>
      <c r="E233" s="13"/>
      <c r="F233" s="40"/>
      <c r="G233" s="26"/>
    </row>
    <row r="234" spans="1:7" ht="15.75" customHeight="1" x14ac:dyDescent="0.25">
      <c r="A234" s="26"/>
      <c r="B234" s="39"/>
      <c r="C234" s="14"/>
      <c r="D234" s="13"/>
      <c r="E234" s="13"/>
      <c r="F234" s="40"/>
      <c r="G234" s="26"/>
    </row>
    <row r="235" spans="1:7" ht="15.75" customHeight="1" x14ac:dyDescent="0.25">
      <c r="A235" s="26"/>
      <c r="B235" s="39"/>
      <c r="C235" s="14"/>
      <c r="D235" s="13"/>
      <c r="E235" s="13"/>
      <c r="F235" s="40"/>
      <c r="G235" s="26"/>
    </row>
    <row r="236" spans="1:7" ht="15.75" customHeight="1" x14ac:dyDescent="0.25">
      <c r="A236" s="26"/>
      <c r="B236" s="39"/>
      <c r="C236" s="14"/>
      <c r="D236" s="13"/>
      <c r="E236" s="13"/>
      <c r="F236" s="40"/>
      <c r="G236" s="26"/>
    </row>
    <row r="237" spans="1:7" ht="15.75" customHeight="1" x14ac:dyDescent="0.25">
      <c r="A237" s="26"/>
      <c r="B237" s="39"/>
      <c r="C237" s="14"/>
      <c r="D237" s="13"/>
      <c r="E237" s="13"/>
      <c r="F237" s="40"/>
      <c r="G237" s="26"/>
    </row>
    <row r="238" spans="1:7" ht="15.75" customHeight="1" x14ac:dyDescent="0.25">
      <c r="A238" s="26"/>
      <c r="B238" s="39"/>
      <c r="C238" s="14"/>
      <c r="D238" s="13"/>
      <c r="E238" s="13"/>
      <c r="F238" s="40"/>
      <c r="G238" s="26"/>
    </row>
    <row r="239" spans="1:7" ht="15.75" customHeight="1" x14ac:dyDescent="0.25">
      <c r="A239" s="26"/>
      <c r="B239" s="39"/>
      <c r="C239" s="14"/>
      <c r="D239" s="13"/>
      <c r="E239" s="13"/>
      <c r="F239" s="40"/>
      <c r="G239" s="26"/>
    </row>
    <row r="240" spans="1:7" ht="15.75" customHeight="1" x14ac:dyDescent="0.25">
      <c r="A240" s="26"/>
      <c r="B240" s="39"/>
      <c r="C240" s="14"/>
      <c r="D240" s="13"/>
      <c r="E240" s="13"/>
      <c r="F240" s="40"/>
      <c r="G240" s="26"/>
    </row>
    <row r="241" spans="1:7" ht="15.75" customHeight="1" x14ac:dyDescent="0.25">
      <c r="A241" s="26"/>
      <c r="B241" s="39"/>
      <c r="C241" s="14"/>
      <c r="D241" s="13"/>
      <c r="E241" s="13"/>
      <c r="F241" s="40"/>
      <c r="G241" s="26"/>
    </row>
    <row r="242" spans="1:7" ht="15.75" customHeight="1" x14ac:dyDescent="0.25">
      <c r="A242" s="26"/>
      <c r="B242" s="39"/>
      <c r="C242" s="14"/>
      <c r="D242" s="13"/>
      <c r="E242" s="13"/>
      <c r="F242" s="40"/>
      <c r="G242" s="26"/>
    </row>
    <row r="243" spans="1:7" ht="15.75" customHeight="1" x14ac:dyDescent="0.25">
      <c r="A243" s="26"/>
      <c r="B243" s="39"/>
      <c r="C243" s="14"/>
      <c r="D243" s="13"/>
      <c r="E243" s="13"/>
      <c r="F243" s="40"/>
      <c r="G243" s="26"/>
    </row>
    <row r="244" spans="1:7" ht="15.75" customHeight="1" x14ac:dyDescent="0.25">
      <c r="A244" s="26"/>
      <c r="B244" s="39"/>
      <c r="C244" s="14"/>
      <c r="D244" s="13"/>
      <c r="E244" s="13"/>
      <c r="F244" s="40"/>
      <c r="G244" s="26"/>
    </row>
    <row r="245" spans="1:7" ht="15.75" customHeight="1" x14ac:dyDescent="0.25">
      <c r="A245" s="26"/>
      <c r="B245" s="39"/>
      <c r="C245" s="14"/>
      <c r="D245" s="13"/>
      <c r="E245" s="13"/>
      <c r="F245" s="40"/>
      <c r="G245" s="26"/>
    </row>
    <row r="246" spans="1:7" ht="15.75" customHeight="1" x14ac:dyDescent="0.25">
      <c r="A246" s="26"/>
      <c r="B246" s="39"/>
      <c r="C246" s="14"/>
      <c r="D246" s="13"/>
      <c r="E246" s="13"/>
      <c r="F246" s="40"/>
      <c r="G246" s="26"/>
    </row>
    <row r="247" spans="1:7" ht="15.75" customHeight="1" x14ac:dyDescent="0.25">
      <c r="A247" s="26"/>
      <c r="B247" s="39"/>
      <c r="C247" s="14"/>
      <c r="D247" s="13"/>
      <c r="E247" s="13"/>
      <c r="F247" s="40"/>
      <c r="G247" s="26"/>
    </row>
    <row r="248" spans="1:7" ht="15.75" customHeight="1" x14ac:dyDescent="0.25">
      <c r="A248" s="26"/>
      <c r="B248" s="39"/>
      <c r="C248" s="14"/>
      <c r="D248" s="13"/>
      <c r="E248" s="13"/>
      <c r="F248" s="40"/>
      <c r="G248" s="26"/>
    </row>
    <row r="249" spans="1:7" ht="15.75" customHeight="1" x14ac:dyDescent="0.25">
      <c r="A249" s="26"/>
      <c r="B249" s="39"/>
      <c r="C249" s="14"/>
      <c r="D249" s="13"/>
      <c r="E249" s="13"/>
      <c r="F249" s="40"/>
      <c r="G249" s="26"/>
    </row>
    <row r="250" spans="1:7" ht="15.75" customHeight="1" x14ac:dyDescent="0.25">
      <c r="A250" s="26"/>
      <c r="B250" s="39"/>
      <c r="C250" s="14"/>
      <c r="D250" s="13"/>
      <c r="E250" s="13"/>
      <c r="F250" s="40"/>
      <c r="G250" s="26"/>
    </row>
    <row r="251" spans="1:7" ht="15.75" customHeight="1" x14ac:dyDescent="0.25">
      <c r="A251" s="26"/>
      <c r="B251" s="39"/>
      <c r="C251" s="14"/>
      <c r="D251" s="13"/>
      <c r="E251" s="13"/>
      <c r="F251" s="40"/>
      <c r="G251" s="26"/>
    </row>
    <row r="252" spans="1:7" ht="15.75" customHeight="1" x14ac:dyDescent="0.25">
      <c r="A252" s="26"/>
      <c r="B252" s="39"/>
      <c r="C252" s="14"/>
      <c r="D252" s="13"/>
      <c r="E252" s="13"/>
      <c r="F252" s="40"/>
      <c r="G252" s="26"/>
    </row>
    <row r="253" spans="1:7" ht="15.75" customHeight="1" x14ac:dyDescent="0.25">
      <c r="A253" s="26"/>
      <c r="B253" s="39"/>
      <c r="C253" s="14"/>
      <c r="D253" s="13"/>
      <c r="E253" s="13"/>
      <c r="F253" s="40"/>
      <c r="G253" s="26"/>
    </row>
    <row r="254" spans="1:7" ht="15.75" customHeight="1" x14ac:dyDescent="0.25">
      <c r="A254" s="26"/>
      <c r="B254" s="39"/>
      <c r="C254" s="14"/>
      <c r="D254" s="13"/>
      <c r="E254" s="13"/>
      <c r="F254" s="40"/>
      <c r="G254" s="26"/>
    </row>
    <row r="255" spans="1:7" ht="15.75" customHeight="1" x14ac:dyDescent="0.25">
      <c r="A255" s="26"/>
      <c r="B255" s="39"/>
      <c r="C255" s="14"/>
      <c r="D255" s="13"/>
      <c r="E255" s="13"/>
      <c r="F255" s="40"/>
      <c r="G255" s="26"/>
    </row>
    <row r="256" spans="1:7" ht="15.75" customHeight="1" x14ac:dyDescent="0.25">
      <c r="A256" s="26"/>
      <c r="B256" s="39"/>
      <c r="C256" s="14"/>
      <c r="D256" s="13"/>
      <c r="E256" s="13"/>
      <c r="F256" s="40"/>
      <c r="G256" s="26"/>
    </row>
    <row r="257" spans="1:7" ht="15.75" customHeight="1" x14ac:dyDescent="0.25">
      <c r="A257" s="26"/>
      <c r="B257" s="39"/>
      <c r="C257" s="14"/>
      <c r="D257" s="13"/>
      <c r="E257" s="13"/>
      <c r="F257" s="40"/>
      <c r="G257" s="26"/>
    </row>
    <row r="258" spans="1:7" ht="15.75" customHeight="1" x14ac:dyDescent="0.25">
      <c r="A258" s="26"/>
      <c r="B258" s="39"/>
      <c r="C258" s="14"/>
      <c r="D258" s="13"/>
      <c r="E258" s="13"/>
      <c r="F258" s="40"/>
      <c r="G258" s="26"/>
    </row>
    <row r="259" spans="1:7" ht="15.75" customHeight="1" x14ac:dyDescent="0.25">
      <c r="A259" s="26"/>
      <c r="B259" s="39"/>
      <c r="C259" s="14"/>
      <c r="D259" s="13"/>
      <c r="E259" s="13"/>
      <c r="F259" s="40"/>
      <c r="G259" s="26"/>
    </row>
    <row r="260" spans="1:7" ht="15.75" customHeight="1" x14ac:dyDescent="0.25">
      <c r="A260" s="26"/>
      <c r="B260" s="39"/>
      <c r="C260" s="14"/>
      <c r="D260" s="13"/>
      <c r="E260" s="13"/>
      <c r="F260" s="40"/>
      <c r="G260" s="26"/>
    </row>
    <row r="261" spans="1:7" ht="15.75" customHeight="1" x14ac:dyDescent="0.25">
      <c r="A261" s="26"/>
      <c r="B261" s="39"/>
      <c r="C261" s="14"/>
      <c r="D261" s="13"/>
      <c r="E261" s="13"/>
      <c r="F261" s="40"/>
      <c r="G261" s="26"/>
    </row>
    <row r="262" spans="1:7" ht="15.75" customHeight="1" x14ac:dyDescent="0.25">
      <c r="A262" s="26"/>
      <c r="B262" s="39"/>
      <c r="C262" s="14"/>
      <c r="D262" s="13"/>
      <c r="E262" s="13"/>
      <c r="F262" s="40"/>
      <c r="G262" s="26"/>
    </row>
    <row r="263" spans="1:7" ht="15.75" customHeight="1" x14ac:dyDescent="0.25">
      <c r="A263" s="26"/>
      <c r="B263" s="39"/>
      <c r="C263" s="14"/>
      <c r="D263" s="13"/>
      <c r="E263" s="13"/>
      <c r="F263" s="40"/>
      <c r="G263" s="26"/>
    </row>
    <row r="264" spans="1:7" ht="15.75" customHeight="1" x14ac:dyDescent="0.25">
      <c r="A264" s="26"/>
      <c r="B264" s="39"/>
      <c r="C264" s="14"/>
      <c r="D264" s="13"/>
      <c r="E264" s="13"/>
      <c r="F264" s="40"/>
      <c r="G264" s="26"/>
    </row>
    <row r="265" spans="1:7" ht="15.75" customHeight="1" x14ac:dyDescent="0.25">
      <c r="A265" s="26"/>
      <c r="B265" s="39"/>
      <c r="C265" s="14"/>
      <c r="D265" s="13"/>
      <c r="E265" s="13"/>
      <c r="F265" s="40"/>
      <c r="G265" s="26"/>
    </row>
    <row r="266" spans="1:7" ht="15.75" customHeight="1" x14ac:dyDescent="0.25">
      <c r="A266" s="26"/>
      <c r="B266" s="39"/>
      <c r="C266" s="14"/>
      <c r="D266" s="13"/>
      <c r="E266" s="13"/>
      <c r="F266" s="40"/>
      <c r="G266" s="26"/>
    </row>
    <row r="267" spans="1:7" ht="15.75" customHeight="1" x14ac:dyDescent="0.25">
      <c r="A267" s="26"/>
      <c r="B267" s="39"/>
      <c r="C267" s="14"/>
      <c r="D267" s="13"/>
      <c r="E267" s="13"/>
      <c r="F267" s="40"/>
      <c r="G267" s="26"/>
    </row>
    <row r="268" spans="1:7" ht="15.75" customHeight="1" x14ac:dyDescent="0.25">
      <c r="A268" s="26"/>
      <c r="B268" s="39"/>
      <c r="C268" s="14"/>
      <c r="D268" s="13"/>
      <c r="E268" s="13"/>
      <c r="F268" s="40"/>
      <c r="G268" s="26"/>
    </row>
    <row r="269" spans="1:7" ht="15.75" customHeight="1" x14ac:dyDescent="0.25">
      <c r="A269" s="26"/>
      <c r="B269" s="39"/>
      <c r="C269" s="14"/>
      <c r="D269" s="13"/>
      <c r="E269" s="13"/>
      <c r="F269" s="40"/>
      <c r="G269" s="26"/>
    </row>
    <row r="270" spans="1:7" ht="15.75" customHeight="1" x14ac:dyDescent="0.25">
      <c r="A270" s="26"/>
      <c r="B270" s="39"/>
      <c r="C270" s="14"/>
      <c r="D270" s="13"/>
      <c r="E270" s="13"/>
      <c r="F270" s="40"/>
      <c r="G270" s="26"/>
    </row>
    <row r="271" spans="1:7" ht="15.75" customHeight="1" x14ac:dyDescent="0.25">
      <c r="A271" s="26"/>
      <c r="B271" s="39"/>
      <c r="C271" s="14"/>
      <c r="D271" s="13"/>
      <c r="E271" s="13"/>
      <c r="F271" s="40"/>
      <c r="G271" s="26"/>
    </row>
    <row r="272" spans="1:7" ht="15.75" customHeight="1" x14ac:dyDescent="0.25">
      <c r="A272" s="26"/>
      <c r="B272" s="39"/>
      <c r="C272" s="14"/>
      <c r="D272" s="13"/>
      <c r="E272" s="13"/>
      <c r="F272" s="40"/>
      <c r="G272" s="26"/>
    </row>
    <row r="273" spans="1:7" ht="15.75" customHeight="1" x14ac:dyDescent="0.25">
      <c r="A273" s="26"/>
      <c r="B273" s="39"/>
      <c r="C273" s="14"/>
      <c r="D273" s="13"/>
      <c r="E273" s="13"/>
      <c r="F273" s="40"/>
      <c r="G273" s="26"/>
    </row>
    <row r="274" spans="1:7" ht="15.75" customHeight="1" x14ac:dyDescent="0.25">
      <c r="A274" s="26"/>
      <c r="B274" s="39"/>
      <c r="C274" s="14"/>
      <c r="D274" s="13"/>
      <c r="E274" s="13"/>
      <c r="F274" s="40"/>
      <c r="G274" s="26"/>
    </row>
    <row r="275" spans="1:7" ht="15.75" customHeight="1" x14ac:dyDescent="0.25">
      <c r="A275" s="26"/>
      <c r="B275" s="39"/>
      <c r="C275" s="14"/>
      <c r="D275" s="13"/>
      <c r="E275" s="13"/>
      <c r="F275" s="40"/>
      <c r="G275" s="26"/>
    </row>
    <row r="276" spans="1:7" ht="15.75" customHeight="1" x14ac:dyDescent="0.25">
      <c r="A276" s="26"/>
      <c r="B276" s="39"/>
      <c r="C276" s="14"/>
      <c r="D276" s="13"/>
      <c r="E276" s="13"/>
      <c r="F276" s="40"/>
      <c r="G276" s="26"/>
    </row>
    <row r="277" spans="1:7" ht="15.75" customHeight="1" x14ac:dyDescent="0.25">
      <c r="A277" s="26"/>
      <c r="B277" s="39"/>
      <c r="C277" s="14"/>
      <c r="D277" s="13"/>
      <c r="E277" s="13"/>
      <c r="F277" s="40"/>
      <c r="G277" s="26"/>
    </row>
    <row r="278" spans="1:7" ht="15.75" customHeight="1" x14ac:dyDescent="0.25">
      <c r="A278" s="26"/>
      <c r="B278" s="39"/>
      <c r="C278" s="14"/>
      <c r="D278" s="13"/>
      <c r="E278" s="13"/>
      <c r="F278" s="40"/>
      <c r="G278" s="26"/>
    </row>
    <row r="279" spans="1:7" ht="15.75" customHeight="1" x14ac:dyDescent="0.25">
      <c r="A279" s="26"/>
      <c r="B279" s="39"/>
      <c r="C279" s="14"/>
      <c r="D279" s="13"/>
      <c r="E279" s="13"/>
      <c r="F279" s="40"/>
      <c r="G279" s="26"/>
    </row>
    <row r="280" spans="1:7" ht="15.75" customHeight="1" x14ac:dyDescent="0.25">
      <c r="A280" s="26"/>
      <c r="B280" s="39"/>
      <c r="C280" s="14"/>
      <c r="D280" s="13"/>
      <c r="E280" s="13"/>
      <c r="F280" s="40"/>
      <c r="G280" s="26"/>
    </row>
    <row r="281" spans="1:7" ht="15.75" customHeight="1" x14ac:dyDescent="0.25">
      <c r="A281" s="26"/>
      <c r="B281" s="39"/>
      <c r="C281" s="14"/>
      <c r="D281" s="13"/>
      <c r="E281" s="13"/>
      <c r="F281" s="40"/>
      <c r="G281" s="26"/>
    </row>
    <row r="282" spans="1:7" ht="15.75" customHeight="1" x14ac:dyDescent="0.25">
      <c r="A282" s="26"/>
      <c r="B282" s="39"/>
      <c r="C282" s="14"/>
      <c r="D282" s="13"/>
      <c r="E282" s="13"/>
      <c r="F282" s="40"/>
      <c r="G282" s="26"/>
    </row>
    <row r="283" spans="1:7" ht="15.75" customHeight="1" x14ac:dyDescent="0.25">
      <c r="A283" s="26"/>
      <c r="B283" s="39"/>
      <c r="C283" s="14"/>
      <c r="D283" s="13"/>
      <c r="E283" s="13"/>
      <c r="F283" s="40"/>
      <c r="G283" s="26"/>
    </row>
    <row r="284" spans="1:7" ht="15.75" customHeight="1" x14ac:dyDescent="0.25">
      <c r="A284" s="26"/>
      <c r="B284" s="39"/>
      <c r="C284" s="14"/>
      <c r="D284" s="13"/>
      <c r="E284" s="13"/>
      <c r="F284" s="40"/>
      <c r="G284" s="26"/>
    </row>
    <row r="285" spans="1:7" ht="15.75" customHeight="1" x14ac:dyDescent="0.25">
      <c r="A285" s="26"/>
      <c r="B285" s="39"/>
      <c r="C285" s="14"/>
      <c r="D285" s="13"/>
      <c r="E285" s="13"/>
      <c r="F285" s="40"/>
      <c r="G285" s="26"/>
    </row>
    <row r="286" spans="1:7" ht="15.75" customHeight="1" x14ac:dyDescent="0.25">
      <c r="A286" s="26"/>
      <c r="B286" s="39"/>
      <c r="C286" s="14"/>
      <c r="D286" s="13"/>
      <c r="E286" s="13"/>
      <c r="F286" s="40"/>
      <c r="G286" s="26"/>
    </row>
    <row r="287" spans="1:7" ht="15.75" customHeight="1" x14ac:dyDescent="0.25">
      <c r="A287" s="26"/>
      <c r="B287" s="39"/>
      <c r="C287" s="14"/>
      <c r="D287" s="13"/>
      <c r="E287" s="13"/>
      <c r="F287" s="40"/>
      <c r="G287" s="26"/>
    </row>
    <row r="288" spans="1:7" ht="15.75" customHeight="1" x14ac:dyDescent="0.25">
      <c r="A288" s="26"/>
      <c r="B288" s="39"/>
      <c r="C288" s="14"/>
      <c r="D288" s="13"/>
      <c r="E288" s="13"/>
      <c r="F288" s="40"/>
      <c r="G288" s="26"/>
    </row>
    <row r="289" spans="1:7" ht="15.75" customHeight="1" x14ac:dyDescent="0.25">
      <c r="A289" s="26"/>
      <c r="B289" s="39"/>
      <c r="C289" s="14"/>
      <c r="D289" s="13"/>
      <c r="E289" s="13"/>
      <c r="F289" s="40"/>
      <c r="G289" s="26"/>
    </row>
    <row r="290" spans="1:7" ht="15.75" customHeight="1" x14ac:dyDescent="0.25">
      <c r="A290" s="26"/>
      <c r="B290" s="39"/>
      <c r="C290" s="14"/>
      <c r="D290" s="13"/>
      <c r="E290" s="13"/>
      <c r="F290" s="40"/>
      <c r="G290" s="26"/>
    </row>
    <row r="291" spans="1:7" ht="15.75" customHeight="1" x14ac:dyDescent="0.25">
      <c r="A291" s="26"/>
      <c r="B291" s="39"/>
      <c r="C291" s="14"/>
      <c r="D291" s="13"/>
      <c r="E291" s="13"/>
      <c r="F291" s="40"/>
      <c r="G291" s="26"/>
    </row>
    <row r="292" spans="1:7" ht="15.75" customHeight="1" x14ac:dyDescent="0.25">
      <c r="A292" s="26"/>
      <c r="B292" s="39"/>
      <c r="C292" s="14"/>
      <c r="D292" s="13"/>
      <c r="E292" s="13"/>
      <c r="F292" s="40"/>
      <c r="G292" s="26"/>
    </row>
    <row r="293" spans="1:7" ht="15.75" customHeight="1" x14ac:dyDescent="0.25">
      <c r="A293" s="26"/>
      <c r="B293" s="39"/>
      <c r="C293" s="14"/>
      <c r="D293" s="13"/>
      <c r="E293" s="13"/>
      <c r="F293" s="40"/>
      <c r="G293" s="26"/>
    </row>
    <row r="294" spans="1:7" ht="15.75" customHeight="1" x14ac:dyDescent="0.25">
      <c r="A294" s="26"/>
      <c r="B294" s="39"/>
      <c r="C294" s="14"/>
      <c r="D294" s="13"/>
      <c r="E294" s="13"/>
      <c r="F294" s="40"/>
      <c r="G294" s="26"/>
    </row>
    <row r="295" spans="1:7" ht="15.75" customHeight="1" x14ac:dyDescent="0.25">
      <c r="A295" s="26"/>
      <c r="B295" s="39"/>
      <c r="C295" s="14"/>
      <c r="D295" s="13"/>
      <c r="E295" s="13"/>
      <c r="F295" s="40"/>
      <c r="G295" s="26"/>
    </row>
    <row r="296" spans="1:7" ht="15.75" customHeight="1" x14ac:dyDescent="0.25">
      <c r="A296" s="26"/>
      <c r="B296" s="39"/>
      <c r="C296" s="14"/>
      <c r="D296" s="13"/>
      <c r="E296" s="13"/>
      <c r="F296" s="40"/>
      <c r="G296" s="26"/>
    </row>
    <row r="297" spans="1:7" ht="15.75" customHeight="1" x14ac:dyDescent="0.25">
      <c r="A297" s="26"/>
      <c r="B297" s="39"/>
      <c r="C297" s="14"/>
      <c r="D297" s="13"/>
      <c r="E297" s="13"/>
      <c r="F297" s="40"/>
      <c r="G297" s="26"/>
    </row>
    <row r="298" spans="1:7" ht="15.75" customHeight="1" x14ac:dyDescent="0.25">
      <c r="A298" s="26"/>
      <c r="B298" s="39"/>
      <c r="C298" s="14"/>
      <c r="D298" s="13"/>
      <c r="E298" s="13"/>
      <c r="F298" s="40"/>
      <c r="G298" s="26"/>
    </row>
    <row r="299" spans="1:7" ht="15.75" customHeight="1" x14ac:dyDescent="0.25">
      <c r="A299" s="26"/>
      <c r="B299" s="39"/>
      <c r="C299" s="14"/>
      <c r="D299" s="13"/>
      <c r="E299" s="13"/>
      <c r="F299" s="40"/>
      <c r="G299" s="26"/>
    </row>
    <row r="300" spans="1:7" ht="15.75" customHeight="1" x14ac:dyDescent="0.25">
      <c r="A300" s="26"/>
      <c r="B300" s="39"/>
      <c r="C300" s="14"/>
      <c r="D300" s="13"/>
      <c r="E300" s="13"/>
      <c r="F300" s="40"/>
      <c r="G300" s="26"/>
    </row>
    <row r="301" spans="1:7" ht="15.75" customHeight="1" x14ac:dyDescent="0.25">
      <c r="A301" s="26"/>
      <c r="B301" s="39"/>
      <c r="C301" s="14"/>
      <c r="D301" s="13"/>
      <c r="E301" s="13"/>
      <c r="F301" s="40"/>
      <c r="G301" s="26"/>
    </row>
    <row r="302" spans="1:7" ht="15.75" customHeight="1" x14ac:dyDescent="0.25">
      <c r="A302" s="26"/>
      <c r="B302" s="39"/>
      <c r="C302" s="14"/>
      <c r="D302" s="13"/>
      <c r="E302" s="13"/>
      <c r="F302" s="40"/>
      <c r="G302" s="26"/>
    </row>
    <row r="303" spans="1:7" ht="15.75" customHeight="1" x14ac:dyDescent="0.25">
      <c r="A303" s="26"/>
      <c r="B303" s="39"/>
      <c r="C303" s="14"/>
      <c r="D303" s="13"/>
      <c r="E303" s="13"/>
      <c r="F303" s="40"/>
      <c r="G303" s="26"/>
    </row>
    <row r="304" spans="1:7" ht="15.75" customHeight="1" x14ac:dyDescent="0.25">
      <c r="A304" s="26"/>
      <c r="B304" s="39"/>
      <c r="C304" s="14"/>
      <c r="D304" s="13"/>
      <c r="E304" s="13"/>
      <c r="F304" s="40"/>
      <c r="G304" s="26"/>
    </row>
    <row r="305" spans="1:7" ht="15.75" customHeight="1" x14ac:dyDescent="0.25">
      <c r="A305" s="26"/>
      <c r="B305" s="39"/>
      <c r="C305" s="14"/>
      <c r="D305" s="13"/>
      <c r="E305" s="13"/>
      <c r="F305" s="40"/>
      <c r="G305" s="26"/>
    </row>
    <row r="306" spans="1:7" ht="15.75" customHeight="1" x14ac:dyDescent="0.25">
      <c r="A306" s="26"/>
      <c r="B306" s="39"/>
      <c r="C306" s="14"/>
      <c r="D306" s="13"/>
      <c r="E306" s="13"/>
      <c r="F306" s="40"/>
      <c r="G306" s="26"/>
    </row>
    <row r="307" spans="1:7" ht="15.75" customHeight="1" x14ac:dyDescent="0.25">
      <c r="A307" s="26"/>
      <c r="B307" s="39"/>
      <c r="C307" s="14"/>
      <c r="D307" s="13"/>
      <c r="E307" s="13"/>
      <c r="F307" s="40"/>
      <c r="G307" s="26"/>
    </row>
    <row r="308" spans="1:7" ht="15.75" customHeight="1" x14ac:dyDescent="0.25">
      <c r="A308" s="26"/>
      <c r="B308" s="39"/>
      <c r="C308" s="14"/>
      <c r="D308" s="13"/>
      <c r="E308" s="13"/>
      <c r="F308" s="40"/>
      <c r="G308" s="26"/>
    </row>
    <row r="309" spans="1:7" ht="15.75" customHeight="1" x14ac:dyDescent="0.25">
      <c r="A309" s="26"/>
      <c r="B309" s="39"/>
      <c r="C309" s="14"/>
      <c r="D309" s="13"/>
      <c r="E309" s="13"/>
      <c r="F309" s="40"/>
      <c r="G309" s="26"/>
    </row>
    <row r="310" spans="1:7" ht="15.75" customHeight="1" x14ac:dyDescent="0.25">
      <c r="A310" s="26"/>
      <c r="B310" s="39"/>
      <c r="C310" s="14"/>
      <c r="D310" s="13"/>
      <c r="E310" s="13"/>
      <c r="F310" s="40"/>
      <c r="G310" s="26"/>
    </row>
    <row r="311" spans="1:7" ht="15.75" customHeight="1" x14ac:dyDescent="0.25">
      <c r="A311" s="26"/>
      <c r="B311" s="39"/>
      <c r="C311" s="14"/>
      <c r="D311" s="13"/>
      <c r="E311" s="13"/>
      <c r="F311" s="40"/>
      <c r="G311" s="26"/>
    </row>
    <row r="312" spans="1:7" ht="15.75" customHeight="1" x14ac:dyDescent="0.25">
      <c r="A312" s="26"/>
      <c r="B312" s="39"/>
      <c r="C312" s="14"/>
      <c r="D312" s="13"/>
      <c r="E312" s="13"/>
      <c r="F312" s="40"/>
      <c r="G312" s="26"/>
    </row>
    <row r="313" spans="1:7" ht="15.75" customHeight="1" x14ac:dyDescent="0.25">
      <c r="A313" s="26"/>
      <c r="B313" s="39"/>
      <c r="C313" s="14"/>
      <c r="D313" s="13"/>
      <c r="E313" s="13"/>
      <c r="F313" s="40"/>
      <c r="G313" s="26"/>
    </row>
    <row r="314" spans="1:7" ht="15.75" customHeight="1" x14ac:dyDescent="0.25">
      <c r="A314" s="26"/>
      <c r="B314" s="39"/>
      <c r="C314" s="14"/>
      <c r="D314" s="13"/>
      <c r="E314" s="13"/>
      <c r="F314" s="40"/>
      <c r="G314" s="26"/>
    </row>
    <row r="315" spans="1:7" ht="15.75" customHeight="1" x14ac:dyDescent="0.25">
      <c r="A315" s="26"/>
      <c r="B315" s="39"/>
      <c r="C315" s="14"/>
      <c r="D315" s="13"/>
      <c r="E315" s="13"/>
      <c r="F315" s="40"/>
      <c r="G315" s="26"/>
    </row>
    <row r="316" spans="1:7" ht="15.75" customHeight="1" x14ac:dyDescent="0.25">
      <c r="A316" s="26"/>
      <c r="B316" s="39"/>
      <c r="C316" s="14"/>
      <c r="D316" s="13"/>
      <c r="E316" s="13"/>
      <c r="F316" s="40"/>
      <c r="G316" s="26"/>
    </row>
    <row r="317" spans="1:7" ht="15.75" customHeight="1" x14ac:dyDescent="0.25">
      <c r="A317" s="26"/>
      <c r="B317" s="39"/>
      <c r="C317" s="14"/>
      <c r="D317" s="13"/>
      <c r="E317" s="13"/>
      <c r="F317" s="40"/>
      <c r="G317" s="26"/>
    </row>
    <row r="318" spans="1:7" ht="15.75" customHeight="1" x14ac:dyDescent="0.25">
      <c r="A318" s="26"/>
      <c r="B318" s="39"/>
      <c r="C318" s="14"/>
      <c r="D318" s="13"/>
      <c r="E318" s="13"/>
      <c r="F318" s="40"/>
      <c r="G318" s="26"/>
    </row>
    <row r="319" spans="1:7" ht="15.75" customHeight="1" x14ac:dyDescent="0.25">
      <c r="A319" s="26"/>
      <c r="B319" s="39"/>
      <c r="C319" s="14"/>
      <c r="D319" s="13"/>
      <c r="E319" s="13"/>
      <c r="F319" s="40"/>
      <c r="G319" s="26"/>
    </row>
    <row r="320" spans="1:7" ht="15.75" customHeight="1" x14ac:dyDescent="0.25">
      <c r="A320" s="26"/>
      <c r="B320" s="39"/>
      <c r="C320" s="14"/>
      <c r="D320" s="13"/>
      <c r="E320" s="13"/>
      <c r="F320" s="40"/>
      <c r="G320" s="26"/>
    </row>
    <row r="321" spans="1:7" ht="15.75" customHeight="1" x14ac:dyDescent="0.25">
      <c r="A321" s="26"/>
      <c r="B321" s="39"/>
      <c r="C321" s="14"/>
      <c r="D321" s="13"/>
      <c r="E321" s="13"/>
      <c r="F321" s="40"/>
      <c r="G321" s="26"/>
    </row>
    <row r="322" spans="1:7" ht="15.75" customHeight="1" x14ac:dyDescent="0.25">
      <c r="A322" s="26"/>
      <c r="B322" s="39"/>
      <c r="C322" s="14"/>
      <c r="D322" s="13"/>
      <c r="E322" s="13"/>
      <c r="F322" s="40"/>
      <c r="G322" s="26"/>
    </row>
    <row r="323" spans="1:7" ht="15.75" customHeight="1" x14ac:dyDescent="0.25">
      <c r="A323" s="26"/>
      <c r="B323" s="39"/>
      <c r="C323" s="14"/>
      <c r="D323" s="13"/>
      <c r="E323" s="13"/>
      <c r="F323" s="40"/>
      <c r="G323" s="26"/>
    </row>
    <row r="324" spans="1:7" ht="15.75" customHeight="1" x14ac:dyDescent="0.25">
      <c r="A324" s="26"/>
      <c r="B324" s="39"/>
      <c r="C324" s="14"/>
      <c r="D324" s="13"/>
      <c r="E324" s="13"/>
      <c r="F324" s="40"/>
      <c r="G324" s="26"/>
    </row>
    <row r="325" spans="1:7" ht="15.75" customHeight="1" x14ac:dyDescent="0.25">
      <c r="A325" s="26"/>
      <c r="B325" s="39"/>
      <c r="C325" s="14"/>
      <c r="D325" s="13"/>
      <c r="E325" s="13"/>
      <c r="F325" s="40"/>
      <c r="G325" s="26"/>
    </row>
    <row r="326" spans="1:7" ht="15.75" customHeight="1" x14ac:dyDescent="0.25">
      <c r="A326" s="26"/>
      <c r="B326" s="39"/>
      <c r="C326" s="14"/>
      <c r="D326" s="13"/>
      <c r="E326" s="13"/>
      <c r="F326" s="40"/>
      <c r="G326" s="26"/>
    </row>
    <row r="327" spans="1:7" ht="15.75" customHeight="1" x14ac:dyDescent="0.25">
      <c r="A327" s="26"/>
      <c r="B327" s="39"/>
      <c r="C327" s="14"/>
      <c r="D327" s="13"/>
      <c r="E327" s="13"/>
      <c r="F327" s="40"/>
      <c r="G327" s="26"/>
    </row>
    <row r="328" spans="1:7" ht="15.75" customHeight="1" x14ac:dyDescent="0.25">
      <c r="A328" s="26"/>
      <c r="B328" s="39"/>
      <c r="C328" s="14"/>
      <c r="D328" s="13"/>
      <c r="E328" s="13"/>
      <c r="F328" s="40"/>
      <c r="G328" s="26"/>
    </row>
    <row r="329" spans="1:7" ht="15.75" customHeight="1" x14ac:dyDescent="0.25">
      <c r="A329" s="26"/>
      <c r="B329" s="39"/>
      <c r="C329" s="14"/>
      <c r="D329" s="13"/>
      <c r="E329" s="13"/>
      <c r="F329" s="40"/>
      <c r="G329" s="26"/>
    </row>
    <row r="330" spans="1:7" ht="15.75" customHeight="1" x14ac:dyDescent="0.25">
      <c r="A330" s="26"/>
      <c r="B330" s="39"/>
      <c r="C330" s="14"/>
      <c r="D330" s="13"/>
      <c r="E330" s="13"/>
      <c r="F330" s="40"/>
      <c r="G330" s="26"/>
    </row>
    <row r="331" spans="1:7" ht="15.75" customHeight="1" x14ac:dyDescent="0.25">
      <c r="A331" s="26"/>
      <c r="B331" s="39"/>
      <c r="C331" s="14"/>
      <c r="D331" s="13"/>
      <c r="E331" s="13"/>
      <c r="F331" s="40"/>
      <c r="G331" s="26"/>
    </row>
    <row r="332" spans="1:7" ht="15.75" customHeight="1" x14ac:dyDescent="0.25">
      <c r="A332" s="26"/>
      <c r="B332" s="39"/>
      <c r="C332" s="14"/>
      <c r="D332" s="13"/>
      <c r="E332" s="13"/>
      <c r="F332" s="40"/>
      <c r="G332" s="26"/>
    </row>
    <row r="333" spans="1:7" ht="15.75" customHeight="1" x14ac:dyDescent="0.25">
      <c r="A333" s="26"/>
      <c r="B333" s="39"/>
      <c r="C333" s="14"/>
      <c r="D333" s="13"/>
      <c r="E333" s="13"/>
      <c r="F333" s="40"/>
      <c r="G333" s="26"/>
    </row>
    <row r="334" spans="1:7" ht="15.75" customHeight="1" x14ac:dyDescent="0.25">
      <c r="A334" s="26"/>
      <c r="B334" s="39"/>
      <c r="C334" s="14"/>
      <c r="D334" s="13"/>
      <c r="E334" s="13"/>
      <c r="F334" s="40"/>
      <c r="G334" s="26"/>
    </row>
    <row r="335" spans="1:7" ht="15.75" customHeight="1" x14ac:dyDescent="0.25">
      <c r="A335" s="26"/>
      <c r="B335" s="39"/>
      <c r="C335" s="14"/>
      <c r="D335" s="13"/>
      <c r="E335" s="13"/>
      <c r="F335" s="40"/>
      <c r="G335" s="26"/>
    </row>
    <row r="336" spans="1:7" ht="15.75" customHeight="1" x14ac:dyDescent="0.25">
      <c r="A336" s="26"/>
      <c r="B336" s="39"/>
      <c r="C336" s="14"/>
      <c r="D336" s="13"/>
      <c r="E336" s="13"/>
      <c r="F336" s="40"/>
      <c r="G336" s="26"/>
    </row>
    <row r="337" spans="1:7" ht="15.75" customHeight="1" x14ac:dyDescent="0.25">
      <c r="A337" s="26"/>
      <c r="B337" s="39"/>
      <c r="C337" s="14"/>
      <c r="D337" s="13"/>
      <c r="E337" s="13"/>
      <c r="F337" s="40"/>
      <c r="G337" s="26"/>
    </row>
    <row r="338" spans="1:7" ht="15.75" customHeight="1" x14ac:dyDescent="0.25">
      <c r="A338" s="26"/>
      <c r="B338" s="39"/>
      <c r="C338" s="14"/>
      <c r="D338" s="13"/>
      <c r="E338" s="13"/>
      <c r="F338" s="40"/>
      <c r="G338" s="26"/>
    </row>
    <row r="339" spans="1:7" ht="15.75" customHeight="1" x14ac:dyDescent="0.25">
      <c r="A339" s="26"/>
      <c r="B339" s="39"/>
      <c r="C339" s="14"/>
      <c r="D339" s="13"/>
      <c r="E339" s="13"/>
      <c r="F339" s="40"/>
      <c r="G339" s="26"/>
    </row>
    <row r="340" spans="1:7" ht="15.75" customHeight="1" x14ac:dyDescent="0.25">
      <c r="A340" s="26"/>
      <c r="B340" s="39"/>
      <c r="C340" s="14"/>
      <c r="D340" s="13"/>
      <c r="E340" s="13"/>
      <c r="F340" s="40"/>
      <c r="G340" s="26"/>
    </row>
    <row r="341" spans="1:7" ht="15.75" customHeight="1" x14ac:dyDescent="0.25">
      <c r="A341" s="26"/>
      <c r="B341" s="39"/>
      <c r="C341" s="14"/>
      <c r="D341" s="13"/>
      <c r="E341" s="13"/>
      <c r="F341" s="40"/>
      <c r="G341" s="26"/>
    </row>
    <row r="342" spans="1:7" ht="15.75" customHeight="1" x14ac:dyDescent="0.25">
      <c r="A342" s="26"/>
      <c r="B342" s="39"/>
      <c r="C342" s="14"/>
      <c r="D342" s="13"/>
      <c r="E342" s="13"/>
      <c r="F342" s="40"/>
      <c r="G342" s="26"/>
    </row>
    <row r="343" spans="1:7" ht="15.75" customHeight="1" x14ac:dyDescent="0.25">
      <c r="A343" s="26"/>
      <c r="B343" s="39"/>
      <c r="C343" s="14"/>
      <c r="D343" s="13"/>
      <c r="E343" s="13"/>
      <c r="F343" s="40"/>
      <c r="G343" s="26"/>
    </row>
    <row r="344" spans="1:7" ht="15.75" customHeight="1" x14ac:dyDescent="0.25">
      <c r="A344" s="26"/>
      <c r="B344" s="39"/>
      <c r="C344" s="14"/>
      <c r="D344" s="13"/>
      <c r="E344" s="13"/>
      <c r="F344" s="40"/>
      <c r="G344" s="26"/>
    </row>
    <row r="345" spans="1:7" ht="15.75" customHeight="1" x14ac:dyDescent="0.25">
      <c r="A345" s="26"/>
      <c r="B345" s="39"/>
      <c r="C345" s="14"/>
      <c r="D345" s="13"/>
      <c r="E345" s="13"/>
      <c r="F345" s="40"/>
      <c r="G345" s="26"/>
    </row>
    <row r="346" spans="1:7" ht="15.75" customHeight="1" x14ac:dyDescent="0.25">
      <c r="A346" s="26"/>
      <c r="B346" s="39"/>
      <c r="C346" s="14"/>
      <c r="D346" s="13"/>
      <c r="E346" s="13"/>
      <c r="F346" s="40"/>
      <c r="G346" s="26"/>
    </row>
    <row r="347" spans="1:7" ht="15.75" customHeight="1" x14ac:dyDescent="0.25">
      <c r="A347" s="26"/>
      <c r="B347" s="39"/>
      <c r="C347" s="14"/>
      <c r="D347" s="13"/>
      <c r="E347" s="13"/>
      <c r="F347" s="40"/>
      <c r="G347" s="26"/>
    </row>
    <row r="348" spans="1:7" ht="15.75" customHeight="1" x14ac:dyDescent="0.25">
      <c r="A348" s="26"/>
      <c r="B348" s="39"/>
      <c r="C348" s="14"/>
      <c r="D348" s="13"/>
      <c r="E348" s="13"/>
      <c r="F348" s="40"/>
      <c r="G348" s="26"/>
    </row>
    <row r="349" spans="1:7" ht="15.75" customHeight="1" x14ac:dyDescent="0.25">
      <c r="A349" s="26"/>
      <c r="B349" s="39"/>
      <c r="C349" s="14"/>
      <c r="D349" s="13"/>
      <c r="E349" s="13"/>
      <c r="F349" s="40"/>
      <c r="G349" s="26"/>
    </row>
    <row r="350" spans="1:7" ht="15.75" customHeight="1" x14ac:dyDescent="0.25">
      <c r="A350" s="26"/>
      <c r="B350" s="39"/>
      <c r="C350" s="14"/>
      <c r="D350" s="13"/>
      <c r="E350" s="13"/>
      <c r="F350" s="40"/>
      <c r="G350" s="26"/>
    </row>
    <row r="351" spans="1:7" ht="15.75" customHeight="1" x14ac:dyDescent="0.25">
      <c r="A351" s="26"/>
      <c r="B351" s="39"/>
      <c r="C351" s="14"/>
      <c r="D351" s="13"/>
      <c r="E351" s="13"/>
      <c r="F351" s="40"/>
      <c r="G351" s="26"/>
    </row>
    <row r="352" spans="1:7" ht="15.75" customHeight="1" x14ac:dyDescent="0.25">
      <c r="A352" s="26"/>
      <c r="B352" s="39"/>
      <c r="C352" s="14"/>
      <c r="D352" s="13"/>
      <c r="E352" s="13"/>
      <c r="F352" s="40"/>
      <c r="G352" s="26"/>
    </row>
    <row r="353" spans="1:7" ht="15.75" customHeight="1" x14ac:dyDescent="0.25">
      <c r="A353" s="26"/>
      <c r="B353" s="39"/>
      <c r="C353" s="14"/>
      <c r="D353" s="13"/>
      <c r="E353" s="13"/>
      <c r="F353" s="40"/>
      <c r="G353" s="26"/>
    </row>
    <row r="354" spans="1:7" ht="15.75" customHeight="1" x14ac:dyDescent="0.25">
      <c r="A354" s="26"/>
      <c r="B354" s="39"/>
      <c r="C354" s="14"/>
      <c r="D354" s="13"/>
      <c r="E354" s="13"/>
      <c r="F354" s="40"/>
      <c r="G354" s="26"/>
    </row>
    <row r="355" spans="1:7" ht="15.75" customHeight="1" x14ac:dyDescent="0.25">
      <c r="A355" s="26"/>
      <c r="B355" s="39"/>
      <c r="C355" s="14"/>
      <c r="D355" s="13"/>
      <c r="E355" s="13"/>
      <c r="F355" s="40"/>
      <c r="G355" s="26"/>
    </row>
    <row r="356" spans="1:7" ht="15.75" customHeight="1" x14ac:dyDescent="0.25">
      <c r="A356" s="26"/>
      <c r="B356" s="39"/>
      <c r="C356" s="14"/>
      <c r="D356" s="13"/>
      <c r="E356" s="13"/>
      <c r="F356" s="40"/>
      <c r="G356" s="26"/>
    </row>
    <row r="357" spans="1:7" ht="15.75" customHeight="1" x14ac:dyDescent="0.25">
      <c r="A357" s="26"/>
      <c r="B357" s="39"/>
      <c r="C357" s="14"/>
      <c r="D357" s="13"/>
      <c r="E357" s="13"/>
      <c r="F357" s="40"/>
      <c r="G357" s="26"/>
    </row>
    <row r="358" spans="1:7" ht="15.75" customHeight="1" x14ac:dyDescent="0.25">
      <c r="A358" s="26"/>
      <c r="B358" s="39"/>
      <c r="C358" s="14"/>
      <c r="D358" s="13"/>
      <c r="E358" s="13"/>
      <c r="F358" s="40"/>
      <c r="G358" s="26"/>
    </row>
    <row r="359" spans="1:7" ht="15.75" customHeight="1" x14ac:dyDescent="0.25">
      <c r="A359" s="26"/>
      <c r="B359" s="39"/>
      <c r="C359" s="14"/>
      <c r="D359" s="13"/>
      <c r="E359" s="13"/>
      <c r="F359" s="40"/>
      <c r="G359" s="26"/>
    </row>
    <row r="360" spans="1:7" ht="15.75" customHeight="1" x14ac:dyDescent="0.25">
      <c r="A360" s="26"/>
      <c r="B360" s="39"/>
      <c r="C360" s="14"/>
      <c r="D360" s="13"/>
      <c r="E360" s="13"/>
      <c r="F360" s="40"/>
      <c r="G360" s="26"/>
    </row>
    <row r="361" spans="1:7" ht="15.75" customHeight="1" x14ac:dyDescent="0.25">
      <c r="A361" s="26"/>
      <c r="B361" s="39"/>
      <c r="C361" s="14"/>
      <c r="D361" s="13"/>
      <c r="E361" s="13"/>
      <c r="F361" s="40"/>
      <c r="G361" s="26"/>
    </row>
    <row r="362" spans="1:7" ht="15.75" customHeight="1" x14ac:dyDescent="0.25">
      <c r="A362" s="26"/>
      <c r="B362" s="39"/>
      <c r="C362" s="14"/>
      <c r="D362" s="13"/>
      <c r="E362" s="13"/>
      <c r="F362" s="40"/>
      <c r="G362" s="26"/>
    </row>
    <row r="363" spans="1:7" ht="15.75" customHeight="1" x14ac:dyDescent="0.25">
      <c r="A363" s="26"/>
      <c r="B363" s="39"/>
      <c r="C363" s="14"/>
      <c r="D363" s="13"/>
      <c r="E363" s="13"/>
      <c r="F363" s="40"/>
      <c r="G363" s="26"/>
    </row>
    <row r="364" spans="1:7" ht="15.75" customHeight="1" x14ac:dyDescent="0.25">
      <c r="A364" s="26"/>
      <c r="B364" s="39"/>
      <c r="C364" s="14"/>
      <c r="D364" s="13"/>
      <c r="E364" s="13"/>
      <c r="F364" s="40"/>
      <c r="G364" s="26"/>
    </row>
    <row r="365" spans="1:7" ht="15.75" customHeight="1" x14ac:dyDescent="0.25">
      <c r="A365" s="26"/>
      <c r="B365" s="39"/>
      <c r="C365" s="14"/>
      <c r="D365" s="13"/>
      <c r="E365" s="13"/>
      <c r="F365" s="40"/>
      <c r="G365" s="26"/>
    </row>
    <row r="366" spans="1:7" ht="15.75" customHeight="1" x14ac:dyDescent="0.25">
      <c r="A366" s="26"/>
      <c r="B366" s="39"/>
      <c r="C366" s="14"/>
      <c r="D366" s="13"/>
      <c r="E366" s="13"/>
      <c r="F366" s="40"/>
      <c r="G366" s="26"/>
    </row>
    <row r="367" spans="1:7" ht="15.75" customHeight="1" x14ac:dyDescent="0.25">
      <c r="A367" s="26"/>
      <c r="B367" s="39"/>
      <c r="C367" s="14"/>
      <c r="D367" s="13"/>
      <c r="E367" s="13"/>
      <c r="F367" s="40"/>
      <c r="G367" s="26"/>
    </row>
    <row r="368" spans="1:7" ht="15.75" customHeight="1" x14ac:dyDescent="0.25">
      <c r="A368" s="26"/>
      <c r="B368" s="39"/>
      <c r="C368" s="14"/>
      <c r="D368" s="13"/>
      <c r="E368" s="13"/>
      <c r="F368" s="40"/>
      <c r="G368" s="26"/>
    </row>
    <row r="369" spans="1:7" ht="15.75" customHeight="1" x14ac:dyDescent="0.25">
      <c r="A369" s="26"/>
      <c r="B369" s="39"/>
      <c r="C369" s="14"/>
      <c r="D369" s="13"/>
      <c r="E369" s="13"/>
      <c r="F369" s="40"/>
      <c r="G369" s="26"/>
    </row>
    <row r="370" spans="1:7" ht="15.75" customHeight="1" x14ac:dyDescent="0.25">
      <c r="A370" s="26"/>
      <c r="B370" s="39"/>
      <c r="C370" s="14"/>
      <c r="D370" s="13"/>
      <c r="E370" s="13"/>
      <c r="F370" s="40"/>
      <c r="G370" s="26"/>
    </row>
    <row r="371" spans="1:7" ht="15.75" customHeight="1" x14ac:dyDescent="0.25">
      <c r="A371" s="26"/>
      <c r="B371" s="39"/>
      <c r="C371" s="14"/>
      <c r="D371" s="13"/>
      <c r="E371" s="13"/>
      <c r="F371" s="40"/>
      <c r="G371" s="26"/>
    </row>
    <row r="372" spans="1:7" ht="15.75" customHeight="1" x14ac:dyDescent="0.25">
      <c r="A372" s="26"/>
      <c r="B372" s="39"/>
      <c r="C372" s="14"/>
      <c r="D372" s="13"/>
      <c r="E372" s="13"/>
      <c r="F372" s="40"/>
      <c r="G372" s="26"/>
    </row>
    <row r="373" spans="1:7" ht="15.75" customHeight="1" x14ac:dyDescent="0.25">
      <c r="A373" s="26"/>
      <c r="B373" s="39"/>
      <c r="C373" s="14"/>
      <c r="D373" s="13"/>
      <c r="E373" s="13"/>
      <c r="F373" s="40"/>
      <c r="G373" s="26"/>
    </row>
    <row r="374" spans="1:7" ht="15.75" customHeight="1" x14ac:dyDescent="0.25">
      <c r="A374" s="26"/>
      <c r="B374" s="39"/>
      <c r="C374" s="14"/>
      <c r="D374" s="13"/>
      <c r="E374" s="13"/>
      <c r="F374" s="40"/>
      <c r="G374" s="26"/>
    </row>
    <row r="375" spans="1:7" ht="15.75" customHeight="1" x14ac:dyDescent="0.25">
      <c r="A375" s="26"/>
      <c r="B375" s="39"/>
      <c r="C375" s="14"/>
      <c r="D375" s="13"/>
      <c r="E375" s="13"/>
      <c r="F375" s="40"/>
      <c r="G375" s="26"/>
    </row>
    <row r="376" spans="1:7" ht="15.75" customHeight="1" x14ac:dyDescent="0.25">
      <c r="A376" s="26"/>
      <c r="B376" s="39"/>
      <c r="C376" s="14"/>
      <c r="D376" s="13"/>
      <c r="E376" s="13"/>
      <c r="F376" s="40"/>
      <c r="G376" s="26"/>
    </row>
    <row r="377" spans="1:7" ht="15.75" customHeight="1" x14ac:dyDescent="0.25">
      <c r="A377" s="26"/>
      <c r="B377" s="39"/>
      <c r="C377" s="14"/>
      <c r="D377" s="13"/>
      <c r="E377" s="13"/>
      <c r="F377" s="40"/>
      <c r="G377" s="26"/>
    </row>
    <row r="378" spans="1:7" ht="15.75" customHeight="1" x14ac:dyDescent="0.25">
      <c r="A378" s="26"/>
      <c r="B378" s="39"/>
      <c r="C378" s="14"/>
      <c r="D378" s="13"/>
      <c r="E378" s="13"/>
      <c r="F378" s="40"/>
      <c r="G378" s="26"/>
    </row>
    <row r="379" spans="1:7" ht="15.75" customHeight="1" x14ac:dyDescent="0.25">
      <c r="A379" s="26"/>
      <c r="B379" s="39"/>
      <c r="C379" s="14"/>
      <c r="D379" s="13"/>
      <c r="E379" s="13"/>
      <c r="F379" s="40"/>
      <c r="G379" s="26"/>
    </row>
    <row r="380" spans="1:7" ht="15.75" customHeight="1" x14ac:dyDescent="0.25">
      <c r="A380" s="26"/>
      <c r="B380" s="39"/>
      <c r="C380" s="14"/>
      <c r="D380" s="13"/>
      <c r="E380" s="13"/>
      <c r="F380" s="40"/>
      <c r="G380" s="26"/>
    </row>
    <row r="381" spans="1:7" ht="15.75" customHeight="1" x14ac:dyDescent="0.25">
      <c r="A381" s="26"/>
      <c r="B381" s="39"/>
      <c r="C381" s="14"/>
      <c r="D381" s="13"/>
      <c r="E381" s="13"/>
      <c r="F381" s="40"/>
      <c r="G381" s="26"/>
    </row>
    <row r="382" spans="1:7" ht="15.75" customHeight="1" x14ac:dyDescent="0.25">
      <c r="A382" s="26"/>
      <c r="B382" s="39"/>
      <c r="C382" s="14"/>
      <c r="D382" s="13"/>
      <c r="E382" s="13"/>
      <c r="F382" s="40"/>
      <c r="G382" s="26"/>
    </row>
    <row r="383" spans="1:7" ht="15.75" customHeight="1" x14ac:dyDescent="0.25">
      <c r="A383" s="26"/>
      <c r="B383" s="39"/>
      <c r="C383" s="14"/>
      <c r="D383" s="13"/>
      <c r="E383" s="13"/>
      <c r="F383" s="40"/>
      <c r="G383" s="26"/>
    </row>
    <row r="384" spans="1:7" ht="15.75" customHeight="1" x14ac:dyDescent="0.25">
      <c r="A384" s="26"/>
      <c r="B384" s="39"/>
      <c r="C384" s="14"/>
      <c r="D384" s="13"/>
      <c r="E384" s="13"/>
      <c r="F384" s="40"/>
      <c r="G384" s="26"/>
    </row>
    <row r="385" spans="1:7" ht="15.75" customHeight="1" x14ac:dyDescent="0.25">
      <c r="A385" s="26"/>
      <c r="B385" s="39"/>
      <c r="C385" s="14"/>
      <c r="D385" s="13"/>
      <c r="E385" s="13"/>
      <c r="F385" s="40"/>
      <c r="G385" s="26"/>
    </row>
    <row r="386" spans="1:7" ht="15.75" customHeight="1" x14ac:dyDescent="0.25">
      <c r="A386" s="26"/>
      <c r="B386" s="39"/>
      <c r="C386" s="14"/>
      <c r="D386" s="13"/>
      <c r="E386" s="13"/>
      <c r="F386" s="40"/>
      <c r="G386" s="26"/>
    </row>
    <row r="387" spans="1:7" ht="15.75" customHeight="1" x14ac:dyDescent="0.25">
      <c r="A387" s="26"/>
      <c r="B387" s="39"/>
      <c r="C387" s="14"/>
      <c r="D387" s="13"/>
      <c r="E387" s="13"/>
      <c r="F387" s="40"/>
      <c r="G387" s="26"/>
    </row>
    <row r="388" spans="1:7" ht="15.75" customHeight="1" x14ac:dyDescent="0.25">
      <c r="A388" s="26"/>
      <c r="B388" s="39"/>
      <c r="C388" s="14"/>
      <c r="D388" s="13"/>
      <c r="E388" s="13"/>
      <c r="F388" s="40"/>
      <c r="G388" s="26"/>
    </row>
    <row r="389" spans="1:7" ht="15.75" customHeight="1" x14ac:dyDescent="0.25">
      <c r="A389" s="26"/>
      <c r="B389" s="39"/>
      <c r="C389" s="14"/>
      <c r="D389" s="13"/>
      <c r="E389" s="13"/>
      <c r="F389" s="40"/>
      <c r="G389" s="26"/>
    </row>
    <row r="390" spans="1:7" ht="15.75" customHeight="1" x14ac:dyDescent="0.25">
      <c r="A390" s="26"/>
      <c r="B390" s="39"/>
      <c r="C390" s="14"/>
      <c r="D390" s="13"/>
      <c r="E390" s="13"/>
      <c r="F390" s="40"/>
      <c r="G390" s="26"/>
    </row>
    <row r="391" spans="1:7" ht="15.75" customHeight="1" x14ac:dyDescent="0.25">
      <c r="A391" s="26"/>
      <c r="B391" s="39"/>
      <c r="C391" s="14"/>
      <c r="D391" s="13"/>
      <c r="E391" s="13"/>
      <c r="F391" s="40"/>
      <c r="G391" s="26"/>
    </row>
    <row r="392" spans="1:7" ht="15.75" customHeight="1" x14ac:dyDescent="0.25">
      <c r="A392" s="26"/>
      <c r="B392" s="39"/>
      <c r="C392" s="14"/>
      <c r="D392" s="13"/>
      <c r="E392" s="13"/>
      <c r="F392" s="40"/>
      <c r="G392" s="26"/>
    </row>
    <row r="393" spans="1:7" ht="15.75" customHeight="1" x14ac:dyDescent="0.25">
      <c r="A393" s="26"/>
      <c r="B393" s="39"/>
      <c r="C393" s="14"/>
      <c r="D393" s="13"/>
      <c r="E393" s="13"/>
      <c r="F393" s="40"/>
      <c r="G393" s="26"/>
    </row>
    <row r="394" spans="1:7" ht="15.75" customHeight="1" x14ac:dyDescent="0.25">
      <c r="A394" s="26"/>
      <c r="B394" s="39"/>
      <c r="C394" s="14"/>
      <c r="D394" s="13"/>
      <c r="E394" s="13"/>
      <c r="F394" s="40"/>
      <c r="G394" s="26"/>
    </row>
    <row r="395" spans="1:7" ht="15.75" customHeight="1" x14ac:dyDescent="0.25">
      <c r="A395" s="26"/>
      <c r="B395" s="39"/>
      <c r="C395" s="14"/>
      <c r="D395" s="13"/>
      <c r="E395" s="13"/>
      <c r="F395" s="40"/>
      <c r="G395" s="26"/>
    </row>
    <row r="396" spans="1:7" ht="15.75" customHeight="1" x14ac:dyDescent="0.25">
      <c r="A396" s="26"/>
      <c r="B396" s="39"/>
      <c r="C396" s="14"/>
      <c r="D396" s="13"/>
      <c r="E396" s="13"/>
      <c r="F396" s="40"/>
      <c r="G396" s="26"/>
    </row>
    <row r="397" spans="1:7" ht="15.75" customHeight="1" x14ac:dyDescent="0.25">
      <c r="A397" s="26"/>
      <c r="B397" s="39"/>
      <c r="C397" s="14"/>
      <c r="D397" s="13"/>
      <c r="E397" s="13"/>
      <c r="F397" s="40"/>
      <c r="G397" s="26"/>
    </row>
    <row r="398" spans="1:7" ht="15.75" customHeight="1" x14ac:dyDescent="0.25">
      <c r="A398" s="26"/>
      <c r="B398" s="39"/>
      <c r="C398" s="14"/>
      <c r="D398" s="13"/>
      <c r="E398" s="13"/>
      <c r="F398" s="40"/>
      <c r="G398" s="26"/>
    </row>
    <row r="399" spans="1:7" ht="15.75" customHeight="1" x14ac:dyDescent="0.25">
      <c r="A399" s="26"/>
      <c r="B399" s="39"/>
      <c r="C399" s="14"/>
      <c r="D399" s="13"/>
      <c r="E399" s="13"/>
      <c r="F399" s="40"/>
      <c r="G399" s="26"/>
    </row>
    <row r="400" spans="1:7" ht="15.75" customHeight="1" x14ac:dyDescent="0.25">
      <c r="A400" s="26"/>
      <c r="B400" s="39"/>
      <c r="C400" s="14"/>
      <c r="D400" s="13"/>
      <c r="E400" s="13"/>
      <c r="F400" s="40"/>
      <c r="G400" s="26"/>
    </row>
    <row r="401" spans="1:7" ht="15.75" customHeight="1" x14ac:dyDescent="0.25">
      <c r="A401" s="26"/>
      <c r="B401" s="39"/>
      <c r="C401" s="14"/>
      <c r="D401" s="13"/>
      <c r="E401" s="13"/>
      <c r="F401" s="40"/>
      <c r="G401" s="26"/>
    </row>
    <row r="402" spans="1:7" ht="15.75" customHeight="1" x14ac:dyDescent="0.25">
      <c r="A402" s="26"/>
      <c r="B402" s="39"/>
      <c r="C402" s="14"/>
      <c r="D402" s="13"/>
      <c r="E402" s="13"/>
      <c r="F402" s="40"/>
      <c r="G402" s="26"/>
    </row>
    <row r="403" spans="1:7" ht="15.75" customHeight="1" x14ac:dyDescent="0.25">
      <c r="A403" s="26"/>
      <c r="B403" s="39"/>
      <c r="C403" s="14"/>
      <c r="D403" s="13"/>
      <c r="E403" s="13"/>
      <c r="F403" s="40"/>
      <c r="G403" s="26"/>
    </row>
    <row r="404" spans="1:7" ht="15.75" customHeight="1" x14ac:dyDescent="0.25">
      <c r="A404" s="26"/>
      <c r="B404" s="39"/>
      <c r="C404" s="14"/>
      <c r="D404" s="13"/>
      <c r="E404" s="13"/>
      <c r="F404" s="40"/>
      <c r="G404" s="26"/>
    </row>
    <row r="405" spans="1:7" ht="15.75" customHeight="1" x14ac:dyDescent="0.25">
      <c r="A405" s="26"/>
      <c r="B405" s="39"/>
      <c r="C405" s="14"/>
      <c r="D405" s="13"/>
      <c r="E405" s="13"/>
      <c r="F405" s="40"/>
      <c r="G405" s="26"/>
    </row>
    <row r="406" spans="1:7" ht="15.75" customHeight="1" x14ac:dyDescent="0.25">
      <c r="A406" s="26"/>
      <c r="B406" s="39"/>
      <c r="C406" s="14"/>
      <c r="D406" s="13"/>
      <c r="E406" s="13"/>
      <c r="F406" s="40"/>
      <c r="G406" s="26"/>
    </row>
    <row r="407" spans="1:7" ht="15.75" customHeight="1" x14ac:dyDescent="0.25">
      <c r="A407" s="26"/>
      <c r="B407" s="39"/>
      <c r="C407" s="14"/>
      <c r="D407" s="13"/>
      <c r="E407" s="13"/>
      <c r="F407" s="40"/>
      <c r="G407" s="26"/>
    </row>
    <row r="408" spans="1:7" ht="15.75" customHeight="1" x14ac:dyDescent="0.25">
      <c r="A408" s="26"/>
      <c r="B408" s="39"/>
      <c r="C408" s="14"/>
      <c r="D408" s="13"/>
      <c r="E408" s="13"/>
      <c r="F408" s="40"/>
      <c r="G408" s="26"/>
    </row>
    <row r="409" spans="1:7" ht="15.75" customHeight="1" x14ac:dyDescent="0.25">
      <c r="A409" s="26"/>
      <c r="B409" s="39"/>
      <c r="C409" s="14"/>
      <c r="D409" s="13"/>
      <c r="E409" s="13"/>
      <c r="F409" s="40"/>
      <c r="G409" s="26"/>
    </row>
    <row r="410" spans="1:7" ht="15.75" customHeight="1" x14ac:dyDescent="0.25">
      <c r="A410" s="26"/>
      <c r="B410" s="39"/>
      <c r="C410" s="14"/>
      <c r="D410" s="13"/>
      <c r="E410" s="13"/>
      <c r="F410" s="40"/>
      <c r="G410" s="26"/>
    </row>
    <row r="411" spans="1:7" ht="18" customHeight="1" x14ac:dyDescent="0.25">
      <c r="A411" s="41" t="s">
        <v>155</v>
      </c>
      <c r="B411" s="42"/>
      <c r="C411" s="43">
        <f>SUM(C4:C410)</f>
        <v>875307876.1400001</v>
      </c>
      <c r="D411" s="42"/>
      <c r="E411" s="42"/>
      <c r="F411" s="42"/>
      <c r="G411" s="42"/>
    </row>
    <row r="412" spans="1:7" ht="15.75" customHeight="1" x14ac:dyDescent="0.25">
      <c r="A412" s="44"/>
      <c r="B412" s="44"/>
      <c r="C412" s="45"/>
      <c r="D412" s="46"/>
      <c r="E412" s="46"/>
      <c r="F412" s="47" t="str">
        <f>IF(E412="","",E412+2)</f>
        <v/>
      </c>
      <c r="G412" s="44"/>
    </row>
    <row r="413" spans="1:7" ht="15.75" customHeight="1" x14ac:dyDescent="0.25">
      <c r="A413" s="44"/>
      <c r="B413" s="44"/>
      <c r="C413" s="45"/>
      <c r="D413" s="46"/>
      <c r="E413" s="46"/>
      <c r="F413" s="47" t="str">
        <f>IF(E413="","",E413+2)</f>
        <v/>
      </c>
      <c r="G413" s="44"/>
    </row>
    <row r="414" spans="1:7" ht="15.75" customHeight="1" x14ac:dyDescent="0.25">
      <c r="A414" s="44"/>
      <c r="B414" s="44"/>
      <c r="C414" s="45"/>
      <c r="D414" s="46"/>
      <c r="E414" s="46"/>
      <c r="F414" s="47" t="str">
        <f>IF(E414="","",E414+2)</f>
        <v/>
      </c>
      <c r="G414" s="44"/>
    </row>
    <row r="415" spans="1:7" ht="15.75" customHeight="1" x14ac:dyDescent="0.25">
      <c r="A415" s="44"/>
      <c r="B415" s="44"/>
      <c r="C415" s="45"/>
      <c r="D415" s="46"/>
      <c r="E415" s="46"/>
      <c r="F415" s="47" t="str">
        <f>IF(E415="","",E415+2)</f>
        <v/>
      </c>
      <c r="G415" s="44"/>
    </row>
    <row r="416" spans="1:7" ht="15.75" customHeight="1" x14ac:dyDescent="0.25">
      <c r="A416" s="44"/>
      <c r="B416" s="44"/>
      <c r="C416" s="45"/>
      <c r="D416" s="46"/>
      <c r="E416" s="46"/>
      <c r="F416" s="47" t="str">
        <f>IF(E416="","",E416+2)</f>
        <v/>
      </c>
      <c r="G416" s="44"/>
    </row>
    <row r="418" spans="1:7" ht="15" customHeight="1" x14ac:dyDescent="0.25">
      <c r="A418" s="69" t="s">
        <v>156</v>
      </c>
      <c r="B418" s="69"/>
      <c r="C418" s="69"/>
      <c r="D418" s="69"/>
      <c r="E418" s="69"/>
      <c r="F418" s="69"/>
      <c r="G418" s="69"/>
    </row>
  </sheetData>
  <mergeCells count="3">
    <mergeCell ref="A1:G1"/>
    <mergeCell ref="A2:G2"/>
    <mergeCell ref="A418:G41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93"/>
  <sheetViews>
    <sheetView showGridLines="0" zoomScaleNormal="100" workbookViewId="0">
      <pane ySplit="4" topLeftCell="A210" activePane="bottomLeft" state="frozen"/>
      <selection pane="bottomLeft" activeCell="J250" sqref="J250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58" t="s">
        <v>157</v>
      </c>
      <c r="B1" s="58"/>
      <c r="C1" s="58"/>
      <c r="D1" s="58"/>
      <c r="E1" s="58"/>
      <c r="F1" s="58"/>
    </row>
    <row r="2" spans="1:6" ht="15.75" customHeight="1" x14ac:dyDescent="0.25">
      <c r="A2" s="68" t="s">
        <v>158</v>
      </c>
      <c r="B2" s="68"/>
      <c r="C2" s="68"/>
      <c r="D2" s="68"/>
      <c r="E2" s="68"/>
      <c r="F2" s="68"/>
    </row>
    <row r="3" spans="1:6" ht="19.5" customHeight="1" x14ac:dyDescent="0.25">
      <c r="A3" s="41" t="s">
        <v>159</v>
      </c>
      <c r="B3" s="48">
        <v>46153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8" t="s">
        <v>161</v>
      </c>
      <c r="B4" s="18" t="s">
        <v>162</v>
      </c>
      <c r="C4" s="18" t="s">
        <v>163</v>
      </c>
      <c r="D4" s="18" t="s">
        <v>164</v>
      </c>
      <c r="E4" s="18" t="s">
        <v>165</v>
      </c>
      <c r="F4" s="18" t="s">
        <v>154</v>
      </c>
    </row>
    <row r="5" spans="1:6" ht="15.75" customHeight="1" x14ac:dyDescent="0.25">
      <c r="A5" t="s">
        <v>181</v>
      </c>
      <c r="B5" t="s">
        <v>180</v>
      </c>
      <c r="C5">
        <v>26791605.850000001</v>
      </c>
      <c r="D5" s="23">
        <f>+C5/$D$3</f>
        <v>19136.861321428572</v>
      </c>
      <c r="E5" s="51">
        <f t="shared" ref="E5:E68" si="0">+D5/$D$391</f>
        <v>4.4251375682086893E-3</v>
      </c>
      <c r="F5" s="52"/>
    </row>
    <row r="6" spans="1:6" ht="15.75" customHeight="1" x14ac:dyDescent="0.25">
      <c r="A6" t="s">
        <v>186</v>
      </c>
      <c r="B6" t="s">
        <v>185</v>
      </c>
      <c r="C6">
        <v>6368485.2800000003</v>
      </c>
      <c r="D6" s="23">
        <f t="shared" ref="D6:D69" si="1">+C6/$D$3</f>
        <v>4548.9180571428569</v>
      </c>
      <c r="E6" s="51">
        <f t="shared" si="0"/>
        <v>1.051875114276214E-3</v>
      </c>
      <c r="F6" s="52"/>
    </row>
    <row r="7" spans="1:6" ht="15.75" customHeight="1" x14ac:dyDescent="0.25">
      <c r="A7" t="s">
        <v>190</v>
      </c>
      <c r="B7" t="s">
        <v>189</v>
      </c>
      <c r="C7">
        <v>1.08</v>
      </c>
      <c r="D7" s="23">
        <f t="shared" si="1"/>
        <v>7.7142857142857145E-4</v>
      </c>
      <c r="E7" s="51">
        <f t="shared" si="0"/>
        <v>1.7838231125161855E-10</v>
      </c>
      <c r="F7" s="52"/>
    </row>
    <row r="8" spans="1:6" ht="15.75" customHeight="1" x14ac:dyDescent="0.25">
      <c r="A8" t="s">
        <v>194</v>
      </c>
      <c r="B8" t="s">
        <v>193</v>
      </c>
      <c r="C8">
        <v>534552.59</v>
      </c>
      <c r="D8" s="23">
        <f t="shared" si="1"/>
        <v>381.82327857142855</v>
      </c>
      <c r="E8" s="51">
        <f t="shared" si="0"/>
        <v>8.8291413416424845E-5</v>
      </c>
      <c r="F8" s="52"/>
    </row>
    <row r="9" spans="1:6" ht="15.75" customHeight="1" x14ac:dyDescent="0.25">
      <c r="A9" t="s">
        <v>198</v>
      </c>
      <c r="B9" t="s">
        <v>197</v>
      </c>
      <c r="C9">
        <v>175000</v>
      </c>
      <c r="D9" s="23">
        <f t="shared" si="1"/>
        <v>125</v>
      </c>
      <c r="E9" s="51">
        <f t="shared" si="0"/>
        <v>2.8904541175030783E-5</v>
      </c>
      <c r="F9" s="52"/>
    </row>
    <row r="10" spans="1:6" ht="15.75" customHeight="1" x14ac:dyDescent="0.25">
      <c r="A10" t="s">
        <v>202</v>
      </c>
      <c r="B10" t="s">
        <v>201</v>
      </c>
      <c r="C10">
        <v>5905798.25</v>
      </c>
      <c r="D10" s="23">
        <f t="shared" si="1"/>
        <v>4218.4273214285713</v>
      </c>
      <c r="E10" s="51">
        <f t="shared" si="0"/>
        <v>9.7545364964885569E-4</v>
      </c>
      <c r="F10" s="52"/>
    </row>
    <row r="11" spans="1:6" ht="15.75" customHeight="1" x14ac:dyDescent="0.25">
      <c r="A11" t="s">
        <v>206</v>
      </c>
      <c r="B11" t="s">
        <v>205</v>
      </c>
      <c r="C11">
        <v>560000</v>
      </c>
      <c r="D11" s="23">
        <f t="shared" si="1"/>
        <v>400</v>
      </c>
      <c r="E11" s="51">
        <f t="shared" si="0"/>
        <v>9.2494531760098505E-5</v>
      </c>
      <c r="F11" s="52"/>
    </row>
    <row r="12" spans="1:6" ht="15.75" customHeight="1" x14ac:dyDescent="0.25">
      <c r="A12" t="s">
        <v>210</v>
      </c>
      <c r="B12" t="s">
        <v>209</v>
      </c>
      <c r="C12">
        <v>4663385.3099999996</v>
      </c>
      <c r="D12" s="23">
        <f t="shared" si="1"/>
        <v>3330.9895071428568</v>
      </c>
      <c r="E12" s="51">
        <f t="shared" si="0"/>
        <v>7.7024578690244958E-4</v>
      </c>
      <c r="F12" s="52"/>
    </row>
    <row r="13" spans="1:6" ht="15.75" customHeight="1" x14ac:dyDescent="0.25">
      <c r="A13" t="s">
        <v>212</v>
      </c>
      <c r="B13" t="s">
        <v>211</v>
      </c>
      <c r="C13">
        <v>138424</v>
      </c>
      <c r="D13" s="23">
        <f t="shared" si="1"/>
        <v>98.874285714285719</v>
      </c>
      <c r="E13" s="51">
        <f t="shared" si="0"/>
        <v>2.2863326900642638E-5</v>
      </c>
      <c r="F13" s="52"/>
    </row>
    <row r="14" spans="1:6" ht="15.75" customHeight="1" x14ac:dyDescent="0.25">
      <c r="A14" t="s">
        <v>218</v>
      </c>
      <c r="B14" t="s">
        <v>217</v>
      </c>
      <c r="C14">
        <v>954990.07999999996</v>
      </c>
      <c r="D14" s="23">
        <f t="shared" si="1"/>
        <v>682.13577142857139</v>
      </c>
      <c r="E14" s="51">
        <f t="shared" si="0"/>
        <v>1.5773457193774822E-4</v>
      </c>
      <c r="F14" s="52"/>
    </row>
    <row r="15" spans="1:6" ht="15.75" customHeight="1" x14ac:dyDescent="0.25">
      <c r="A15" t="s">
        <v>222</v>
      </c>
      <c r="B15" t="s">
        <v>221</v>
      </c>
      <c r="C15">
        <v>1706201.05</v>
      </c>
      <c r="D15" s="23">
        <f t="shared" si="1"/>
        <v>1218.7150357142857</v>
      </c>
      <c r="E15" s="51">
        <f t="shared" si="0"/>
        <v>2.8181119144346148E-4</v>
      </c>
      <c r="F15" s="52"/>
    </row>
    <row r="16" spans="1:6" ht="15.75" customHeight="1" x14ac:dyDescent="0.25">
      <c r="A16" t="s">
        <v>224</v>
      </c>
      <c r="B16" t="s">
        <v>223</v>
      </c>
      <c r="C16">
        <v>1396945.29</v>
      </c>
      <c r="D16" s="23">
        <f t="shared" si="1"/>
        <v>997.81806428571429</v>
      </c>
      <c r="E16" s="51">
        <f t="shared" si="0"/>
        <v>2.3073178659468755E-4</v>
      </c>
      <c r="F16" s="52"/>
    </row>
    <row r="17" spans="1:6" ht="15.75" customHeight="1" x14ac:dyDescent="0.25">
      <c r="A17" t="s">
        <v>228</v>
      </c>
      <c r="B17" t="s">
        <v>227</v>
      </c>
      <c r="C17">
        <v>195094.12</v>
      </c>
      <c r="D17" s="23">
        <f t="shared" si="1"/>
        <v>139.35294285714286</v>
      </c>
      <c r="E17" s="51">
        <f t="shared" si="0"/>
        <v>3.2223462997407984E-5</v>
      </c>
      <c r="F17" s="52"/>
    </row>
    <row r="18" spans="1:6" ht="15.75" customHeight="1" x14ac:dyDescent="0.25">
      <c r="A18" t="s">
        <v>232</v>
      </c>
      <c r="B18" t="s">
        <v>231</v>
      </c>
      <c r="C18">
        <v>5662000</v>
      </c>
      <c r="D18" s="23">
        <f t="shared" si="1"/>
        <v>4044.2857142857142</v>
      </c>
      <c r="E18" s="51">
        <f t="shared" si="0"/>
        <v>9.3518578361728168E-4</v>
      </c>
      <c r="F18" s="52"/>
    </row>
    <row r="19" spans="1:6" ht="15.75" customHeight="1" x14ac:dyDescent="0.25">
      <c r="A19" t="s">
        <v>851</v>
      </c>
      <c r="B19" t="s">
        <v>850</v>
      </c>
      <c r="C19">
        <v>12403525</v>
      </c>
      <c r="D19" s="23">
        <f t="shared" si="1"/>
        <v>8859.6607142857138</v>
      </c>
      <c r="E19" s="51">
        <f t="shared" si="0"/>
        <v>2.0486754233029923E-3</v>
      </c>
      <c r="F19" s="52"/>
    </row>
    <row r="20" spans="1:6" ht="15.75" customHeight="1" x14ac:dyDescent="0.25">
      <c r="A20" t="s">
        <v>236</v>
      </c>
      <c r="B20" t="s">
        <v>235</v>
      </c>
      <c r="C20">
        <v>28069976.960000001</v>
      </c>
      <c r="D20" s="23">
        <f t="shared" si="1"/>
        <v>20049.983542857142</v>
      </c>
      <c r="E20" s="51">
        <f t="shared" si="0"/>
        <v>4.6362845989856311E-3</v>
      </c>
      <c r="F20" s="52"/>
    </row>
    <row r="21" spans="1:6" ht="15.75" customHeight="1" x14ac:dyDescent="0.25">
      <c r="A21" t="s">
        <v>240</v>
      </c>
      <c r="B21" t="s">
        <v>239</v>
      </c>
      <c r="C21">
        <v>3092058.01</v>
      </c>
      <c r="D21" s="23">
        <f t="shared" si="1"/>
        <v>2208.6128642857143</v>
      </c>
      <c r="E21" s="51">
        <f t="shared" si="0"/>
        <v>5.1071153180359287E-4</v>
      </c>
      <c r="F21" s="52"/>
    </row>
    <row r="22" spans="1:6" ht="15.75" customHeight="1" x14ac:dyDescent="0.25">
      <c r="A22" t="s">
        <v>853</v>
      </c>
      <c r="B22" t="s">
        <v>852</v>
      </c>
      <c r="C22">
        <v>550000</v>
      </c>
      <c r="D22" s="23">
        <f t="shared" si="1"/>
        <v>392.85714285714283</v>
      </c>
      <c r="E22" s="51">
        <f t="shared" si="0"/>
        <v>9.0842843692953888E-5</v>
      </c>
      <c r="F22" s="52"/>
    </row>
    <row r="23" spans="1:6" ht="15.75" customHeight="1" x14ac:dyDescent="0.25">
      <c r="A23" t="s">
        <v>855</v>
      </c>
      <c r="B23" t="s">
        <v>854</v>
      </c>
      <c r="C23">
        <v>70000</v>
      </c>
      <c r="D23" s="23">
        <f t="shared" si="1"/>
        <v>50</v>
      </c>
      <c r="E23" s="51">
        <f t="shared" si="0"/>
        <v>1.1561816470012313E-5</v>
      </c>
      <c r="F23" s="52"/>
    </row>
    <row r="24" spans="1:6" ht="15.75" customHeight="1" x14ac:dyDescent="0.25">
      <c r="A24" t="s">
        <v>244</v>
      </c>
      <c r="B24" t="s">
        <v>243</v>
      </c>
      <c r="C24">
        <v>559955.12</v>
      </c>
      <c r="D24" s="23">
        <f t="shared" si="1"/>
        <v>399.96794285714287</v>
      </c>
      <c r="E24" s="51">
        <f t="shared" si="0"/>
        <v>9.2487118984053171E-5</v>
      </c>
      <c r="F24" s="52"/>
    </row>
    <row r="25" spans="1:6" ht="15.75" customHeight="1" x14ac:dyDescent="0.25">
      <c r="A25" t="s">
        <v>246</v>
      </c>
      <c r="B25" t="s">
        <v>245</v>
      </c>
      <c r="C25">
        <v>4477000</v>
      </c>
      <c r="D25" s="23">
        <f t="shared" si="1"/>
        <v>3197.8571428571427</v>
      </c>
      <c r="E25" s="51">
        <f t="shared" si="0"/>
        <v>7.394607476606446E-4</v>
      </c>
      <c r="F25" s="52"/>
    </row>
    <row r="26" spans="1:6" ht="15.75" customHeight="1" x14ac:dyDescent="0.25">
      <c r="A26" t="s">
        <v>248</v>
      </c>
      <c r="B26" t="s">
        <v>247</v>
      </c>
      <c r="C26">
        <v>1612628.48</v>
      </c>
      <c r="D26" s="23">
        <f t="shared" si="1"/>
        <v>1151.8774857142857</v>
      </c>
      <c r="E26" s="51">
        <f t="shared" si="0"/>
        <v>2.6635592171535602E-4</v>
      </c>
      <c r="F26" s="52"/>
    </row>
    <row r="27" spans="1:6" ht="15.75" customHeight="1" x14ac:dyDescent="0.25">
      <c r="A27" t="s">
        <v>250</v>
      </c>
      <c r="B27" t="s">
        <v>249</v>
      </c>
      <c r="C27">
        <v>1077400.6000000001</v>
      </c>
      <c r="D27" s="23">
        <f t="shared" si="1"/>
        <v>769.5718571428572</v>
      </c>
      <c r="E27" s="51">
        <f t="shared" si="0"/>
        <v>1.77952971455445E-4</v>
      </c>
      <c r="F27" s="52"/>
    </row>
    <row r="28" spans="1:6" ht="15.75" customHeight="1" x14ac:dyDescent="0.25">
      <c r="A28" t="s">
        <v>254</v>
      </c>
      <c r="B28" t="s">
        <v>253</v>
      </c>
      <c r="C28">
        <v>435224.9</v>
      </c>
      <c r="D28" s="23">
        <f t="shared" si="1"/>
        <v>310.8749285714286</v>
      </c>
      <c r="E28" s="51">
        <f t="shared" si="0"/>
        <v>7.1885577385420895E-5</v>
      </c>
      <c r="F28" s="52"/>
    </row>
    <row r="29" spans="1:6" ht="15.75" customHeight="1" x14ac:dyDescent="0.25">
      <c r="A29" t="s">
        <v>258</v>
      </c>
      <c r="B29" t="s">
        <v>257</v>
      </c>
      <c r="C29">
        <v>4012844</v>
      </c>
      <c r="D29" s="23">
        <f t="shared" si="1"/>
        <v>2866.3171428571427</v>
      </c>
      <c r="E29" s="51">
        <f t="shared" si="0"/>
        <v>6.6279665501128696E-4</v>
      </c>
      <c r="F29" s="52"/>
    </row>
    <row r="30" spans="1:6" ht="15.75" customHeight="1" x14ac:dyDescent="0.25">
      <c r="A30" t="s">
        <v>262</v>
      </c>
      <c r="B30" t="s">
        <v>261</v>
      </c>
      <c r="C30">
        <v>1854029.87</v>
      </c>
      <c r="D30" s="23">
        <f t="shared" si="1"/>
        <v>1324.3070500000001</v>
      </c>
      <c r="E30" s="51">
        <f t="shared" si="0"/>
        <v>3.0622790124086845E-4</v>
      </c>
      <c r="F30" s="52"/>
    </row>
    <row r="31" spans="1:6" ht="15.75" customHeight="1" x14ac:dyDescent="0.25">
      <c r="A31" t="s">
        <v>268</v>
      </c>
      <c r="B31" t="s">
        <v>267</v>
      </c>
      <c r="C31">
        <v>433400</v>
      </c>
      <c r="D31" s="23">
        <f t="shared" si="1"/>
        <v>309.57142857142856</v>
      </c>
      <c r="E31" s="51">
        <f t="shared" si="0"/>
        <v>7.1584160830047669E-5</v>
      </c>
      <c r="F31" s="52"/>
    </row>
    <row r="32" spans="1:6" ht="15.75" customHeight="1" x14ac:dyDescent="0.25">
      <c r="A32" t="s">
        <v>272</v>
      </c>
      <c r="B32" t="s">
        <v>271</v>
      </c>
      <c r="C32">
        <v>477360</v>
      </c>
      <c r="D32" s="23">
        <f t="shared" si="1"/>
        <v>340.97142857142859</v>
      </c>
      <c r="E32" s="51">
        <f t="shared" si="0"/>
        <v>7.8844981573215401E-5</v>
      </c>
      <c r="F32" s="52"/>
    </row>
    <row r="33" spans="1:6" ht="15.75" customHeight="1" x14ac:dyDescent="0.25">
      <c r="A33" t="s">
        <v>274</v>
      </c>
      <c r="B33" t="s">
        <v>273</v>
      </c>
      <c r="C33">
        <v>3000000</v>
      </c>
      <c r="D33" s="23">
        <f t="shared" si="1"/>
        <v>2142.8571428571427</v>
      </c>
      <c r="E33" s="51">
        <f t="shared" si="0"/>
        <v>4.9550642014338487E-4</v>
      </c>
      <c r="F33" s="52"/>
    </row>
    <row r="34" spans="1:6" ht="15.75" customHeight="1" x14ac:dyDescent="0.25">
      <c r="A34" t="s">
        <v>278</v>
      </c>
      <c r="B34" t="s">
        <v>277</v>
      </c>
      <c r="C34">
        <v>32473951.559999999</v>
      </c>
      <c r="D34" s="23">
        <f t="shared" si="1"/>
        <v>23195.679685714284</v>
      </c>
      <c r="E34" s="51">
        <f t="shared" si="0"/>
        <v>5.3636838284684294E-3</v>
      </c>
      <c r="F34" s="52"/>
    </row>
    <row r="35" spans="1:6" ht="15.75" customHeight="1" x14ac:dyDescent="0.25">
      <c r="A35" t="s">
        <v>282</v>
      </c>
      <c r="B35" t="s">
        <v>281</v>
      </c>
      <c r="C35">
        <v>3668831.4</v>
      </c>
      <c r="D35" s="23">
        <f t="shared" si="1"/>
        <v>2620.5938571428569</v>
      </c>
      <c r="E35" s="51">
        <f t="shared" si="0"/>
        <v>6.0597650437454759E-4</v>
      </c>
      <c r="F35" s="52"/>
    </row>
    <row r="36" spans="1:6" ht="15.75" customHeight="1" x14ac:dyDescent="0.25">
      <c r="A36" t="s">
        <v>284</v>
      </c>
      <c r="B36" t="s">
        <v>283</v>
      </c>
      <c r="C36">
        <v>1907010.82</v>
      </c>
      <c r="D36" s="23">
        <f t="shared" si="1"/>
        <v>1362.1505857142859</v>
      </c>
      <c r="E36" s="51">
        <f t="shared" si="0"/>
        <v>3.1497870153096699E-4</v>
      </c>
      <c r="F36" s="52"/>
    </row>
    <row r="37" spans="1:6" ht="15.75" customHeight="1" x14ac:dyDescent="0.25">
      <c r="A37" t="s">
        <v>857</v>
      </c>
      <c r="B37" t="s">
        <v>856</v>
      </c>
      <c r="C37">
        <v>307620</v>
      </c>
      <c r="D37" s="23">
        <f t="shared" si="1"/>
        <v>219.72857142857143</v>
      </c>
      <c r="E37" s="51">
        <f t="shared" si="0"/>
        <v>5.0809228321502683E-5</v>
      </c>
      <c r="F37" s="52"/>
    </row>
    <row r="38" spans="1:6" ht="15.75" customHeight="1" x14ac:dyDescent="0.25">
      <c r="A38" t="s">
        <v>288</v>
      </c>
      <c r="B38" t="s">
        <v>287</v>
      </c>
      <c r="C38">
        <v>4654240.8899999997</v>
      </c>
      <c r="D38" s="23">
        <f t="shared" si="1"/>
        <v>3324.4577785714282</v>
      </c>
      <c r="E38" s="51">
        <f t="shared" si="0"/>
        <v>7.6873541396295375E-4</v>
      </c>
      <c r="F38" s="52"/>
    </row>
    <row r="39" spans="1:6" ht="15.75" customHeight="1" x14ac:dyDescent="0.25">
      <c r="A39" t="s">
        <v>290</v>
      </c>
      <c r="B39" t="s">
        <v>289</v>
      </c>
      <c r="C39">
        <v>-0.01</v>
      </c>
      <c r="D39" s="23">
        <f t="shared" si="1"/>
        <v>-7.1428571428571427E-6</v>
      </c>
      <c r="E39" s="51">
        <f t="shared" si="0"/>
        <v>-1.6516880671446162E-12</v>
      </c>
      <c r="F39" s="52"/>
    </row>
    <row r="40" spans="1:6" ht="15.75" customHeight="1" x14ac:dyDescent="0.25">
      <c r="A40" t="s">
        <v>292</v>
      </c>
      <c r="B40" t="s">
        <v>291</v>
      </c>
      <c r="C40">
        <v>59632211.740000002</v>
      </c>
      <c r="D40" s="23">
        <f t="shared" si="1"/>
        <v>42594.436957142862</v>
      </c>
      <c r="E40" s="51">
        <f t="shared" si="0"/>
        <v>9.8493812548399104E-3</v>
      </c>
      <c r="F40" s="52"/>
    </row>
    <row r="41" spans="1:6" ht="15.75" customHeight="1" x14ac:dyDescent="0.25">
      <c r="A41" t="s">
        <v>296</v>
      </c>
      <c r="B41" t="s">
        <v>295</v>
      </c>
      <c r="C41">
        <v>10288123.82</v>
      </c>
      <c r="D41" s="23">
        <f t="shared" si="1"/>
        <v>7348.6598714285719</v>
      </c>
      <c r="E41" s="51">
        <f t="shared" si="0"/>
        <v>1.6992771346800288E-3</v>
      </c>
      <c r="F41" s="52"/>
    </row>
    <row r="42" spans="1:6" ht="15.75" customHeight="1" x14ac:dyDescent="0.25">
      <c r="A42" t="s">
        <v>300</v>
      </c>
      <c r="B42" t="s">
        <v>299</v>
      </c>
      <c r="C42">
        <v>12913260.359999999</v>
      </c>
      <c r="D42" s="23">
        <f t="shared" si="1"/>
        <v>9223.7574000000004</v>
      </c>
      <c r="E42" s="51">
        <f t="shared" si="0"/>
        <v>2.1328678044543591E-3</v>
      </c>
      <c r="F42" s="52"/>
    </row>
    <row r="43" spans="1:6" ht="15.75" customHeight="1" x14ac:dyDescent="0.25">
      <c r="A43" t="s">
        <v>859</v>
      </c>
      <c r="B43" t="s">
        <v>858</v>
      </c>
      <c r="C43">
        <v>1972300</v>
      </c>
      <c r="D43" s="23">
        <f t="shared" si="1"/>
        <v>1408.7857142857142</v>
      </c>
      <c r="E43" s="51">
        <f t="shared" si="0"/>
        <v>3.2576243748293264E-4</v>
      </c>
      <c r="F43" s="52"/>
    </row>
    <row r="44" spans="1:6" ht="15.75" customHeight="1" x14ac:dyDescent="0.25">
      <c r="A44" t="s">
        <v>302</v>
      </c>
      <c r="B44" t="s">
        <v>301</v>
      </c>
      <c r="C44">
        <v>1046203.89</v>
      </c>
      <c r="D44" s="23">
        <f t="shared" si="1"/>
        <v>747.28849285714284</v>
      </c>
      <c r="E44" s="51">
        <f t="shared" si="0"/>
        <v>1.7280024809132786E-4</v>
      </c>
      <c r="F44" s="52"/>
    </row>
    <row r="45" spans="1:6" ht="15.75" customHeight="1" x14ac:dyDescent="0.25">
      <c r="A45" t="s">
        <v>306</v>
      </c>
      <c r="B45" t="s">
        <v>305</v>
      </c>
      <c r="C45">
        <v>380000</v>
      </c>
      <c r="D45" s="23">
        <f t="shared" si="1"/>
        <v>271.42857142857144</v>
      </c>
      <c r="E45" s="51">
        <f t="shared" si="0"/>
        <v>6.2764146551495424E-5</v>
      </c>
      <c r="F45" s="52"/>
    </row>
    <row r="46" spans="1:6" ht="15.75" customHeight="1" x14ac:dyDescent="0.25">
      <c r="A46" t="s">
        <v>308</v>
      </c>
      <c r="B46" t="s">
        <v>307</v>
      </c>
      <c r="C46">
        <v>217</v>
      </c>
      <c r="D46" s="23">
        <f t="shared" si="1"/>
        <v>0.155</v>
      </c>
      <c r="E46" s="51">
        <f t="shared" si="0"/>
        <v>3.5841631057038175E-8</v>
      </c>
      <c r="F46" s="52"/>
    </row>
    <row r="47" spans="1:6" ht="15.75" customHeight="1" x14ac:dyDescent="0.25">
      <c r="A47" t="s">
        <v>310</v>
      </c>
      <c r="B47" t="s">
        <v>309</v>
      </c>
      <c r="C47">
        <v>1210869.78</v>
      </c>
      <c r="D47" s="23">
        <f t="shared" si="1"/>
        <v>864.90698571428572</v>
      </c>
      <c r="E47" s="51">
        <f t="shared" si="0"/>
        <v>1.9999791664920269E-4</v>
      </c>
      <c r="F47" s="52"/>
    </row>
    <row r="48" spans="1:6" ht="15.75" customHeight="1" x14ac:dyDescent="0.25">
      <c r="A48" t="s">
        <v>316</v>
      </c>
      <c r="B48" t="s">
        <v>315</v>
      </c>
      <c r="C48">
        <v>3201085.01</v>
      </c>
      <c r="D48" s="23">
        <f t="shared" si="1"/>
        <v>2286.4892928571426</v>
      </c>
      <c r="E48" s="51">
        <f t="shared" si="0"/>
        <v>5.2871939129325038E-4</v>
      </c>
      <c r="F48" s="52"/>
    </row>
    <row r="49" spans="1:6" ht="15.75" customHeight="1" x14ac:dyDescent="0.25">
      <c r="A49" t="s">
        <v>320</v>
      </c>
      <c r="B49" t="s">
        <v>319</v>
      </c>
      <c r="C49">
        <v>2715120</v>
      </c>
      <c r="D49" s="23">
        <f t="shared" si="1"/>
        <v>1939.3714285714286</v>
      </c>
      <c r="E49" s="51">
        <f t="shared" si="0"/>
        <v>4.4845313048656906E-4</v>
      </c>
      <c r="F49" s="52"/>
    </row>
    <row r="50" spans="1:6" ht="15.75" customHeight="1" x14ac:dyDescent="0.25">
      <c r="A50" t="s">
        <v>322</v>
      </c>
      <c r="B50" t="s">
        <v>321</v>
      </c>
      <c r="C50">
        <v>15530255.210000001</v>
      </c>
      <c r="D50" s="23">
        <f t="shared" si="1"/>
        <v>11093.039435714287</v>
      </c>
      <c r="E50" s="51">
        <f t="shared" si="0"/>
        <v>2.5651137210067508E-3</v>
      </c>
      <c r="F50" s="52"/>
    </row>
    <row r="51" spans="1:6" ht="15.75" customHeight="1" x14ac:dyDescent="0.25">
      <c r="A51" t="s">
        <v>326</v>
      </c>
      <c r="B51" t="s">
        <v>325</v>
      </c>
      <c r="C51">
        <v>1904540</v>
      </c>
      <c r="D51" s="23">
        <f t="shared" si="1"/>
        <v>1360.3857142857144</v>
      </c>
      <c r="E51" s="51">
        <f t="shared" si="0"/>
        <v>3.1457059913996075E-4</v>
      </c>
      <c r="F51" s="52"/>
    </row>
    <row r="52" spans="1:6" ht="15.75" customHeight="1" x14ac:dyDescent="0.25">
      <c r="A52" t="s">
        <v>330</v>
      </c>
      <c r="B52" t="s">
        <v>329</v>
      </c>
      <c r="C52">
        <v>261313270</v>
      </c>
      <c r="D52" s="23">
        <f t="shared" si="1"/>
        <v>186652.33571428573</v>
      </c>
      <c r="E52" s="51">
        <f t="shared" si="0"/>
        <v>4.3160800984553924E-2</v>
      </c>
      <c r="F52" s="52"/>
    </row>
    <row r="53" spans="1:6" ht="15.75" customHeight="1" x14ac:dyDescent="0.25">
      <c r="A53" t="s">
        <v>332</v>
      </c>
      <c r="B53" t="s">
        <v>331</v>
      </c>
      <c r="C53">
        <v>586305455.38999999</v>
      </c>
      <c r="D53" s="23">
        <f t="shared" si="1"/>
        <v>418789.61099285714</v>
      </c>
      <c r="E53" s="51">
        <f t="shared" si="0"/>
        <v>9.6839372436945306E-2</v>
      </c>
      <c r="F53" s="52"/>
    </row>
    <row r="54" spans="1:6" ht="15.75" customHeight="1" x14ac:dyDescent="0.25">
      <c r="A54" t="s">
        <v>332</v>
      </c>
      <c r="B54" t="s">
        <v>335</v>
      </c>
      <c r="C54">
        <v>138466008.34</v>
      </c>
      <c r="D54" s="23">
        <f t="shared" si="1"/>
        <v>98904.291671428567</v>
      </c>
      <c r="E54" s="51">
        <f t="shared" si="0"/>
        <v>2.2870265368032491E-2</v>
      </c>
      <c r="F54" s="52"/>
    </row>
    <row r="55" spans="1:6" ht="15.75" customHeight="1" x14ac:dyDescent="0.25">
      <c r="A55" t="s">
        <v>332</v>
      </c>
      <c r="B55" t="s">
        <v>336</v>
      </c>
      <c r="C55">
        <v>450370242.94999999</v>
      </c>
      <c r="D55" s="23">
        <f t="shared" si="1"/>
        <v>321693.03067857143</v>
      </c>
      <c r="E55" s="51">
        <f t="shared" si="0"/>
        <v>7.438711560775367E-2</v>
      </c>
      <c r="F55" s="52"/>
    </row>
    <row r="56" spans="1:6" ht="15.75" customHeight="1" x14ac:dyDescent="0.25">
      <c r="A56" t="s">
        <v>338</v>
      </c>
      <c r="B56" t="s">
        <v>337</v>
      </c>
      <c r="C56">
        <v>4157535.95</v>
      </c>
      <c r="D56" s="23">
        <f t="shared" si="1"/>
        <v>2969.668535714286</v>
      </c>
      <c r="E56" s="51">
        <f t="shared" si="0"/>
        <v>6.8669525173397565E-4</v>
      </c>
      <c r="F56" s="52"/>
    </row>
    <row r="57" spans="1:6" ht="15.75" customHeight="1" x14ac:dyDescent="0.25">
      <c r="A57" t="s">
        <v>342</v>
      </c>
      <c r="B57" t="s">
        <v>341</v>
      </c>
      <c r="C57">
        <v>4971931.2</v>
      </c>
      <c r="D57" s="23">
        <f t="shared" si="1"/>
        <v>3551.3794285714289</v>
      </c>
      <c r="E57" s="51">
        <f t="shared" si="0"/>
        <v>8.2120794337040134E-4</v>
      </c>
      <c r="F57" s="52"/>
    </row>
    <row r="58" spans="1:6" ht="15.75" customHeight="1" x14ac:dyDescent="0.25">
      <c r="A58" t="s">
        <v>344</v>
      </c>
      <c r="B58" t="s">
        <v>343</v>
      </c>
      <c r="C58">
        <v>2784004.16</v>
      </c>
      <c r="D58" s="23">
        <f t="shared" si="1"/>
        <v>1988.5744000000002</v>
      </c>
      <c r="E58" s="51">
        <f t="shared" si="0"/>
        <v>4.5983064499529713E-4</v>
      </c>
      <c r="F58" s="52"/>
    </row>
    <row r="59" spans="1:6" ht="15.75" customHeight="1" x14ac:dyDescent="0.25">
      <c r="A59" t="s">
        <v>348</v>
      </c>
      <c r="B59" t="s">
        <v>347</v>
      </c>
      <c r="C59">
        <v>-204.43</v>
      </c>
      <c r="D59" s="23">
        <f t="shared" si="1"/>
        <v>-0.14602142857142858</v>
      </c>
      <c r="E59" s="51">
        <f t="shared" si="0"/>
        <v>-3.3765459156637391E-8</v>
      </c>
      <c r="F59" s="52"/>
    </row>
    <row r="60" spans="1:6" ht="15.75" customHeight="1" x14ac:dyDescent="0.25">
      <c r="A60" t="s">
        <v>350</v>
      </c>
      <c r="B60" t="s">
        <v>349</v>
      </c>
      <c r="C60">
        <v>4667405.5999999996</v>
      </c>
      <c r="D60" s="23">
        <f t="shared" si="1"/>
        <v>3333.8611428571426</v>
      </c>
      <c r="E60" s="51">
        <f t="shared" si="0"/>
        <v>7.7090981340439577E-4</v>
      </c>
      <c r="F60" s="52"/>
    </row>
    <row r="61" spans="1:6" ht="15.75" customHeight="1" x14ac:dyDescent="0.25">
      <c r="A61" t="s">
        <v>352</v>
      </c>
      <c r="B61" t="s">
        <v>351</v>
      </c>
      <c r="C61">
        <v>21959157.390000001</v>
      </c>
      <c r="D61" s="23">
        <f t="shared" si="1"/>
        <v>15685.112421428572</v>
      </c>
      <c r="E61" s="51">
        <f t="shared" si="0"/>
        <v>3.6269678225613515E-3</v>
      </c>
      <c r="F61" s="52"/>
    </row>
    <row r="62" spans="1:6" ht="15.75" customHeight="1" x14ac:dyDescent="0.25">
      <c r="A62" t="s">
        <v>354</v>
      </c>
      <c r="B62" t="s">
        <v>353</v>
      </c>
      <c r="C62">
        <v>-106108.29</v>
      </c>
      <c r="D62" s="23">
        <f t="shared" si="1"/>
        <v>-75.791635714285704</v>
      </c>
      <c r="E62" s="51">
        <f t="shared" si="0"/>
        <v>-1.752577964181204E-5</v>
      </c>
      <c r="F62" s="52"/>
    </row>
    <row r="63" spans="1:6" ht="15.75" customHeight="1" x14ac:dyDescent="0.25">
      <c r="A63" t="s">
        <v>356</v>
      </c>
      <c r="B63" t="s">
        <v>355</v>
      </c>
      <c r="C63">
        <v>2391716.25</v>
      </c>
      <c r="D63" s="23">
        <f t="shared" si="1"/>
        <v>1708.3687500000001</v>
      </c>
      <c r="E63" s="51">
        <f t="shared" si="0"/>
        <v>3.95036919012087E-4</v>
      </c>
      <c r="F63" s="52"/>
    </row>
    <row r="64" spans="1:6" ht="15.75" customHeight="1" x14ac:dyDescent="0.25">
      <c r="A64" t="s">
        <v>360</v>
      </c>
      <c r="B64" t="s">
        <v>359</v>
      </c>
      <c r="C64">
        <v>9048549.2599999998</v>
      </c>
      <c r="D64" s="23">
        <f t="shared" si="1"/>
        <v>6463.2494714285713</v>
      </c>
      <c r="E64" s="51">
        <f t="shared" si="0"/>
        <v>1.4945380837712247E-3</v>
      </c>
      <c r="F64" s="52"/>
    </row>
    <row r="65" spans="1:6" ht="15.75" customHeight="1" x14ac:dyDescent="0.25">
      <c r="A65" t="s">
        <v>364</v>
      </c>
      <c r="B65" t="s">
        <v>363</v>
      </c>
      <c r="C65">
        <v>531915.66</v>
      </c>
      <c r="D65" s="23">
        <f t="shared" si="1"/>
        <v>379.93975714285716</v>
      </c>
      <c r="E65" s="51">
        <f t="shared" si="0"/>
        <v>8.7855874834935293E-5</v>
      </c>
      <c r="F65" s="52"/>
    </row>
    <row r="66" spans="1:6" ht="15.75" customHeight="1" x14ac:dyDescent="0.25">
      <c r="A66" t="s">
        <v>368</v>
      </c>
      <c r="B66" t="s">
        <v>367</v>
      </c>
      <c r="C66">
        <v>1493843.2</v>
      </c>
      <c r="D66" s="23">
        <f t="shared" si="1"/>
        <v>1067.030857142857</v>
      </c>
      <c r="E66" s="51">
        <f t="shared" si="0"/>
        <v>2.4673629876251283E-4</v>
      </c>
      <c r="F66" s="52"/>
    </row>
    <row r="67" spans="1:6" ht="15.75" customHeight="1" x14ac:dyDescent="0.25">
      <c r="A67" t="s">
        <v>370</v>
      </c>
      <c r="B67" t="s">
        <v>369</v>
      </c>
      <c r="C67">
        <v>505100.38</v>
      </c>
      <c r="D67" s="23">
        <f t="shared" si="1"/>
        <v>360.78598571428574</v>
      </c>
      <c r="E67" s="51">
        <f t="shared" si="0"/>
        <v>8.3426827035621123E-5</v>
      </c>
      <c r="F67" s="52"/>
    </row>
    <row r="68" spans="1:6" ht="15.75" customHeight="1" x14ac:dyDescent="0.25">
      <c r="A68" t="s">
        <v>372</v>
      </c>
      <c r="B68" t="s">
        <v>371</v>
      </c>
      <c r="C68">
        <v>2543157.7999999998</v>
      </c>
      <c r="D68" s="23">
        <f t="shared" si="1"/>
        <v>1816.5412857142856</v>
      </c>
      <c r="E68" s="51">
        <f t="shared" si="0"/>
        <v>4.2005033911257541E-4</v>
      </c>
      <c r="F68" s="52"/>
    </row>
    <row r="69" spans="1:6" ht="15.75" customHeight="1" x14ac:dyDescent="0.25">
      <c r="A69" t="s">
        <v>374</v>
      </c>
      <c r="B69" t="s">
        <v>373</v>
      </c>
      <c r="C69">
        <v>11170000</v>
      </c>
      <c r="D69" s="23">
        <f t="shared" si="1"/>
        <v>7978.5714285714284</v>
      </c>
      <c r="E69" s="51">
        <f t="shared" ref="E69:E132" si="2">+D69/$D$391</f>
        <v>1.8449355710005364E-3</v>
      </c>
      <c r="F69" s="52"/>
    </row>
    <row r="70" spans="1:6" ht="15.75" customHeight="1" x14ac:dyDescent="0.25">
      <c r="A70" t="s">
        <v>378</v>
      </c>
      <c r="B70" t="s">
        <v>377</v>
      </c>
      <c r="C70">
        <v>79231594.069999993</v>
      </c>
      <c r="D70" s="23">
        <f t="shared" ref="D70:D133" si="3">+C70/$D$3</f>
        <v>56593.995764285712</v>
      </c>
      <c r="E70" s="51">
        <f t="shared" si="2"/>
        <v>1.3086587846626514E-2</v>
      </c>
      <c r="F70" s="52"/>
    </row>
    <row r="71" spans="1:6" ht="15.75" customHeight="1" x14ac:dyDescent="0.25">
      <c r="A71" t="s">
        <v>382</v>
      </c>
      <c r="B71" t="s">
        <v>381</v>
      </c>
      <c r="C71">
        <v>2275000</v>
      </c>
      <c r="D71" s="23">
        <f t="shared" si="3"/>
        <v>1625</v>
      </c>
      <c r="E71" s="51">
        <f t="shared" si="2"/>
        <v>3.757590352754002E-4</v>
      </c>
      <c r="F71" s="52"/>
    </row>
    <row r="72" spans="1:6" ht="15.75" customHeight="1" x14ac:dyDescent="0.25">
      <c r="A72" t="s">
        <v>386</v>
      </c>
      <c r="B72" t="s">
        <v>385</v>
      </c>
      <c r="C72">
        <v>8505557.0500000007</v>
      </c>
      <c r="D72" s="23">
        <f t="shared" si="3"/>
        <v>6075.3978928571432</v>
      </c>
      <c r="E72" s="51">
        <f t="shared" si="2"/>
        <v>1.4048527083902764E-3</v>
      </c>
      <c r="F72" s="52"/>
    </row>
    <row r="73" spans="1:6" ht="15.75" customHeight="1" x14ac:dyDescent="0.25">
      <c r="A73" t="s">
        <v>388</v>
      </c>
      <c r="B73" t="s">
        <v>387</v>
      </c>
      <c r="C73">
        <v>112999.99</v>
      </c>
      <c r="D73" s="23">
        <f t="shared" si="3"/>
        <v>80.714278571428579</v>
      </c>
      <c r="E73" s="51">
        <f t="shared" si="2"/>
        <v>1.8664073507046098E-5</v>
      </c>
      <c r="F73" s="52"/>
    </row>
    <row r="74" spans="1:6" ht="15.75" customHeight="1" x14ac:dyDescent="0.25">
      <c r="A74" t="s">
        <v>392</v>
      </c>
      <c r="B74" t="s">
        <v>391</v>
      </c>
      <c r="C74">
        <v>23412309.359999999</v>
      </c>
      <c r="D74" s="23">
        <f t="shared" si="3"/>
        <v>16723.078114285712</v>
      </c>
      <c r="E74" s="51">
        <f t="shared" si="2"/>
        <v>3.8669831994210201E-3</v>
      </c>
      <c r="F74" s="52"/>
    </row>
    <row r="75" spans="1:6" ht="15.75" customHeight="1" x14ac:dyDescent="0.25">
      <c r="A75" t="s">
        <v>394</v>
      </c>
      <c r="B75" t="s">
        <v>393</v>
      </c>
      <c r="C75">
        <v>2445776.4500000002</v>
      </c>
      <c r="D75" s="23">
        <f t="shared" si="3"/>
        <v>1746.9831785714287</v>
      </c>
      <c r="E75" s="51">
        <f t="shared" si="2"/>
        <v>4.0396597773683214E-4</v>
      </c>
      <c r="F75" s="52"/>
    </row>
    <row r="76" spans="1:6" ht="15.75" customHeight="1" x14ac:dyDescent="0.25">
      <c r="A76" t="s">
        <v>398</v>
      </c>
      <c r="B76" t="s">
        <v>397</v>
      </c>
      <c r="C76">
        <v>17577.330000000002</v>
      </c>
      <c r="D76" s="23">
        <f t="shared" si="3"/>
        <v>12.555235714285715</v>
      </c>
      <c r="E76" s="51">
        <f t="shared" si="2"/>
        <v>2.9032266213263079E-6</v>
      </c>
      <c r="F76" s="52"/>
    </row>
    <row r="77" spans="1:6" ht="15.75" customHeight="1" x14ac:dyDescent="0.25">
      <c r="A77" t="s">
        <v>402</v>
      </c>
      <c r="B77" t="s">
        <v>401</v>
      </c>
      <c r="C77">
        <v>3080000</v>
      </c>
      <c r="D77" s="23">
        <f t="shared" si="3"/>
        <v>2200</v>
      </c>
      <c r="E77" s="51">
        <f t="shared" si="2"/>
        <v>5.087199246805418E-4</v>
      </c>
      <c r="F77" s="52"/>
    </row>
    <row r="78" spans="1:6" ht="15.75" customHeight="1" x14ac:dyDescent="0.25">
      <c r="A78" t="s">
        <v>404</v>
      </c>
      <c r="B78" t="s">
        <v>403</v>
      </c>
      <c r="C78">
        <v>21628003.43</v>
      </c>
      <c r="D78" s="23">
        <f t="shared" si="3"/>
        <v>15448.573878571427</v>
      </c>
      <c r="E78" s="51">
        <f t="shared" si="2"/>
        <v>3.5722715181493829E-3</v>
      </c>
      <c r="F78" s="52"/>
    </row>
    <row r="79" spans="1:6" ht="15.75" customHeight="1" x14ac:dyDescent="0.25">
      <c r="A79" t="s">
        <v>406</v>
      </c>
      <c r="B79" t="s">
        <v>405</v>
      </c>
      <c r="C79">
        <v>11288387.76</v>
      </c>
      <c r="D79" s="23">
        <f t="shared" si="3"/>
        <v>8063.1341142857145</v>
      </c>
      <c r="E79" s="51">
        <f t="shared" si="2"/>
        <v>1.8644895360493345E-3</v>
      </c>
      <c r="F79" s="52"/>
    </row>
    <row r="80" spans="1:6" ht="15.75" customHeight="1" x14ac:dyDescent="0.25">
      <c r="A80" t="s">
        <v>410</v>
      </c>
      <c r="B80" t="s">
        <v>409</v>
      </c>
      <c r="C80">
        <v>2752731.31</v>
      </c>
      <c r="D80" s="23">
        <f t="shared" si="3"/>
        <v>1966.2366500000001</v>
      </c>
      <c r="E80" s="51">
        <f t="shared" si="2"/>
        <v>4.5466534567823678E-4</v>
      </c>
      <c r="F80" s="52"/>
    </row>
    <row r="81" spans="1:6" ht="15.75" customHeight="1" x14ac:dyDescent="0.25">
      <c r="A81" t="s">
        <v>414</v>
      </c>
      <c r="B81" t="s">
        <v>413</v>
      </c>
      <c r="C81">
        <v>2365206.35</v>
      </c>
      <c r="D81" s="23">
        <f t="shared" si="3"/>
        <v>1689.4331071428571</v>
      </c>
      <c r="E81" s="51">
        <f t="shared" si="2"/>
        <v>3.9065831046296729E-4</v>
      </c>
      <c r="F81" s="52"/>
    </row>
    <row r="82" spans="1:6" ht="15.75" customHeight="1" x14ac:dyDescent="0.25">
      <c r="A82" t="s">
        <v>416</v>
      </c>
      <c r="B82" t="s">
        <v>415</v>
      </c>
      <c r="C82">
        <v>135043.53</v>
      </c>
      <c r="D82" s="23">
        <f t="shared" si="3"/>
        <v>96.459664285714283</v>
      </c>
      <c r="E82" s="51">
        <f t="shared" si="2"/>
        <v>2.23049787046086E-5</v>
      </c>
      <c r="F82" s="52"/>
    </row>
    <row r="83" spans="1:6" ht="15.75" customHeight="1" x14ac:dyDescent="0.25">
      <c r="A83" t="s">
        <v>418</v>
      </c>
      <c r="B83" t="s">
        <v>417</v>
      </c>
      <c r="C83">
        <v>90750</v>
      </c>
      <c r="D83" s="23">
        <f t="shared" si="3"/>
        <v>64.821428571428569</v>
      </c>
      <c r="E83" s="51">
        <f t="shared" si="2"/>
        <v>1.4989069209337392E-5</v>
      </c>
      <c r="F83" s="52"/>
    </row>
    <row r="84" spans="1:6" ht="15.75" customHeight="1" x14ac:dyDescent="0.25">
      <c r="A84" t="s">
        <v>420</v>
      </c>
      <c r="B84" t="s">
        <v>419</v>
      </c>
      <c r="C84">
        <v>979083.87</v>
      </c>
      <c r="D84" s="23">
        <f t="shared" si="3"/>
        <v>699.34562142857146</v>
      </c>
      <c r="E84" s="51">
        <f t="shared" si="2"/>
        <v>1.6171411448127708E-4</v>
      </c>
      <c r="F84" s="52"/>
    </row>
    <row r="85" spans="1:6" ht="15.75" customHeight="1" x14ac:dyDescent="0.25">
      <c r="A85" t="s">
        <v>422</v>
      </c>
      <c r="B85" t="s">
        <v>421</v>
      </c>
      <c r="C85">
        <v>715981.2</v>
      </c>
      <c r="D85" s="23">
        <f t="shared" si="3"/>
        <v>511.41514285714283</v>
      </c>
      <c r="E85" s="51">
        <f t="shared" si="2"/>
        <v>1.1825776043398828E-4</v>
      </c>
      <c r="F85" s="52"/>
    </row>
    <row r="86" spans="1:6" ht="15.75" customHeight="1" x14ac:dyDescent="0.25">
      <c r="A86" t="s">
        <v>424</v>
      </c>
      <c r="B86" t="s">
        <v>423</v>
      </c>
      <c r="C86">
        <v>4986907.49</v>
      </c>
      <c r="D86" s="23">
        <f t="shared" si="3"/>
        <v>3562.0767785714288</v>
      </c>
      <c r="E86" s="51">
        <f t="shared" si="2"/>
        <v>8.2368155931871107E-4</v>
      </c>
      <c r="F86" s="52"/>
    </row>
    <row r="87" spans="1:6" ht="15.75" customHeight="1" x14ac:dyDescent="0.25">
      <c r="A87" t="s">
        <v>426</v>
      </c>
      <c r="B87" t="s">
        <v>425</v>
      </c>
      <c r="C87">
        <v>290181.01</v>
      </c>
      <c r="D87" s="23">
        <f t="shared" si="3"/>
        <v>207.27215000000001</v>
      </c>
      <c r="E87" s="51">
        <f t="shared" si="2"/>
        <v>4.792885115289726E-5</v>
      </c>
      <c r="F87" s="52"/>
    </row>
    <row r="88" spans="1:6" ht="15.75" customHeight="1" x14ac:dyDescent="0.25">
      <c r="A88" t="s">
        <v>428</v>
      </c>
      <c r="B88" t="s">
        <v>427</v>
      </c>
      <c r="C88">
        <v>2322602.6</v>
      </c>
      <c r="D88" s="23">
        <f t="shared" si="3"/>
        <v>1659.0018571428573</v>
      </c>
      <c r="E88" s="51">
        <f t="shared" si="2"/>
        <v>3.8362149991390607E-4</v>
      </c>
      <c r="F88" s="52"/>
    </row>
    <row r="89" spans="1:6" ht="15.75" customHeight="1" x14ac:dyDescent="0.25">
      <c r="A89" t="s">
        <v>430</v>
      </c>
      <c r="B89" t="s">
        <v>429</v>
      </c>
      <c r="C89">
        <v>153716586.75</v>
      </c>
      <c r="D89" s="23">
        <f t="shared" si="3"/>
        <v>109797.56196428572</v>
      </c>
      <c r="E89" s="51">
        <f t="shared" si="2"/>
        <v>2.5389185205717524E-2</v>
      </c>
      <c r="F89" s="52"/>
    </row>
    <row r="90" spans="1:6" ht="15.75" customHeight="1" x14ac:dyDescent="0.25">
      <c r="A90" t="s">
        <v>432</v>
      </c>
      <c r="B90" t="s">
        <v>431</v>
      </c>
      <c r="C90">
        <v>1947931.45</v>
      </c>
      <c r="D90" s="23">
        <f t="shared" si="3"/>
        <v>1391.3796071428571</v>
      </c>
      <c r="E90" s="51">
        <f t="shared" si="2"/>
        <v>3.2173751315807099E-4</v>
      </c>
      <c r="F90" s="52"/>
    </row>
    <row r="91" spans="1:6" ht="15.75" customHeight="1" x14ac:dyDescent="0.25">
      <c r="A91" t="s">
        <v>434</v>
      </c>
      <c r="B91" t="s">
        <v>433</v>
      </c>
      <c r="C91">
        <v>12698434.35</v>
      </c>
      <c r="D91" s="23">
        <f t="shared" si="3"/>
        <v>9070.3102500000005</v>
      </c>
      <c r="E91" s="51">
        <f t="shared" si="2"/>
        <v>2.0973852487314302E-3</v>
      </c>
      <c r="F91" s="52"/>
    </row>
    <row r="92" spans="1:6" ht="15.75" customHeight="1" x14ac:dyDescent="0.25">
      <c r="A92" t="s">
        <v>438</v>
      </c>
      <c r="B92" t="s">
        <v>437</v>
      </c>
      <c r="C92">
        <v>780000</v>
      </c>
      <c r="D92" s="23">
        <f t="shared" si="3"/>
        <v>557.14285714285711</v>
      </c>
      <c r="E92" s="51">
        <f t="shared" si="2"/>
        <v>1.2883166923728005E-4</v>
      </c>
      <c r="F92" s="52"/>
    </row>
    <row r="93" spans="1:6" ht="15.75" customHeight="1" x14ac:dyDescent="0.25">
      <c r="A93" t="s">
        <v>440</v>
      </c>
      <c r="B93" t="s">
        <v>439</v>
      </c>
      <c r="C93">
        <v>210000</v>
      </c>
      <c r="D93" s="23">
        <f t="shared" si="3"/>
        <v>150</v>
      </c>
      <c r="E93" s="51">
        <f t="shared" si="2"/>
        <v>3.4685449410036939E-5</v>
      </c>
      <c r="F93" s="52"/>
    </row>
    <row r="94" spans="1:6" ht="15.75" customHeight="1" x14ac:dyDescent="0.25">
      <c r="A94" t="s">
        <v>444</v>
      </c>
      <c r="B94" t="s">
        <v>443</v>
      </c>
      <c r="C94">
        <v>4654349.7</v>
      </c>
      <c r="D94" s="23">
        <f t="shared" si="3"/>
        <v>3324.5355</v>
      </c>
      <c r="E94" s="51">
        <f t="shared" si="2"/>
        <v>7.6875338598081247E-4</v>
      </c>
      <c r="F94" s="52"/>
    </row>
    <row r="95" spans="1:6" ht="15.75" customHeight="1" x14ac:dyDescent="0.25">
      <c r="A95" t="s">
        <v>448</v>
      </c>
      <c r="B95" t="s">
        <v>447</v>
      </c>
      <c r="C95">
        <v>16751766.35</v>
      </c>
      <c r="D95" s="23">
        <f t="shared" si="3"/>
        <v>11965.547392857143</v>
      </c>
      <c r="E95" s="51">
        <f t="shared" si="2"/>
        <v>2.7668692583889725E-3</v>
      </c>
      <c r="F95" s="52"/>
    </row>
    <row r="96" spans="1:6" ht="15.75" customHeight="1" x14ac:dyDescent="0.25">
      <c r="A96" t="s">
        <v>450</v>
      </c>
      <c r="B96" t="s">
        <v>449</v>
      </c>
      <c r="C96">
        <v>449540.05</v>
      </c>
      <c r="D96" s="23">
        <f t="shared" si="3"/>
        <v>321.1000357142857</v>
      </c>
      <c r="E96" s="51">
        <f t="shared" si="2"/>
        <v>7.4249993628859408E-5</v>
      </c>
      <c r="F96" s="52"/>
    </row>
    <row r="97" spans="1:6" ht="15.75" customHeight="1" x14ac:dyDescent="0.25">
      <c r="A97" t="s">
        <v>452</v>
      </c>
      <c r="B97" t="s">
        <v>451</v>
      </c>
      <c r="C97">
        <v>2886939</v>
      </c>
      <c r="D97" s="23">
        <f t="shared" si="3"/>
        <v>2062.0992857142855</v>
      </c>
      <c r="E97" s="51">
        <f t="shared" si="2"/>
        <v>4.7683226968744111E-4</v>
      </c>
      <c r="F97" s="52"/>
    </row>
    <row r="98" spans="1:6" ht="15.75" customHeight="1" x14ac:dyDescent="0.25">
      <c r="A98" t="s">
        <v>454</v>
      </c>
      <c r="B98" t="s">
        <v>453</v>
      </c>
      <c r="C98">
        <v>-3904.38</v>
      </c>
      <c r="D98" s="23">
        <f t="shared" si="3"/>
        <v>-2.7888428571428574</v>
      </c>
      <c r="E98" s="51">
        <f t="shared" si="2"/>
        <v>-6.4488178555980974E-7</v>
      </c>
      <c r="F98" s="52"/>
    </row>
    <row r="99" spans="1:6" ht="15.75" customHeight="1" x14ac:dyDescent="0.25">
      <c r="A99" t="s">
        <v>456</v>
      </c>
      <c r="B99" t="s">
        <v>455</v>
      </c>
      <c r="C99">
        <v>740671.25</v>
      </c>
      <c r="D99" s="23">
        <f t="shared" si="3"/>
        <v>529.05089285714291</v>
      </c>
      <c r="E99" s="51">
        <f t="shared" si="2"/>
        <v>1.2233578653020869E-4</v>
      </c>
      <c r="F99" s="52"/>
    </row>
    <row r="100" spans="1:6" ht="15.75" customHeight="1" x14ac:dyDescent="0.25">
      <c r="A100" t="s">
        <v>458</v>
      </c>
      <c r="B100" t="s">
        <v>457</v>
      </c>
      <c r="C100">
        <v>1728535.96</v>
      </c>
      <c r="D100" s="23">
        <f t="shared" si="3"/>
        <v>1234.6685428571429</v>
      </c>
      <c r="E100" s="51">
        <f t="shared" si="2"/>
        <v>2.8550022187623641E-4</v>
      </c>
      <c r="F100" s="52"/>
    </row>
    <row r="101" spans="1:6" ht="15.75" customHeight="1" x14ac:dyDescent="0.25">
      <c r="A101" t="s">
        <v>460</v>
      </c>
      <c r="B101" t="s">
        <v>459</v>
      </c>
      <c r="C101">
        <v>40367.35</v>
      </c>
      <c r="D101" s="23">
        <f t="shared" si="3"/>
        <v>28.833821428571426</v>
      </c>
      <c r="E101" s="51">
        <f t="shared" si="2"/>
        <v>6.6674270297250217E-6</v>
      </c>
      <c r="F101" s="52"/>
    </row>
    <row r="102" spans="1:6" ht="15.75" customHeight="1" x14ac:dyDescent="0.25">
      <c r="A102" t="s">
        <v>464</v>
      </c>
      <c r="B102" t="s">
        <v>463</v>
      </c>
      <c r="C102">
        <v>6287988.8499999996</v>
      </c>
      <c r="D102" s="23">
        <f t="shared" si="3"/>
        <v>4491.4206071428571</v>
      </c>
      <c r="E102" s="51">
        <f t="shared" si="2"/>
        <v>1.0385796149883397E-3</v>
      </c>
      <c r="F102" s="52"/>
    </row>
    <row r="103" spans="1:6" ht="15.75" customHeight="1" x14ac:dyDescent="0.25">
      <c r="A103" t="s">
        <v>466</v>
      </c>
      <c r="B103" t="s">
        <v>465</v>
      </c>
      <c r="C103">
        <v>6500000</v>
      </c>
      <c r="D103" s="23">
        <f t="shared" si="3"/>
        <v>4642.8571428571431</v>
      </c>
      <c r="E103" s="51">
        <f t="shared" si="2"/>
        <v>1.0735972436440007E-3</v>
      </c>
      <c r="F103" s="52"/>
    </row>
    <row r="104" spans="1:6" ht="15.75" customHeight="1" x14ac:dyDescent="0.25">
      <c r="A104" t="s">
        <v>468</v>
      </c>
      <c r="B104" t="s">
        <v>467</v>
      </c>
      <c r="C104">
        <v>332638.37</v>
      </c>
      <c r="D104" s="23">
        <f t="shared" si="3"/>
        <v>237.59883571428571</v>
      </c>
      <c r="E104" s="51">
        <f t="shared" si="2"/>
        <v>5.4941482640343572E-5</v>
      </c>
      <c r="F104" s="52"/>
    </row>
    <row r="105" spans="1:6" ht="15.75" customHeight="1" x14ac:dyDescent="0.25">
      <c r="A105" t="s">
        <v>470</v>
      </c>
      <c r="B105" t="s">
        <v>469</v>
      </c>
      <c r="C105">
        <v>2785280.85</v>
      </c>
      <c r="D105" s="23">
        <f t="shared" si="3"/>
        <v>1989.4863214285715</v>
      </c>
      <c r="E105" s="51">
        <f t="shared" si="2"/>
        <v>4.6004151435914139E-4</v>
      </c>
      <c r="F105" s="52"/>
    </row>
    <row r="106" spans="1:6" ht="15.75" customHeight="1" x14ac:dyDescent="0.25">
      <c r="A106" t="s">
        <v>472</v>
      </c>
      <c r="B106" t="s">
        <v>471</v>
      </c>
      <c r="C106">
        <v>1403729.47</v>
      </c>
      <c r="D106" s="23">
        <f t="shared" si="3"/>
        <v>1002.6639071428572</v>
      </c>
      <c r="E106" s="51">
        <f t="shared" si="2"/>
        <v>2.3185232150982368E-4</v>
      </c>
      <c r="F106" s="52"/>
    </row>
    <row r="107" spans="1:6" ht="15.75" customHeight="1" x14ac:dyDescent="0.25">
      <c r="A107" t="s">
        <v>474</v>
      </c>
      <c r="B107" t="s">
        <v>473</v>
      </c>
      <c r="C107">
        <v>224000</v>
      </c>
      <c r="D107" s="23">
        <f t="shared" si="3"/>
        <v>160</v>
      </c>
      <c r="E107" s="51">
        <f t="shared" si="2"/>
        <v>3.6997812704039406E-5</v>
      </c>
      <c r="F107" s="52"/>
    </row>
    <row r="108" spans="1:6" ht="15.75" customHeight="1" x14ac:dyDescent="0.25">
      <c r="A108" t="s">
        <v>478</v>
      </c>
      <c r="B108" t="s">
        <v>477</v>
      </c>
      <c r="C108">
        <v>871200</v>
      </c>
      <c r="D108" s="23">
        <f t="shared" si="3"/>
        <v>622.28571428571433</v>
      </c>
      <c r="E108" s="51">
        <f t="shared" si="2"/>
        <v>1.4389506440963898E-4</v>
      </c>
      <c r="F108" s="52"/>
    </row>
    <row r="109" spans="1:6" ht="15.75" customHeight="1" x14ac:dyDescent="0.25">
      <c r="A109" t="s">
        <v>480</v>
      </c>
      <c r="B109" t="s">
        <v>479</v>
      </c>
      <c r="C109">
        <v>2287582.5699999998</v>
      </c>
      <c r="D109" s="23">
        <f t="shared" si="3"/>
        <v>1633.9875499999998</v>
      </c>
      <c r="E109" s="51">
        <f t="shared" si="2"/>
        <v>3.7783728334770132E-4</v>
      </c>
      <c r="F109" s="52"/>
    </row>
    <row r="110" spans="1:6" ht="15.75" customHeight="1" x14ac:dyDescent="0.25">
      <c r="A110" t="s">
        <v>484</v>
      </c>
      <c r="B110" t="s">
        <v>483</v>
      </c>
      <c r="C110">
        <v>5482769.8799999999</v>
      </c>
      <c r="D110" s="23">
        <f t="shared" si="3"/>
        <v>3916.2642000000001</v>
      </c>
      <c r="E110" s="51">
        <f t="shared" si="2"/>
        <v>9.0558255856959199E-4</v>
      </c>
      <c r="F110" s="52"/>
    </row>
    <row r="111" spans="1:6" ht="15.75" customHeight="1" x14ac:dyDescent="0.25">
      <c r="A111" t="s">
        <v>486</v>
      </c>
      <c r="B111" t="s">
        <v>485</v>
      </c>
      <c r="C111">
        <v>1150000</v>
      </c>
      <c r="D111" s="23">
        <f t="shared" si="3"/>
        <v>821.42857142857144</v>
      </c>
      <c r="E111" s="51">
        <f t="shared" si="2"/>
        <v>1.8994412772163087E-4</v>
      </c>
      <c r="F111" s="52"/>
    </row>
    <row r="112" spans="1:6" ht="15.75" customHeight="1" x14ac:dyDescent="0.25">
      <c r="A112" t="s">
        <v>488</v>
      </c>
      <c r="B112" t="s">
        <v>487</v>
      </c>
      <c r="C112">
        <v>2524500</v>
      </c>
      <c r="D112" s="23">
        <f t="shared" si="3"/>
        <v>1803.2142857142858</v>
      </c>
      <c r="E112" s="51">
        <f t="shared" si="2"/>
        <v>4.169686525506584E-4</v>
      </c>
      <c r="F112" s="52"/>
    </row>
    <row r="113" spans="1:6" ht="15.75" customHeight="1" x14ac:dyDescent="0.25">
      <c r="A113" t="s">
        <v>492</v>
      </c>
      <c r="B113" t="s">
        <v>491</v>
      </c>
      <c r="C113">
        <v>67324400</v>
      </c>
      <c r="D113" s="23">
        <f t="shared" si="3"/>
        <v>48088.857142857145</v>
      </c>
      <c r="E113" s="51">
        <f t="shared" si="2"/>
        <v>1.1119890810767101E-2</v>
      </c>
      <c r="F113" s="52"/>
    </row>
    <row r="114" spans="1:6" ht="15.75" customHeight="1" x14ac:dyDescent="0.25">
      <c r="A114" t="s">
        <v>496</v>
      </c>
      <c r="B114" t="s">
        <v>495</v>
      </c>
      <c r="C114">
        <v>31047.5</v>
      </c>
      <c r="D114" s="23">
        <f t="shared" si="3"/>
        <v>22.176785714285714</v>
      </c>
      <c r="E114" s="51">
        <f t="shared" si="2"/>
        <v>5.1280785264672474E-6</v>
      </c>
      <c r="F114" s="52"/>
    </row>
    <row r="115" spans="1:6" ht="15.75" customHeight="1" x14ac:dyDescent="0.25">
      <c r="A115" t="s">
        <v>498</v>
      </c>
      <c r="B115" t="s">
        <v>497</v>
      </c>
      <c r="C115">
        <v>1382140.65</v>
      </c>
      <c r="D115" s="23">
        <f t="shared" si="3"/>
        <v>987.24332142857133</v>
      </c>
      <c r="E115" s="51">
        <f t="shared" si="2"/>
        <v>2.2828652187205034E-4</v>
      </c>
      <c r="F115" s="52"/>
    </row>
    <row r="116" spans="1:6" ht="15.75" customHeight="1" x14ac:dyDescent="0.25">
      <c r="A116" t="s">
        <v>502</v>
      </c>
      <c r="B116" t="s">
        <v>501</v>
      </c>
      <c r="C116">
        <v>1378788.38</v>
      </c>
      <c r="D116" s="23">
        <f t="shared" si="3"/>
        <v>984.84884285714281</v>
      </c>
      <c r="E116" s="51">
        <f t="shared" si="2"/>
        <v>2.2773283143636566E-4</v>
      </c>
      <c r="F116" s="52"/>
    </row>
    <row r="117" spans="1:6" ht="15.75" customHeight="1" x14ac:dyDescent="0.25">
      <c r="A117" t="s">
        <v>506</v>
      </c>
      <c r="B117" t="s">
        <v>505</v>
      </c>
      <c r="C117">
        <v>4444896.2300000004</v>
      </c>
      <c r="D117" s="23">
        <f t="shared" si="3"/>
        <v>3174.9258785714287</v>
      </c>
      <c r="E117" s="51">
        <f t="shared" si="2"/>
        <v>7.3415820627870923E-4</v>
      </c>
      <c r="F117" s="52"/>
    </row>
    <row r="118" spans="1:6" ht="15.75" customHeight="1" x14ac:dyDescent="0.25">
      <c r="A118" t="s">
        <v>861</v>
      </c>
      <c r="B118" t="s">
        <v>860</v>
      </c>
      <c r="C118">
        <v>703393.64</v>
      </c>
      <c r="D118" s="23">
        <f t="shared" si="3"/>
        <v>502.42402857142861</v>
      </c>
      <c r="E118" s="51">
        <f t="shared" si="2"/>
        <v>1.1617868816934161E-4</v>
      </c>
      <c r="F118" s="52"/>
    </row>
    <row r="119" spans="1:6" ht="15.75" customHeight="1" x14ac:dyDescent="0.25">
      <c r="A119" t="s">
        <v>510</v>
      </c>
      <c r="B119" t="s">
        <v>509</v>
      </c>
      <c r="C119">
        <v>8039722.8899999997</v>
      </c>
      <c r="D119" s="23">
        <f t="shared" si="3"/>
        <v>5742.6592071428568</v>
      </c>
      <c r="E119" s="51">
        <f t="shared" si="2"/>
        <v>1.3279114360562427E-3</v>
      </c>
      <c r="F119" s="52"/>
    </row>
    <row r="120" spans="1:6" ht="15.75" customHeight="1" x14ac:dyDescent="0.25">
      <c r="A120" t="s">
        <v>512</v>
      </c>
      <c r="B120" t="s">
        <v>511</v>
      </c>
      <c r="C120">
        <v>2384391.27</v>
      </c>
      <c r="D120" s="23">
        <f t="shared" si="3"/>
        <v>1703.1366214285715</v>
      </c>
      <c r="E120" s="51">
        <f t="shared" si="2"/>
        <v>3.9382706080627968E-4</v>
      </c>
      <c r="F120" s="52"/>
    </row>
    <row r="121" spans="1:6" ht="15.75" customHeight="1" x14ac:dyDescent="0.25">
      <c r="A121" t="s">
        <v>514</v>
      </c>
      <c r="B121" t="s">
        <v>513</v>
      </c>
      <c r="C121">
        <v>4394000</v>
      </c>
      <c r="D121" s="23">
        <f t="shared" si="3"/>
        <v>3138.5714285714284</v>
      </c>
      <c r="E121" s="51">
        <f t="shared" si="2"/>
        <v>7.2575173670334434E-4</v>
      </c>
      <c r="F121" s="52"/>
    </row>
    <row r="122" spans="1:6" ht="15.75" customHeight="1" x14ac:dyDescent="0.25">
      <c r="A122" t="s">
        <v>863</v>
      </c>
      <c r="B122" t="s">
        <v>862</v>
      </c>
      <c r="C122">
        <v>45230.85</v>
      </c>
      <c r="D122" s="23">
        <f t="shared" si="3"/>
        <v>32.307749999999999</v>
      </c>
      <c r="E122" s="51">
        <f t="shared" si="2"/>
        <v>7.470725521180806E-6</v>
      </c>
      <c r="F122" s="52"/>
    </row>
    <row r="123" spans="1:6" ht="15.75" customHeight="1" x14ac:dyDescent="0.25">
      <c r="A123" t="s">
        <v>518</v>
      </c>
      <c r="B123" t="s">
        <v>517</v>
      </c>
      <c r="C123">
        <v>226095.32</v>
      </c>
      <c r="D123" s="23">
        <f t="shared" si="3"/>
        <v>161.49665714285715</v>
      </c>
      <c r="E123" s="51">
        <f t="shared" si="2"/>
        <v>3.7343894208124347E-5</v>
      </c>
      <c r="F123" s="52"/>
    </row>
    <row r="124" spans="1:6" ht="15.75" customHeight="1" x14ac:dyDescent="0.25">
      <c r="A124" t="s">
        <v>520</v>
      </c>
      <c r="B124" t="s">
        <v>519</v>
      </c>
      <c r="C124">
        <v>60321995.049999997</v>
      </c>
      <c r="D124" s="23">
        <f t="shared" si="3"/>
        <v>43087.139321428571</v>
      </c>
      <c r="E124" s="51">
        <f t="shared" si="2"/>
        <v>9.96331194104416E-3</v>
      </c>
      <c r="F124" s="52"/>
    </row>
    <row r="125" spans="1:6" ht="15.75" customHeight="1" x14ac:dyDescent="0.25">
      <c r="A125" t="s">
        <v>522</v>
      </c>
      <c r="B125" t="s">
        <v>521</v>
      </c>
      <c r="C125">
        <v>-258135.9</v>
      </c>
      <c r="D125" s="23">
        <f t="shared" si="3"/>
        <v>-184.38278571428572</v>
      </c>
      <c r="E125" s="51">
        <f t="shared" si="2"/>
        <v>-4.2635998573163598E-5</v>
      </c>
      <c r="F125" s="52"/>
    </row>
    <row r="126" spans="1:6" ht="15.75" customHeight="1" x14ac:dyDescent="0.25">
      <c r="A126" t="s">
        <v>524</v>
      </c>
      <c r="B126" t="s">
        <v>523</v>
      </c>
      <c r="C126">
        <v>9410663.1999999993</v>
      </c>
      <c r="D126" s="23">
        <f t="shared" si="3"/>
        <v>6721.9022857142854</v>
      </c>
      <c r="E126" s="51">
        <f t="shared" si="2"/>
        <v>1.5543480111356968E-3</v>
      </c>
      <c r="F126" s="52"/>
    </row>
    <row r="127" spans="1:6" ht="15.75" customHeight="1" x14ac:dyDescent="0.25">
      <c r="A127" t="s">
        <v>528</v>
      </c>
      <c r="B127" t="s">
        <v>527</v>
      </c>
      <c r="C127">
        <v>359370</v>
      </c>
      <c r="D127" s="23">
        <f t="shared" si="3"/>
        <v>256.69285714285712</v>
      </c>
      <c r="E127" s="51">
        <f t="shared" si="2"/>
        <v>5.9356714068976067E-5</v>
      </c>
      <c r="F127" s="52"/>
    </row>
    <row r="128" spans="1:6" ht="15.75" customHeight="1" x14ac:dyDescent="0.25">
      <c r="A128" t="s">
        <v>532</v>
      </c>
      <c r="B128" t="s">
        <v>531</v>
      </c>
      <c r="C128">
        <v>173843.20000000001</v>
      </c>
      <c r="D128" s="23">
        <f t="shared" si="3"/>
        <v>124.1737142857143</v>
      </c>
      <c r="E128" s="51">
        <f t="shared" si="2"/>
        <v>2.8713473899423499E-5</v>
      </c>
      <c r="F128" s="52"/>
    </row>
    <row r="129" spans="1:6" ht="15.75" customHeight="1" x14ac:dyDescent="0.25">
      <c r="A129" t="s">
        <v>534</v>
      </c>
      <c r="B129" t="s">
        <v>533</v>
      </c>
      <c r="C129">
        <v>1366662.33</v>
      </c>
      <c r="D129" s="23">
        <f t="shared" si="3"/>
        <v>976.18737857142867</v>
      </c>
      <c r="E129" s="51">
        <f t="shared" si="2"/>
        <v>2.2572998622770579E-4</v>
      </c>
      <c r="F129" s="52"/>
    </row>
    <row r="130" spans="1:6" ht="15.75" customHeight="1" x14ac:dyDescent="0.25">
      <c r="A130" t="s">
        <v>536</v>
      </c>
      <c r="B130" t="s">
        <v>535</v>
      </c>
      <c r="C130">
        <v>1181383.5</v>
      </c>
      <c r="D130" s="23">
        <f t="shared" si="3"/>
        <v>843.8453571428571</v>
      </c>
      <c r="E130" s="51">
        <f t="shared" si="2"/>
        <v>1.9512770296715418E-4</v>
      </c>
      <c r="F130" s="52"/>
    </row>
    <row r="131" spans="1:6" ht="15.75" customHeight="1" x14ac:dyDescent="0.25">
      <c r="A131" t="s">
        <v>538</v>
      </c>
      <c r="B131" t="s">
        <v>537</v>
      </c>
      <c r="C131">
        <v>88538261.290000007</v>
      </c>
      <c r="D131" s="23">
        <f t="shared" si="3"/>
        <v>63241.615207142859</v>
      </c>
      <c r="E131" s="51">
        <f t="shared" si="2"/>
        <v>1.4623758965842511E-2</v>
      </c>
      <c r="F131" s="52"/>
    </row>
    <row r="132" spans="1:6" ht="15.75" customHeight="1" x14ac:dyDescent="0.25">
      <c r="A132" t="s">
        <v>540</v>
      </c>
      <c r="B132" t="s">
        <v>539</v>
      </c>
      <c r="C132">
        <v>5896891</v>
      </c>
      <c r="D132" s="23">
        <f t="shared" si="3"/>
        <v>4212.0649999999996</v>
      </c>
      <c r="E132" s="51">
        <f t="shared" si="2"/>
        <v>9.7398244979524822E-4</v>
      </c>
      <c r="F132" s="52"/>
    </row>
    <row r="133" spans="1:6" ht="15.75" customHeight="1" x14ac:dyDescent="0.25">
      <c r="A133" t="s">
        <v>542</v>
      </c>
      <c r="B133" t="s">
        <v>541</v>
      </c>
      <c r="C133">
        <v>13218589.529999999</v>
      </c>
      <c r="D133" s="23">
        <f t="shared" si="3"/>
        <v>9441.8496642857135</v>
      </c>
      <c r="E133" s="51">
        <f t="shared" ref="E133:E196" si="4">+D133/$D$391</f>
        <v>2.1832986591183759E-3</v>
      </c>
      <c r="F133" s="52"/>
    </row>
    <row r="134" spans="1:6" ht="15.75" customHeight="1" x14ac:dyDescent="0.25">
      <c r="A134" t="s">
        <v>546</v>
      </c>
      <c r="B134" t="s">
        <v>545</v>
      </c>
      <c r="C134">
        <v>4033491.61</v>
      </c>
      <c r="D134" s="23">
        <f t="shared" ref="D134:D197" si="5">+C134/$D$3</f>
        <v>2881.0654357142857</v>
      </c>
      <c r="E134" s="51">
        <f t="shared" si="4"/>
        <v>6.6620699611649259E-4</v>
      </c>
      <c r="F134" s="52"/>
    </row>
    <row r="135" spans="1:6" ht="15.75" customHeight="1" x14ac:dyDescent="0.25">
      <c r="A135" t="s">
        <v>550</v>
      </c>
      <c r="B135" t="s">
        <v>549</v>
      </c>
      <c r="C135">
        <v>1055215.28</v>
      </c>
      <c r="D135" s="23">
        <f t="shared" si="5"/>
        <v>753.72519999999997</v>
      </c>
      <c r="E135" s="51">
        <f t="shared" si="4"/>
        <v>1.7428864862446648E-4</v>
      </c>
      <c r="F135" s="52"/>
    </row>
    <row r="136" spans="1:6" ht="15.75" customHeight="1" x14ac:dyDescent="0.25">
      <c r="A136" t="s">
        <v>552</v>
      </c>
      <c r="B136" t="s">
        <v>551</v>
      </c>
      <c r="C136">
        <v>134486.99</v>
      </c>
      <c r="D136" s="23">
        <f t="shared" si="5"/>
        <v>96.062135714285702</v>
      </c>
      <c r="E136" s="51">
        <f t="shared" si="4"/>
        <v>2.2213055656919732E-5</v>
      </c>
      <c r="F136" s="52"/>
    </row>
    <row r="137" spans="1:6" ht="15.75" customHeight="1" x14ac:dyDescent="0.25">
      <c r="A137" t="s">
        <v>554</v>
      </c>
      <c r="B137" t="s">
        <v>553</v>
      </c>
      <c r="C137">
        <v>79761013.769999996</v>
      </c>
      <c r="D137" s="23">
        <f t="shared" si="5"/>
        <v>56972.15269285714</v>
      </c>
      <c r="E137" s="51">
        <f t="shared" si="4"/>
        <v>1.3174031466726641E-2</v>
      </c>
      <c r="F137" s="52"/>
    </row>
    <row r="138" spans="1:6" ht="15.75" customHeight="1" x14ac:dyDescent="0.25">
      <c r="A138" t="s">
        <v>556</v>
      </c>
      <c r="B138" t="s">
        <v>555</v>
      </c>
      <c r="C138">
        <v>2603161.33</v>
      </c>
      <c r="D138" s="23">
        <f t="shared" si="5"/>
        <v>1859.40095</v>
      </c>
      <c r="E138" s="51">
        <f t="shared" si="4"/>
        <v>4.2996105056133086E-4</v>
      </c>
      <c r="F138" s="52"/>
    </row>
    <row r="139" spans="1:6" ht="15.75" customHeight="1" x14ac:dyDescent="0.25">
      <c r="A139" t="s">
        <v>558</v>
      </c>
      <c r="B139" t="s">
        <v>557</v>
      </c>
      <c r="C139">
        <v>452721.8</v>
      </c>
      <c r="D139" s="23">
        <f t="shared" si="5"/>
        <v>323.37271428571427</v>
      </c>
      <c r="E139" s="51">
        <f t="shared" si="4"/>
        <v>7.4775519479623151E-5</v>
      </c>
      <c r="F139" s="52"/>
    </row>
    <row r="140" spans="1:6" ht="15.75" customHeight="1" x14ac:dyDescent="0.25">
      <c r="A140" t="s">
        <v>560</v>
      </c>
      <c r="B140" t="s">
        <v>559</v>
      </c>
      <c r="C140">
        <v>7753243.5</v>
      </c>
      <c r="D140" s="23">
        <f t="shared" si="5"/>
        <v>5538.0310714285715</v>
      </c>
      <c r="E140" s="51">
        <f t="shared" si="4"/>
        <v>1.280593977061656E-3</v>
      </c>
      <c r="F140" s="52"/>
    </row>
    <row r="141" spans="1:6" ht="15.75" customHeight="1" x14ac:dyDescent="0.25">
      <c r="A141" t="s">
        <v>562</v>
      </c>
      <c r="B141" t="s">
        <v>561</v>
      </c>
      <c r="C141">
        <v>1265660</v>
      </c>
      <c r="D141" s="23">
        <f t="shared" si="5"/>
        <v>904.04285714285709</v>
      </c>
      <c r="E141" s="51">
        <f t="shared" si="4"/>
        <v>2.0904755190622549E-4</v>
      </c>
      <c r="F141" s="52"/>
    </row>
    <row r="142" spans="1:6" ht="15.75" customHeight="1" x14ac:dyDescent="0.25">
      <c r="A142" t="s">
        <v>566</v>
      </c>
      <c r="B142" t="s">
        <v>565</v>
      </c>
      <c r="C142">
        <v>128842778.56</v>
      </c>
      <c r="D142" s="23">
        <f t="shared" si="5"/>
        <v>92030.556114285719</v>
      </c>
      <c r="E142" s="51">
        <f t="shared" si="4"/>
        <v>2.1280807988530822E-2</v>
      </c>
      <c r="F142" s="52"/>
    </row>
    <row r="143" spans="1:6" ht="15.75" customHeight="1" x14ac:dyDescent="0.25">
      <c r="A143" t="s">
        <v>568</v>
      </c>
      <c r="B143" t="s">
        <v>567</v>
      </c>
      <c r="C143">
        <v>335045.59999999998</v>
      </c>
      <c r="D143" s="23">
        <f t="shared" si="5"/>
        <v>239.31828571428571</v>
      </c>
      <c r="E143" s="51">
        <f t="shared" si="4"/>
        <v>5.5339081946930822E-5</v>
      </c>
      <c r="F143" s="52"/>
    </row>
    <row r="144" spans="1:6" ht="15.75" customHeight="1" x14ac:dyDescent="0.25">
      <c r="A144" t="s">
        <v>570</v>
      </c>
      <c r="B144" t="s">
        <v>569</v>
      </c>
      <c r="C144">
        <v>1782642.4</v>
      </c>
      <c r="D144" s="23">
        <f t="shared" si="5"/>
        <v>1273.316</v>
      </c>
      <c r="E144" s="51">
        <f t="shared" si="4"/>
        <v>2.9443691800660397E-4</v>
      </c>
      <c r="F144" s="52"/>
    </row>
    <row r="145" spans="1:6" ht="15.75" customHeight="1" x14ac:dyDescent="0.25">
      <c r="A145" t="s">
        <v>572</v>
      </c>
      <c r="B145" t="s">
        <v>571</v>
      </c>
      <c r="C145">
        <v>1665850</v>
      </c>
      <c r="D145" s="23">
        <f t="shared" si="5"/>
        <v>1189.8928571428571</v>
      </c>
      <c r="E145" s="51">
        <f t="shared" si="4"/>
        <v>2.7514645666528587E-4</v>
      </c>
      <c r="F145" s="52"/>
    </row>
    <row r="146" spans="1:6" ht="15.75" customHeight="1" x14ac:dyDescent="0.25">
      <c r="A146" t="s">
        <v>574</v>
      </c>
      <c r="B146" t="s">
        <v>573</v>
      </c>
      <c r="C146">
        <v>2600000</v>
      </c>
      <c r="D146" s="23">
        <f t="shared" si="5"/>
        <v>1857.1428571428571</v>
      </c>
      <c r="E146" s="51">
        <f t="shared" si="4"/>
        <v>4.2943889745760024E-4</v>
      </c>
      <c r="F146" s="52"/>
    </row>
    <row r="147" spans="1:6" ht="15.75" customHeight="1" x14ac:dyDescent="0.25">
      <c r="A147" t="s">
        <v>578</v>
      </c>
      <c r="B147" t="s">
        <v>577</v>
      </c>
      <c r="C147">
        <v>3085711</v>
      </c>
      <c r="D147" s="23">
        <f t="shared" si="5"/>
        <v>2204.0792857142856</v>
      </c>
      <c r="E147" s="51">
        <f t="shared" si="4"/>
        <v>5.0966320373568809E-4</v>
      </c>
      <c r="F147" s="52"/>
    </row>
    <row r="148" spans="1:6" ht="15.75" customHeight="1" x14ac:dyDescent="0.25">
      <c r="A148" t="s">
        <v>865</v>
      </c>
      <c r="B148" t="s">
        <v>864</v>
      </c>
      <c r="C148">
        <v>93436.56</v>
      </c>
      <c r="D148" s="23">
        <f t="shared" si="5"/>
        <v>66.740399999999994</v>
      </c>
      <c r="E148" s="51">
        <f t="shared" si="4"/>
        <v>1.5432805118704196E-5</v>
      </c>
      <c r="F148" s="52"/>
    </row>
    <row r="149" spans="1:6" ht="15.75" customHeight="1" x14ac:dyDescent="0.25">
      <c r="A149" t="s">
        <v>580</v>
      </c>
      <c r="B149" t="s">
        <v>579</v>
      </c>
      <c r="C149">
        <v>151250</v>
      </c>
      <c r="D149" s="23">
        <f t="shared" si="5"/>
        <v>108.03571428571429</v>
      </c>
      <c r="E149" s="51">
        <f t="shared" si="4"/>
        <v>2.4981782015562322E-5</v>
      </c>
      <c r="F149" s="52"/>
    </row>
    <row r="150" spans="1:6" ht="15.75" customHeight="1" x14ac:dyDescent="0.25">
      <c r="A150" t="s">
        <v>582</v>
      </c>
      <c r="B150" t="s">
        <v>581</v>
      </c>
      <c r="C150">
        <v>742500</v>
      </c>
      <c r="D150" s="23">
        <f t="shared" si="5"/>
        <v>530.35714285714289</v>
      </c>
      <c r="E150" s="51">
        <f t="shared" si="4"/>
        <v>1.2263783898548776E-4</v>
      </c>
      <c r="F150" s="52"/>
    </row>
    <row r="151" spans="1:6" ht="15.75" customHeight="1" x14ac:dyDescent="0.25">
      <c r="A151" t="s">
        <v>586</v>
      </c>
      <c r="B151" t="s">
        <v>585</v>
      </c>
      <c r="C151">
        <v>87120</v>
      </c>
      <c r="D151" s="23">
        <f t="shared" si="5"/>
        <v>62.228571428571428</v>
      </c>
      <c r="E151" s="51">
        <f t="shared" si="4"/>
        <v>1.4389506440963897E-5</v>
      </c>
      <c r="F151" s="52"/>
    </row>
    <row r="152" spans="1:6" ht="15.75" customHeight="1" x14ac:dyDescent="0.25">
      <c r="A152" t="s">
        <v>588</v>
      </c>
      <c r="B152" t="s">
        <v>587</v>
      </c>
      <c r="C152">
        <v>4565400</v>
      </c>
      <c r="D152" s="23">
        <f t="shared" si="5"/>
        <v>3261</v>
      </c>
      <c r="E152" s="51">
        <f t="shared" si="4"/>
        <v>7.5406167017420312E-4</v>
      </c>
      <c r="F152" s="52"/>
    </row>
    <row r="153" spans="1:6" ht="15.75" customHeight="1" x14ac:dyDescent="0.25">
      <c r="A153" t="s">
        <v>590</v>
      </c>
      <c r="B153" t="s">
        <v>589</v>
      </c>
      <c r="C153">
        <v>2934445</v>
      </c>
      <c r="D153" s="23">
        <f t="shared" si="5"/>
        <v>2096.0321428571428</v>
      </c>
      <c r="E153" s="51">
        <f t="shared" si="4"/>
        <v>4.8467877901921832E-4</v>
      </c>
      <c r="F153" s="52"/>
    </row>
    <row r="154" spans="1:6" ht="15.75" customHeight="1" x14ac:dyDescent="0.25">
      <c r="A154" t="s">
        <v>592</v>
      </c>
      <c r="B154" t="s">
        <v>591</v>
      </c>
      <c r="C154">
        <v>4058469.23</v>
      </c>
      <c r="D154" s="23">
        <f t="shared" si="5"/>
        <v>2898.9065928571426</v>
      </c>
      <c r="E154" s="51">
        <f t="shared" si="4"/>
        <v>6.7033251980645986E-4</v>
      </c>
      <c r="F154" s="52"/>
    </row>
    <row r="155" spans="1:6" ht="15.75" customHeight="1" x14ac:dyDescent="0.25">
      <c r="A155" t="s">
        <v>594</v>
      </c>
      <c r="B155" t="s">
        <v>593</v>
      </c>
      <c r="C155">
        <v>23968858.949999999</v>
      </c>
      <c r="D155" s="23">
        <f t="shared" si="5"/>
        <v>17120.613535714285</v>
      </c>
      <c r="E155" s="51">
        <f t="shared" si="4"/>
        <v>3.9589078310787434E-3</v>
      </c>
      <c r="F155" s="52"/>
    </row>
    <row r="156" spans="1:6" ht="15.75" customHeight="1" x14ac:dyDescent="0.25">
      <c r="A156" t="s">
        <v>598</v>
      </c>
      <c r="B156" t="s">
        <v>597</v>
      </c>
      <c r="C156">
        <v>6381394.7999999998</v>
      </c>
      <c r="D156" s="23">
        <f t="shared" si="5"/>
        <v>4558.1391428571424</v>
      </c>
      <c r="E156" s="51">
        <f t="shared" si="4"/>
        <v>1.0540073642898704E-3</v>
      </c>
      <c r="F156" s="52"/>
    </row>
    <row r="157" spans="1:6" ht="15.75" customHeight="1" x14ac:dyDescent="0.25">
      <c r="A157" t="s">
        <v>600</v>
      </c>
      <c r="B157" t="s">
        <v>599</v>
      </c>
      <c r="C157">
        <v>2711948</v>
      </c>
      <c r="D157" s="23">
        <f t="shared" si="5"/>
        <v>1937.1057142857144</v>
      </c>
      <c r="E157" s="51">
        <f t="shared" si="4"/>
        <v>4.4792921503167081E-4</v>
      </c>
      <c r="F157" s="52"/>
    </row>
    <row r="158" spans="1:6" ht="15.75" customHeight="1" x14ac:dyDescent="0.25">
      <c r="A158" t="s">
        <v>869</v>
      </c>
      <c r="B158" t="s">
        <v>868</v>
      </c>
      <c r="C158">
        <v>386200</v>
      </c>
      <c r="D158" s="23">
        <f t="shared" si="5"/>
        <v>275.85714285714283</v>
      </c>
      <c r="E158" s="51">
        <f t="shared" si="4"/>
        <v>6.3788193153125079E-5</v>
      </c>
      <c r="F158" s="52"/>
    </row>
    <row r="159" spans="1:6" ht="15.75" customHeight="1" x14ac:dyDescent="0.25">
      <c r="A159" t="s">
        <v>602</v>
      </c>
      <c r="B159" t="s">
        <v>601</v>
      </c>
      <c r="C159">
        <v>11845076.42</v>
      </c>
      <c r="D159" s="23">
        <f t="shared" si="5"/>
        <v>8460.7688714285705</v>
      </c>
      <c r="E159" s="51">
        <f t="shared" si="4"/>
        <v>1.956437137733007E-3</v>
      </c>
      <c r="F159" s="52"/>
    </row>
    <row r="160" spans="1:6" ht="15.75" customHeight="1" x14ac:dyDescent="0.25">
      <c r="A160" t="s">
        <v>604</v>
      </c>
      <c r="B160" t="s">
        <v>603</v>
      </c>
      <c r="C160">
        <v>288196619.77999997</v>
      </c>
      <c r="D160" s="23">
        <f t="shared" si="5"/>
        <v>205854.7284142857</v>
      </c>
      <c r="E160" s="51">
        <f t="shared" si="4"/>
        <v>4.7601091788204E-2</v>
      </c>
      <c r="F160" s="52"/>
    </row>
    <row r="161" spans="1:6" ht="15.75" customHeight="1" x14ac:dyDescent="0.25">
      <c r="A161" t="s">
        <v>608</v>
      </c>
      <c r="B161" t="s">
        <v>607</v>
      </c>
      <c r="C161">
        <v>1311108.3899999999</v>
      </c>
      <c r="D161" s="23">
        <f t="shared" si="5"/>
        <v>936.50599285714281</v>
      </c>
      <c r="E161" s="51">
        <f t="shared" si="4"/>
        <v>2.1655420824961895E-4</v>
      </c>
      <c r="F161" s="52"/>
    </row>
    <row r="162" spans="1:6" ht="15.75" customHeight="1" x14ac:dyDescent="0.25">
      <c r="A162" t="s">
        <v>610</v>
      </c>
      <c r="B162" t="s">
        <v>609</v>
      </c>
      <c r="C162">
        <v>6753318.3700000001</v>
      </c>
      <c r="D162" s="23">
        <f t="shared" si="5"/>
        <v>4823.7988357142858</v>
      </c>
      <c r="E162" s="51">
        <f t="shared" si="4"/>
        <v>1.115437536535753E-3</v>
      </c>
      <c r="F162" s="52"/>
    </row>
    <row r="163" spans="1:6" ht="15.75" customHeight="1" x14ac:dyDescent="0.25">
      <c r="A163" t="s">
        <v>612</v>
      </c>
      <c r="B163" t="s">
        <v>611</v>
      </c>
      <c r="C163">
        <v>35394057.5</v>
      </c>
      <c r="D163" s="23">
        <f t="shared" si="5"/>
        <v>25281.469642857144</v>
      </c>
      <c r="E163" s="51">
        <f t="shared" si="4"/>
        <v>5.8459942420580413E-3</v>
      </c>
      <c r="F163" s="52"/>
    </row>
    <row r="164" spans="1:6" ht="15.75" customHeight="1" x14ac:dyDescent="0.25">
      <c r="A164" t="s">
        <v>614</v>
      </c>
      <c r="B164" t="s">
        <v>613</v>
      </c>
      <c r="C164">
        <v>12427272</v>
      </c>
      <c r="D164" s="23">
        <f t="shared" si="5"/>
        <v>8876.6228571428564</v>
      </c>
      <c r="E164" s="51">
        <f t="shared" si="4"/>
        <v>2.0525976869560409E-3</v>
      </c>
      <c r="F164" s="52"/>
    </row>
    <row r="165" spans="1:6" ht="15.75" customHeight="1" x14ac:dyDescent="0.25">
      <c r="A165" t="s">
        <v>616</v>
      </c>
      <c r="B165" t="s">
        <v>615</v>
      </c>
      <c r="C165">
        <v>1101100</v>
      </c>
      <c r="D165" s="23">
        <f t="shared" si="5"/>
        <v>786.5</v>
      </c>
      <c r="E165" s="51">
        <f t="shared" si="4"/>
        <v>1.8186737307329369E-4</v>
      </c>
      <c r="F165" s="52"/>
    </row>
    <row r="166" spans="1:6" ht="15.75" customHeight="1" x14ac:dyDescent="0.25">
      <c r="A166" t="s">
        <v>618</v>
      </c>
      <c r="B166" t="s">
        <v>617</v>
      </c>
      <c r="C166">
        <v>88005397.299999997</v>
      </c>
      <c r="D166" s="23">
        <f t="shared" si="5"/>
        <v>62860.99807142857</v>
      </c>
      <c r="E166" s="51">
        <f t="shared" si="4"/>
        <v>1.4535746456473103E-2</v>
      </c>
      <c r="F166" s="52"/>
    </row>
    <row r="167" spans="1:6" ht="15.75" customHeight="1" x14ac:dyDescent="0.25">
      <c r="A167" t="s">
        <v>620</v>
      </c>
      <c r="B167" t="s">
        <v>619</v>
      </c>
      <c r="C167">
        <v>-173949.94</v>
      </c>
      <c r="D167" s="23">
        <f t="shared" si="5"/>
        <v>-124.24995714285714</v>
      </c>
      <c r="E167" s="51">
        <f t="shared" si="4"/>
        <v>-2.8731104017852196E-5</v>
      </c>
      <c r="F167" s="52"/>
    </row>
    <row r="168" spans="1:6" ht="15.75" customHeight="1" x14ac:dyDescent="0.25">
      <c r="A168" t="s">
        <v>622</v>
      </c>
      <c r="B168" t="s">
        <v>621</v>
      </c>
      <c r="C168">
        <v>9600000</v>
      </c>
      <c r="D168" s="23">
        <f t="shared" si="5"/>
        <v>6857.1428571428569</v>
      </c>
      <c r="E168" s="51">
        <f t="shared" si="4"/>
        <v>1.5856205444588316E-3</v>
      </c>
      <c r="F168" s="52"/>
    </row>
    <row r="169" spans="1:6" ht="15.75" customHeight="1" x14ac:dyDescent="0.25">
      <c r="A169" t="s">
        <v>624</v>
      </c>
      <c r="B169" t="s">
        <v>623</v>
      </c>
      <c r="C169">
        <v>58760</v>
      </c>
      <c r="D169" s="23">
        <f t="shared" si="5"/>
        <v>41.971428571428568</v>
      </c>
      <c r="E169" s="51">
        <f t="shared" si="4"/>
        <v>9.7053190825417636E-6</v>
      </c>
      <c r="F169" s="52"/>
    </row>
    <row r="170" spans="1:6" ht="15.75" customHeight="1" x14ac:dyDescent="0.25">
      <c r="A170" t="s">
        <v>626</v>
      </c>
      <c r="B170" t="s">
        <v>625</v>
      </c>
      <c r="C170">
        <v>0.01</v>
      </c>
      <c r="D170" s="23">
        <f t="shared" si="5"/>
        <v>7.1428571428571427E-6</v>
      </c>
      <c r="E170" s="51">
        <f t="shared" si="4"/>
        <v>1.6516880671446162E-12</v>
      </c>
      <c r="F170" s="52"/>
    </row>
    <row r="171" spans="1:6" ht="15.75" customHeight="1" x14ac:dyDescent="0.25">
      <c r="A171" t="s">
        <v>628</v>
      </c>
      <c r="B171" t="s">
        <v>627</v>
      </c>
      <c r="C171">
        <v>20732946.289999999</v>
      </c>
      <c r="D171" s="23">
        <f t="shared" si="5"/>
        <v>14809.24735</v>
      </c>
      <c r="E171" s="51">
        <f t="shared" si="4"/>
        <v>3.4244359983943242E-3</v>
      </c>
      <c r="F171" s="52"/>
    </row>
    <row r="172" spans="1:6" ht="15.75" customHeight="1" x14ac:dyDescent="0.25">
      <c r="A172" t="s">
        <v>630</v>
      </c>
      <c r="B172" t="s">
        <v>629</v>
      </c>
      <c r="C172">
        <v>105737087.23</v>
      </c>
      <c r="D172" s="23">
        <f t="shared" si="5"/>
        <v>75526.490878571436</v>
      </c>
      <c r="E172" s="51">
        <f t="shared" si="4"/>
        <v>1.746446852324204E-2</v>
      </c>
      <c r="F172" s="52"/>
    </row>
    <row r="173" spans="1:6" ht="15.75" customHeight="1" x14ac:dyDescent="0.25">
      <c r="A173" t="s">
        <v>634</v>
      </c>
      <c r="B173" t="s">
        <v>633</v>
      </c>
      <c r="C173">
        <v>5654619.4900000002</v>
      </c>
      <c r="D173" s="23">
        <f t="shared" si="5"/>
        <v>4039.0139214285714</v>
      </c>
      <c r="E173" s="51">
        <f t="shared" si="4"/>
        <v>9.3396675358763755E-4</v>
      </c>
      <c r="F173" s="52"/>
    </row>
    <row r="174" spans="1:6" ht="15.75" customHeight="1" x14ac:dyDescent="0.25">
      <c r="A174" t="s">
        <v>636</v>
      </c>
      <c r="B174" t="s">
        <v>635</v>
      </c>
      <c r="C174">
        <v>1560000</v>
      </c>
      <c r="D174" s="23">
        <f t="shared" si="5"/>
        <v>1114.2857142857142</v>
      </c>
      <c r="E174" s="51">
        <f t="shared" si="4"/>
        <v>2.5766333847456011E-4</v>
      </c>
      <c r="F174" s="52"/>
    </row>
    <row r="175" spans="1:6" ht="15.75" customHeight="1" x14ac:dyDescent="0.25">
      <c r="A175" t="s">
        <v>640</v>
      </c>
      <c r="B175" t="s">
        <v>639</v>
      </c>
      <c r="C175">
        <v>154138.26999999999</v>
      </c>
      <c r="D175" s="23">
        <f t="shared" si="5"/>
        <v>110.09876428571428</v>
      </c>
      <c r="E175" s="51">
        <f t="shared" si="4"/>
        <v>2.5458834124931499E-5</v>
      </c>
      <c r="F175" s="52"/>
    </row>
    <row r="176" spans="1:6" ht="15.75" customHeight="1" x14ac:dyDescent="0.25">
      <c r="A176" t="s">
        <v>644</v>
      </c>
      <c r="B176" t="s">
        <v>643</v>
      </c>
      <c r="C176">
        <v>13351649.470000001</v>
      </c>
      <c r="D176" s="23">
        <f t="shared" si="5"/>
        <v>9536.8924785714298</v>
      </c>
      <c r="E176" s="51">
        <f t="shared" si="4"/>
        <v>2.2052760106296742E-3</v>
      </c>
      <c r="F176" s="52"/>
    </row>
    <row r="177" spans="1:6" ht="15.75" customHeight="1" x14ac:dyDescent="0.25">
      <c r="A177" t="s">
        <v>646</v>
      </c>
      <c r="B177" t="s">
        <v>645</v>
      </c>
      <c r="C177">
        <v>2259877.2999999998</v>
      </c>
      <c r="D177" s="23">
        <f t="shared" si="5"/>
        <v>1614.1980714285712</v>
      </c>
      <c r="E177" s="51">
        <f t="shared" si="4"/>
        <v>3.7326123696209936E-4</v>
      </c>
      <c r="F177" s="52"/>
    </row>
    <row r="178" spans="1:6" ht="15.75" customHeight="1" x14ac:dyDescent="0.25">
      <c r="A178" t="s">
        <v>648</v>
      </c>
      <c r="B178" t="s">
        <v>647</v>
      </c>
      <c r="C178">
        <v>4530000</v>
      </c>
      <c r="D178" s="23">
        <f t="shared" si="5"/>
        <v>3235.7142857142858</v>
      </c>
      <c r="E178" s="51">
        <f t="shared" si="4"/>
        <v>7.4821469441651114E-4</v>
      </c>
      <c r="F178" s="52"/>
    </row>
    <row r="179" spans="1:6" ht="15.75" customHeight="1" x14ac:dyDescent="0.25">
      <c r="A179" t="s">
        <v>650</v>
      </c>
      <c r="B179" t="s">
        <v>649</v>
      </c>
      <c r="C179">
        <v>22247747.440000001</v>
      </c>
      <c r="D179" s="23">
        <f t="shared" si="5"/>
        <v>15891.248171428573</v>
      </c>
      <c r="E179" s="51">
        <f t="shared" si="4"/>
        <v>3.6746338967495189E-3</v>
      </c>
      <c r="F179" s="52"/>
    </row>
    <row r="180" spans="1:6" ht="15.75" customHeight="1" x14ac:dyDescent="0.25">
      <c r="A180" t="s">
        <v>654</v>
      </c>
      <c r="B180" t="s">
        <v>653</v>
      </c>
      <c r="C180">
        <v>2731347</v>
      </c>
      <c r="D180" s="23">
        <f t="shared" si="5"/>
        <v>1950.9621428571429</v>
      </c>
      <c r="E180" s="51">
        <f t="shared" si="4"/>
        <v>4.5113332471312465E-4</v>
      </c>
      <c r="F180" s="52"/>
    </row>
    <row r="181" spans="1:6" ht="15.75" customHeight="1" x14ac:dyDescent="0.25">
      <c r="A181" t="s">
        <v>656</v>
      </c>
      <c r="B181" t="s">
        <v>655</v>
      </c>
      <c r="C181">
        <v>22330225.289999999</v>
      </c>
      <c r="D181" s="23">
        <f t="shared" si="5"/>
        <v>15950.160921428571</v>
      </c>
      <c r="E181" s="51">
        <f t="shared" si="4"/>
        <v>3.6882566648143928E-3</v>
      </c>
      <c r="F181" s="52"/>
    </row>
    <row r="182" spans="1:6" ht="15.75" customHeight="1" x14ac:dyDescent="0.25">
      <c r="A182" t="s">
        <v>658</v>
      </c>
      <c r="B182" t="s">
        <v>657</v>
      </c>
      <c r="C182">
        <v>15999489.33</v>
      </c>
      <c r="D182" s="23">
        <f t="shared" si="5"/>
        <v>11428.206664285713</v>
      </c>
      <c r="E182" s="51">
        <f t="shared" si="4"/>
        <v>2.6426165606768608E-3</v>
      </c>
      <c r="F182" s="52"/>
    </row>
    <row r="183" spans="1:6" ht="15.75" customHeight="1" x14ac:dyDescent="0.25">
      <c r="A183" t="s">
        <v>660</v>
      </c>
      <c r="B183" t="s">
        <v>659</v>
      </c>
      <c r="C183">
        <v>115017788.70999999</v>
      </c>
      <c r="D183" s="23">
        <f t="shared" si="5"/>
        <v>82155.563364285714</v>
      </c>
      <c r="E183" s="51">
        <f t="shared" si="4"/>
        <v>1.8997350912166776E-2</v>
      </c>
      <c r="F183" s="52"/>
    </row>
    <row r="184" spans="1:6" ht="15.75" customHeight="1" x14ac:dyDescent="0.25">
      <c r="A184" t="s">
        <v>664</v>
      </c>
      <c r="B184" t="s">
        <v>663</v>
      </c>
      <c r="C184">
        <v>-2698.26</v>
      </c>
      <c r="D184" s="23">
        <f t="shared" si="5"/>
        <v>-1.9273285714285715</v>
      </c>
      <c r="E184" s="51">
        <f t="shared" si="4"/>
        <v>-4.4566838440536324E-7</v>
      </c>
      <c r="F184" s="52"/>
    </row>
    <row r="185" spans="1:6" ht="15.75" customHeight="1" x14ac:dyDescent="0.25">
      <c r="A185" t="s">
        <v>666</v>
      </c>
      <c r="B185" t="s">
        <v>665</v>
      </c>
      <c r="C185">
        <v>2000801.4</v>
      </c>
      <c r="D185" s="23">
        <f t="shared" si="5"/>
        <v>1429.1438571428571</v>
      </c>
      <c r="E185" s="51">
        <f t="shared" si="4"/>
        <v>3.3046997971062421E-4</v>
      </c>
      <c r="F185" s="52"/>
    </row>
    <row r="186" spans="1:6" ht="15.75" customHeight="1" x14ac:dyDescent="0.25">
      <c r="A186" t="s">
        <v>670</v>
      </c>
      <c r="B186" t="s">
        <v>669</v>
      </c>
      <c r="C186">
        <v>35563950</v>
      </c>
      <c r="D186" s="23">
        <f t="shared" si="5"/>
        <v>25402.821428571428</v>
      </c>
      <c r="E186" s="51">
        <f t="shared" si="4"/>
        <v>5.8740551835527776E-3</v>
      </c>
      <c r="F186" s="52"/>
    </row>
    <row r="187" spans="1:6" ht="15.75" customHeight="1" x14ac:dyDescent="0.25">
      <c r="A187" t="s">
        <v>873</v>
      </c>
      <c r="B187" t="s">
        <v>872</v>
      </c>
      <c r="C187">
        <v>568116.64</v>
      </c>
      <c r="D187" s="23">
        <f t="shared" si="5"/>
        <v>405.79759999999999</v>
      </c>
      <c r="E187" s="51">
        <f t="shared" si="4"/>
        <v>9.3835147503429378E-5</v>
      </c>
      <c r="F187" s="52"/>
    </row>
    <row r="188" spans="1:6" ht="15.75" customHeight="1" x14ac:dyDescent="0.25">
      <c r="A188" t="s">
        <v>674</v>
      </c>
      <c r="B188" t="s">
        <v>673</v>
      </c>
      <c r="C188">
        <v>10682153.33</v>
      </c>
      <c r="D188" s="23">
        <f t="shared" si="5"/>
        <v>7630.1095214285715</v>
      </c>
      <c r="E188" s="51">
        <f t="shared" si="4"/>
        <v>1.7643585186570127E-3</v>
      </c>
      <c r="F188" s="52"/>
    </row>
    <row r="189" spans="1:6" ht="15.75" customHeight="1" x14ac:dyDescent="0.25">
      <c r="A189" t="s">
        <v>676</v>
      </c>
      <c r="B189" t="s">
        <v>675</v>
      </c>
      <c r="C189">
        <v>2365279.9700000002</v>
      </c>
      <c r="D189" s="23">
        <f t="shared" si="5"/>
        <v>1689.485692857143</v>
      </c>
      <c r="E189" s="51">
        <f t="shared" si="4"/>
        <v>3.9067047019051762E-4</v>
      </c>
      <c r="F189" s="52"/>
    </row>
    <row r="190" spans="1:6" ht="15.75" customHeight="1" x14ac:dyDescent="0.25">
      <c r="A190" t="s">
        <v>678</v>
      </c>
      <c r="B190" t="s">
        <v>677</v>
      </c>
      <c r="C190">
        <v>10783500</v>
      </c>
      <c r="D190" s="23">
        <f t="shared" si="5"/>
        <v>7702.5</v>
      </c>
      <c r="E190" s="51">
        <f t="shared" si="4"/>
        <v>1.781097827205397E-3</v>
      </c>
      <c r="F190" s="52"/>
    </row>
    <row r="191" spans="1:6" ht="15.75" customHeight="1" x14ac:dyDescent="0.25">
      <c r="A191" t="s">
        <v>682</v>
      </c>
      <c r="B191" t="s">
        <v>681</v>
      </c>
      <c r="C191">
        <v>24200000</v>
      </c>
      <c r="D191" s="23">
        <f t="shared" si="5"/>
        <v>17285.714285714286</v>
      </c>
      <c r="E191" s="51">
        <f t="shared" si="4"/>
        <v>3.9970851224899713E-3</v>
      </c>
      <c r="F191" s="52"/>
    </row>
    <row r="192" spans="1:6" ht="15.75" customHeight="1" x14ac:dyDescent="0.25">
      <c r="A192" t="s">
        <v>684</v>
      </c>
      <c r="B192" t="s">
        <v>683</v>
      </c>
      <c r="C192">
        <v>162389526.19999999</v>
      </c>
      <c r="D192" s="23">
        <f t="shared" si="5"/>
        <v>115992.5187142857</v>
      </c>
      <c r="E192" s="51">
        <f t="shared" si="4"/>
        <v>2.6821684265380799E-2</v>
      </c>
      <c r="F192" s="52"/>
    </row>
    <row r="193" spans="1:6" ht="15.75" customHeight="1" x14ac:dyDescent="0.25">
      <c r="A193" t="s">
        <v>686</v>
      </c>
      <c r="B193" t="s">
        <v>685</v>
      </c>
      <c r="C193">
        <v>2169419.98</v>
      </c>
      <c r="D193" s="23">
        <f t="shared" si="5"/>
        <v>1549.5857000000001</v>
      </c>
      <c r="E193" s="51">
        <f t="shared" si="4"/>
        <v>3.5832050935911123E-4</v>
      </c>
      <c r="F193" s="52"/>
    </row>
    <row r="194" spans="1:6" ht="15.75" customHeight="1" x14ac:dyDescent="0.25">
      <c r="A194" t="s">
        <v>688</v>
      </c>
      <c r="B194" t="s">
        <v>687</v>
      </c>
      <c r="C194">
        <v>13151812.220000001</v>
      </c>
      <c r="D194" s="23">
        <f t="shared" si="5"/>
        <v>9394.1515857142858</v>
      </c>
      <c r="E194" s="51">
        <f t="shared" si="4"/>
        <v>2.1722691305100746E-3</v>
      </c>
      <c r="F194" s="52"/>
    </row>
    <row r="195" spans="1:6" ht="15.75" customHeight="1" x14ac:dyDescent="0.25">
      <c r="A195" t="s">
        <v>692</v>
      </c>
      <c r="B195" t="s">
        <v>691</v>
      </c>
      <c r="C195">
        <v>2477263.9</v>
      </c>
      <c r="D195" s="23">
        <f t="shared" si="5"/>
        <v>1769.4742142857142</v>
      </c>
      <c r="E195" s="51">
        <f t="shared" si="4"/>
        <v>4.0916672227981336E-4</v>
      </c>
      <c r="F195" s="52"/>
    </row>
    <row r="196" spans="1:6" ht="15.75" customHeight="1" x14ac:dyDescent="0.25">
      <c r="A196" t="s">
        <v>694</v>
      </c>
      <c r="B196" t="s">
        <v>693</v>
      </c>
      <c r="C196">
        <v>155106.26999999999</v>
      </c>
      <c r="D196" s="23">
        <f t="shared" si="5"/>
        <v>110.79019285714286</v>
      </c>
      <c r="E196" s="51">
        <f t="shared" si="4"/>
        <v>2.5618717529831098E-5</v>
      </c>
      <c r="F196" s="52"/>
    </row>
    <row r="197" spans="1:6" ht="15.75" customHeight="1" x14ac:dyDescent="0.25">
      <c r="A197" t="s">
        <v>698</v>
      </c>
      <c r="B197" t="s">
        <v>697</v>
      </c>
      <c r="C197">
        <v>3168990</v>
      </c>
      <c r="D197" s="23">
        <f t="shared" si="5"/>
        <v>2263.5642857142857</v>
      </c>
      <c r="E197" s="51">
        <f t="shared" ref="E197:E258" si="6">+D197/$D$391</f>
        <v>5.2341829679006171E-4</v>
      </c>
      <c r="F197" s="52"/>
    </row>
    <row r="198" spans="1:6" ht="15.75" customHeight="1" x14ac:dyDescent="0.25">
      <c r="A198" t="s">
        <v>700</v>
      </c>
      <c r="B198" t="s">
        <v>699</v>
      </c>
      <c r="C198">
        <v>24624750</v>
      </c>
      <c r="D198" s="23">
        <f t="shared" ref="D198:D258" si="7">+C198/$D$3</f>
        <v>17589.107142857141</v>
      </c>
      <c r="E198" s="51">
        <f t="shared" si="6"/>
        <v>4.0672405731419382E-3</v>
      </c>
      <c r="F198" s="52"/>
    </row>
    <row r="199" spans="1:6" ht="15.75" customHeight="1" x14ac:dyDescent="0.25">
      <c r="A199" t="s">
        <v>702</v>
      </c>
      <c r="B199" t="s">
        <v>701</v>
      </c>
      <c r="C199">
        <v>2141772.6</v>
      </c>
      <c r="D199" s="23">
        <f t="shared" si="7"/>
        <v>1529.8375714285714</v>
      </c>
      <c r="E199" s="51">
        <f t="shared" si="6"/>
        <v>3.5375402459572993E-4</v>
      </c>
      <c r="F199" s="52"/>
    </row>
    <row r="200" spans="1:6" ht="15.75" customHeight="1" x14ac:dyDescent="0.25">
      <c r="A200" t="s">
        <v>704</v>
      </c>
      <c r="B200" t="s">
        <v>703</v>
      </c>
      <c r="C200">
        <v>1003296</v>
      </c>
      <c r="D200" s="23">
        <f t="shared" si="7"/>
        <v>716.64</v>
      </c>
      <c r="E200" s="51">
        <f t="shared" si="6"/>
        <v>1.6571320310139248E-4</v>
      </c>
      <c r="F200" s="52"/>
    </row>
    <row r="201" spans="1:6" ht="15.75" customHeight="1" x14ac:dyDescent="0.25">
      <c r="A201" t="s">
        <v>706</v>
      </c>
      <c r="B201" t="s">
        <v>705</v>
      </c>
      <c r="C201">
        <v>47472704.399999999</v>
      </c>
      <c r="D201" s="23">
        <f t="shared" si="7"/>
        <v>33909.074571428573</v>
      </c>
      <c r="E201" s="51">
        <f t="shared" si="6"/>
        <v>7.8410099372563727E-3</v>
      </c>
      <c r="F201" s="52"/>
    </row>
    <row r="202" spans="1:6" ht="15.75" customHeight="1" x14ac:dyDescent="0.25">
      <c r="A202" t="s">
        <v>708</v>
      </c>
      <c r="B202" t="s">
        <v>707</v>
      </c>
      <c r="C202">
        <v>4967352.0999999996</v>
      </c>
      <c r="D202" s="23">
        <f t="shared" si="7"/>
        <v>3548.1086428571425</v>
      </c>
      <c r="E202" s="51">
        <f t="shared" si="6"/>
        <v>8.2045161888757501E-4</v>
      </c>
      <c r="F202" s="52"/>
    </row>
    <row r="203" spans="1:6" ht="15.75" customHeight="1" x14ac:dyDescent="0.25">
      <c r="A203" t="s">
        <v>710</v>
      </c>
      <c r="B203" t="s">
        <v>709</v>
      </c>
      <c r="C203">
        <v>31120446.5</v>
      </c>
      <c r="D203" s="23">
        <f t="shared" si="7"/>
        <v>22228.890357142856</v>
      </c>
      <c r="E203" s="51">
        <f t="shared" si="6"/>
        <v>5.140127012826244E-3</v>
      </c>
      <c r="F203" s="52"/>
    </row>
    <row r="204" spans="1:6" ht="15.75" customHeight="1" x14ac:dyDescent="0.25">
      <c r="A204" t="s">
        <v>712</v>
      </c>
      <c r="B204" t="s">
        <v>711</v>
      </c>
      <c r="C204">
        <v>370986</v>
      </c>
      <c r="D204" s="23">
        <f t="shared" si="7"/>
        <v>264.99</v>
      </c>
      <c r="E204" s="51">
        <f t="shared" si="6"/>
        <v>6.1275314927771265E-5</v>
      </c>
      <c r="F204" s="52"/>
    </row>
    <row r="205" spans="1:6" ht="15.75" customHeight="1" x14ac:dyDescent="0.25">
      <c r="A205" t="s">
        <v>875</v>
      </c>
      <c r="B205" t="s">
        <v>874</v>
      </c>
      <c r="C205">
        <v>564136</v>
      </c>
      <c r="D205" s="23">
        <f t="shared" si="7"/>
        <v>402.95428571428573</v>
      </c>
      <c r="E205" s="51">
        <f t="shared" si="6"/>
        <v>9.317766994466953E-5</v>
      </c>
      <c r="F205" s="52"/>
    </row>
    <row r="206" spans="1:6" ht="15.75" customHeight="1" x14ac:dyDescent="0.25">
      <c r="A206" t="s">
        <v>714</v>
      </c>
      <c r="B206" t="s">
        <v>713</v>
      </c>
      <c r="C206">
        <v>13467900.16</v>
      </c>
      <c r="D206" s="23">
        <f t="shared" si="7"/>
        <v>9619.9286857142852</v>
      </c>
      <c r="E206" s="51">
        <f t="shared" si="6"/>
        <v>2.2244769983767068E-3</v>
      </c>
      <c r="F206" s="52"/>
    </row>
    <row r="207" spans="1:6" ht="15.75" customHeight="1" x14ac:dyDescent="0.25">
      <c r="A207" t="s">
        <v>716</v>
      </c>
      <c r="B207" t="s">
        <v>715</v>
      </c>
      <c r="C207">
        <v>3182300</v>
      </c>
      <c r="D207" s="23">
        <f t="shared" si="7"/>
        <v>2273.0714285714284</v>
      </c>
      <c r="E207" s="51">
        <f t="shared" si="6"/>
        <v>5.2561669360743116E-4</v>
      </c>
      <c r="F207" s="52"/>
    </row>
    <row r="208" spans="1:6" ht="15.75" customHeight="1" x14ac:dyDescent="0.25">
      <c r="A208" t="s">
        <v>718</v>
      </c>
      <c r="B208" t="s">
        <v>717</v>
      </c>
      <c r="C208">
        <v>1600132.27</v>
      </c>
      <c r="D208" s="23">
        <f t="shared" si="7"/>
        <v>1142.9516214285713</v>
      </c>
      <c r="E208" s="51">
        <f t="shared" si="6"/>
        <v>2.6429193762120268E-4</v>
      </c>
      <c r="F208" s="52"/>
    </row>
    <row r="209" spans="1:6" ht="15.75" customHeight="1" x14ac:dyDescent="0.25">
      <c r="A209" t="s">
        <v>720</v>
      </c>
      <c r="B209" t="s">
        <v>719</v>
      </c>
      <c r="C209">
        <v>3589214.14</v>
      </c>
      <c r="D209" s="23">
        <f t="shared" si="7"/>
        <v>2563.7243857142857</v>
      </c>
      <c r="E209" s="51">
        <f t="shared" si="6"/>
        <v>5.9282621654647256E-4</v>
      </c>
      <c r="F209" s="52"/>
    </row>
    <row r="210" spans="1:6" ht="15.75" customHeight="1" x14ac:dyDescent="0.25">
      <c r="A210" t="s">
        <v>722</v>
      </c>
      <c r="B210" t="s">
        <v>721</v>
      </c>
      <c r="C210">
        <v>16855300</v>
      </c>
      <c r="D210" s="23">
        <f t="shared" si="7"/>
        <v>12039.5</v>
      </c>
      <c r="E210" s="51">
        <f t="shared" si="6"/>
        <v>2.7839697878142651E-3</v>
      </c>
      <c r="F210" s="52"/>
    </row>
    <row r="211" spans="1:6" ht="15.75" customHeight="1" x14ac:dyDescent="0.25">
      <c r="A211" t="s">
        <v>726</v>
      </c>
      <c r="B211" t="s">
        <v>725</v>
      </c>
      <c r="C211">
        <v>1085200</v>
      </c>
      <c r="D211" s="23">
        <f t="shared" si="7"/>
        <v>775.14285714285711</v>
      </c>
      <c r="E211" s="51">
        <f t="shared" si="6"/>
        <v>1.7924118904653376E-4</v>
      </c>
      <c r="F211" s="52"/>
    </row>
    <row r="212" spans="1:6" ht="15.75" customHeight="1" x14ac:dyDescent="0.25">
      <c r="A212" t="s">
        <v>728</v>
      </c>
      <c r="B212" t="s">
        <v>727</v>
      </c>
      <c r="C212">
        <v>197068.42</v>
      </c>
      <c r="D212" s="23">
        <f t="shared" si="7"/>
        <v>140.76315714285715</v>
      </c>
      <c r="E212" s="51">
        <f t="shared" si="6"/>
        <v>3.2549555772504349E-5</v>
      </c>
      <c r="F212" s="52"/>
    </row>
    <row r="213" spans="1:6" ht="15.75" customHeight="1" x14ac:dyDescent="0.25">
      <c r="A213" t="s">
        <v>730</v>
      </c>
      <c r="B213" t="s">
        <v>729</v>
      </c>
      <c r="C213">
        <v>10652213</v>
      </c>
      <c r="D213" s="23">
        <f t="shared" si="7"/>
        <v>7608.7235714285716</v>
      </c>
      <c r="E213" s="51">
        <f t="shared" si="6"/>
        <v>1.7594133100782754E-3</v>
      </c>
      <c r="F213" s="52"/>
    </row>
    <row r="214" spans="1:6" ht="15.75" customHeight="1" x14ac:dyDescent="0.25">
      <c r="A214" t="s">
        <v>732</v>
      </c>
      <c r="B214" t="s">
        <v>731</v>
      </c>
      <c r="C214">
        <v>360000</v>
      </c>
      <c r="D214" s="23">
        <f t="shared" si="7"/>
        <v>257.14285714285717</v>
      </c>
      <c r="E214" s="51">
        <f t="shared" si="6"/>
        <v>5.946077041720619E-5</v>
      </c>
      <c r="F214" s="52"/>
    </row>
    <row r="215" spans="1:6" ht="15.75" customHeight="1" x14ac:dyDescent="0.25">
      <c r="A215" t="s">
        <v>734</v>
      </c>
      <c r="B215" t="s">
        <v>733</v>
      </c>
      <c r="C215">
        <v>3584279.55</v>
      </c>
      <c r="D215" s="23">
        <f t="shared" si="7"/>
        <v>2560.1996785714286</v>
      </c>
      <c r="E215" s="51">
        <f t="shared" si="6"/>
        <v>5.9201117620454752E-4</v>
      </c>
      <c r="F215" s="52"/>
    </row>
    <row r="216" spans="1:6" ht="15.75" customHeight="1" x14ac:dyDescent="0.25">
      <c r="A216" t="s">
        <v>736</v>
      </c>
      <c r="B216" t="s">
        <v>735</v>
      </c>
      <c r="C216">
        <v>3690312</v>
      </c>
      <c r="D216" s="23">
        <f t="shared" si="7"/>
        <v>2635.937142857143</v>
      </c>
      <c r="E216" s="51">
        <f t="shared" si="6"/>
        <v>6.095244294440584E-4</v>
      </c>
      <c r="F216" s="52"/>
    </row>
    <row r="217" spans="1:6" ht="15.75" customHeight="1" x14ac:dyDescent="0.25">
      <c r="A217" t="s">
        <v>738</v>
      </c>
      <c r="B217" t="s">
        <v>737</v>
      </c>
      <c r="C217">
        <v>34820587.490000002</v>
      </c>
      <c r="D217" s="23">
        <f t="shared" si="7"/>
        <v>24871.848207142859</v>
      </c>
      <c r="E217" s="51">
        <f t="shared" si="6"/>
        <v>5.751274884819811E-3</v>
      </c>
      <c r="F217" s="52"/>
    </row>
    <row r="218" spans="1:6" ht="15.75" customHeight="1" x14ac:dyDescent="0.25">
      <c r="A218" t="s">
        <v>740</v>
      </c>
      <c r="B218" t="s">
        <v>739</v>
      </c>
      <c r="C218">
        <v>1074310</v>
      </c>
      <c r="D218" s="23">
        <f t="shared" si="7"/>
        <v>767.36428571428576</v>
      </c>
      <c r="E218" s="51">
        <f t="shared" si="6"/>
        <v>1.7744250074141327E-4</v>
      </c>
      <c r="F218" s="52"/>
    </row>
    <row r="219" spans="1:6" ht="15.75" customHeight="1" x14ac:dyDescent="0.25">
      <c r="A219" t="s">
        <v>742</v>
      </c>
      <c r="B219" t="s">
        <v>741</v>
      </c>
      <c r="C219">
        <v>14274975</v>
      </c>
      <c r="D219" s="23">
        <f t="shared" si="7"/>
        <v>10196.410714285714</v>
      </c>
      <c r="E219" s="51">
        <f t="shared" si="6"/>
        <v>2.3577805866287719E-3</v>
      </c>
      <c r="F219" s="52"/>
    </row>
    <row r="220" spans="1:6" ht="15.75" customHeight="1" x14ac:dyDescent="0.25">
      <c r="A220" t="s">
        <v>744</v>
      </c>
      <c r="B220" t="s">
        <v>743</v>
      </c>
      <c r="C220">
        <v>1271600</v>
      </c>
      <c r="D220" s="23">
        <f t="shared" si="7"/>
        <v>908.28571428571433</v>
      </c>
      <c r="E220" s="51">
        <f t="shared" si="6"/>
        <v>2.1002865461810941E-4</v>
      </c>
      <c r="F220" s="52"/>
    </row>
    <row r="221" spans="1:6" ht="15.75" customHeight="1" x14ac:dyDescent="0.25">
      <c r="A221" t="s">
        <v>746</v>
      </c>
      <c r="B221" t="s">
        <v>745</v>
      </c>
      <c r="C221">
        <v>925630.69</v>
      </c>
      <c r="D221" s="23">
        <f t="shared" si="7"/>
        <v>661.16477857142854</v>
      </c>
      <c r="E221" s="51">
        <f t="shared" si="6"/>
        <v>1.5288531652558375E-4</v>
      </c>
      <c r="F221" s="52"/>
    </row>
    <row r="222" spans="1:6" ht="15.75" customHeight="1" x14ac:dyDescent="0.25">
      <c r="A222" t="s">
        <v>748</v>
      </c>
      <c r="B222" t="s">
        <v>747</v>
      </c>
      <c r="C222">
        <v>21241550</v>
      </c>
      <c r="D222" s="23">
        <f t="shared" si="7"/>
        <v>15172.535714285714</v>
      </c>
      <c r="E222" s="51">
        <f t="shared" si="6"/>
        <v>3.5084414662655723E-3</v>
      </c>
      <c r="F222" s="52"/>
    </row>
    <row r="223" spans="1:6" ht="15.75" customHeight="1" x14ac:dyDescent="0.25">
      <c r="A223" t="s">
        <v>750</v>
      </c>
      <c r="B223" t="s">
        <v>749</v>
      </c>
      <c r="C223">
        <v>3424010.4</v>
      </c>
      <c r="D223" s="23">
        <f t="shared" si="7"/>
        <v>2445.7217142857144</v>
      </c>
      <c r="E223" s="51">
        <f t="shared" si="6"/>
        <v>5.6553971194590641E-4</v>
      </c>
      <c r="F223" s="52"/>
    </row>
    <row r="224" spans="1:6" ht="15.75" customHeight="1" x14ac:dyDescent="0.25">
      <c r="A224" t="s">
        <v>752</v>
      </c>
      <c r="B224" t="s">
        <v>751</v>
      </c>
      <c r="C224">
        <v>32040000</v>
      </c>
      <c r="D224" s="23">
        <f t="shared" si="7"/>
        <v>22885.714285714286</v>
      </c>
      <c r="E224" s="51">
        <f t="shared" si="6"/>
        <v>5.2920085671313505E-3</v>
      </c>
      <c r="F224" s="52"/>
    </row>
    <row r="225" spans="1:6" ht="15.75" customHeight="1" x14ac:dyDescent="0.25">
      <c r="A225" t="s">
        <v>756</v>
      </c>
      <c r="B225" t="s">
        <v>755</v>
      </c>
      <c r="C225">
        <v>8115779.6100000003</v>
      </c>
      <c r="D225" s="23">
        <f t="shared" si="7"/>
        <v>5796.9854357142858</v>
      </c>
      <c r="E225" s="51">
        <f t="shared" si="6"/>
        <v>1.3404736337412587E-3</v>
      </c>
      <c r="F225" s="52"/>
    </row>
    <row r="226" spans="1:6" ht="15.75" customHeight="1" x14ac:dyDescent="0.25">
      <c r="A226" t="s">
        <v>877</v>
      </c>
      <c r="B226" t="s">
        <v>876</v>
      </c>
      <c r="C226">
        <v>8034400</v>
      </c>
      <c r="D226" s="23">
        <f t="shared" si="7"/>
        <v>5738.8571428571431</v>
      </c>
      <c r="E226" s="51">
        <f t="shared" si="6"/>
        <v>1.3270322606666704E-3</v>
      </c>
      <c r="F226" s="52"/>
    </row>
    <row r="227" spans="1:6" ht="15.75" customHeight="1" x14ac:dyDescent="0.25">
      <c r="A227" t="s">
        <v>758</v>
      </c>
      <c r="B227" t="s">
        <v>757</v>
      </c>
      <c r="C227">
        <v>50891390</v>
      </c>
      <c r="D227" s="23">
        <f t="shared" si="7"/>
        <v>36350.992857142854</v>
      </c>
      <c r="E227" s="51">
        <f t="shared" si="6"/>
        <v>8.4056701583402841E-3</v>
      </c>
      <c r="F227" s="52"/>
    </row>
    <row r="228" spans="1:6" ht="15.75" customHeight="1" x14ac:dyDescent="0.25">
      <c r="A228" t="s">
        <v>760</v>
      </c>
      <c r="B228" t="s">
        <v>759</v>
      </c>
      <c r="C228">
        <v>25876207.34</v>
      </c>
      <c r="D228" s="23">
        <f t="shared" si="7"/>
        <v>18483.005242857143</v>
      </c>
      <c r="E228" s="51">
        <f t="shared" si="6"/>
        <v>4.2739422886437931E-3</v>
      </c>
      <c r="F228" s="52"/>
    </row>
    <row r="229" spans="1:6" ht="15.75" customHeight="1" x14ac:dyDescent="0.25">
      <c r="A229" t="s">
        <v>762</v>
      </c>
      <c r="B229" t="s">
        <v>761</v>
      </c>
      <c r="C229">
        <v>1331</v>
      </c>
      <c r="D229" s="23">
        <f t="shared" si="7"/>
        <v>0.95071428571428573</v>
      </c>
      <c r="E229" s="51">
        <f t="shared" si="6"/>
        <v>2.1983968173694844E-7</v>
      </c>
      <c r="F229" s="52"/>
    </row>
    <row r="230" spans="1:6" ht="15.75" customHeight="1" x14ac:dyDescent="0.25">
      <c r="A230" t="s">
        <v>764</v>
      </c>
      <c r="B230" t="s">
        <v>763</v>
      </c>
      <c r="C230">
        <v>814330</v>
      </c>
      <c r="D230" s="23">
        <f t="shared" si="7"/>
        <v>581.66428571428571</v>
      </c>
      <c r="E230" s="51">
        <f t="shared" si="6"/>
        <v>1.3450191437178755E-4</v>
      </c>
      <c r="F230" s="52"/>
    </row>
    <row r="231" spans="1:6" ht="15.75" customHeight="1" x14ac:dyDescent="0.25">
      <c r="A231" t="s">
        <v>768</v>
      </c>
      <c r="B231" t="s">
        <v>767</v>
      </c>
      <c r="C231">
        <v>1616250.02</v>
      </c>
      <c r="D231" s="23">
        <f t="shared" si="7"/>
        <v>1154.4643000000001</v>
      </c>
      <c r="E231" s="51">
        <f t="shared" si="6"/>
        <v>2.6695408715562475E-4</v>
      </c>
      <c r="F231" s="52"/>
    </row>
    <row r="232" spans="1:6" ht="15.75" customHeight="1" x14ac:dyDescent="0.25">
      <c r="A232" t="s">
        <v>770</v>
      </c>
      <c r="B232" t="s">
        <v>769</v>
      </c>
      <c r="C232">
        <v>2591820</v>
      </c>
      <c r="D232" s="23">
        <f t="shared" si="7"/>
        <v>1851.3</v>
      </c>
      <c r="E232" s="51">
        <f t="shared" si="6"/>
        <v>4.280878166186759E-4</v>
      </c>
      <c r="F232" s="52"/>
    </row>
    <row r="233" spans="1:6" ht="15.75" customHeight="1" x14ac:dyDescent="0.25">
      <c r="A233" t="s">
        <v>774</v>
      </c>
      <c r="B233" t="s">
        <v>773</v>
      </c>
      <c r="C233">
        <v>70836302</v>
      </c>
      <c r="D233" s="23">
        <f t="shared" si="7"/>
        <v>50597.358571428573</v>
      </c>
      <c r="E233" s="51">
        <f t="shared" si="6"/>
        <v>1.1699947473405232E-2</v>
      </c>
      <c r="F233" s="52"/>
    </row>
    <row r="234" spans="1:6" ht="15.75" customHeight="1" x14ac:dyDescent="0.25">
      <c r="A234" t="s">
        <v>776</v>
      </c>
      <c r="B234" t="s">
        <v>775</v>
      </c>
      <c r="C234">
        <v>209215.09</v>
      </c>
      <c r="D234" s="23">
        <f t="shared" si="7"/>
        <v>149.43934999999999</v>
      </c>
      <c r="E234" s="51">
        <f t="shared" si="6"/>
        <v>3.4555806761958688E-5</v>
      </c>
      <c r="F234" s="52"/>
    </row>
    <row r="235" spans="1:6" ht="15.75" customHeight="1" x14ac:dyDescent="0.25">
      <c r="A235" t="s">
        <v>778</v>
      </c>
      <c r="B235" t="s">
        <v>777</v>
      </c>
      <c r="C235">
        <v>226200</v>
      </c>
      <c r="D235" s="23">
        <f t="shared" si="7"/>
        <v>161.57142857142858</v>
      </c>
      <c r="E235" s="51">
        <f t="shared" si="6"/>
        <v>3.7361184078811225E-5</v>
      </c>
      <c r="F235" s="52"/>
    </row>
    <row r="236" spans="1:6" ht="15.75" customHeight="1" x14ac:dyDescent="0.25">
      <c r="A236" t="s">
        <v>879</v>
      </c>
      <c r="B236" t="s">
        <v>878</v>
      </c>
      <c r="C236">
        <v>34850133.149999999</v>
      </c>
      <c r="D236" s="23">
        <f t="shared" si="7"/>
        <v>24892.952249999998</v>
      </c>
      <c r="E236" s="51">
        <f t="shared" si="6"/>
        <v>5.7561549062256009E-3</v>
      </c>
      <c r="F236" s="52"/>
    </row>
    <row r="237" spans="1:6" ht="15.75" customHeight="1" x14ac:dyDescent="0.25">
      <c r="A237" t="s">
        <v>780</v>
      </c>
      <c r="B237" t="s">
        <v>779</v>
      </c>
      <c r="C237">
        <v>25622590</v>
      </c>
      <c r="D237" s="23">
        <f t="shared" si="7"/>
        <v>18301.849999999999</v>
      </c>
      <c r="E237" s="51">
        <f t="shared" si="6"/>
        <v>4.2320526152338969E-3</v>
      </c>
      <c r="F237" s="52"/>
    </row>
    <row r="238" spans="1:6" ht="15.75" customHeight="1" x14ac:dyDescent="0.25">
      <c r="A238" t="s">
        <v>782</v>
      </c>
      <c r="B238" t="s">
        <v>781</v>
      </c>
      <c r="C238">
        <v>2083487.25</v>
      </c>
      <c r="D238" s="23">
        <f t="shared" si="7"/>
        <v>1488.2051785714286</v>
      </c>
      <c r="E238" s="51">
        <f t="shared" si="6"/>
        <v>3.4412710288729521E-4</v>
      </c>
      <c r="F238" s="52"/>
    </row>
    <row r="239" spans="1:6" ht="15.75" customHeight="1" x14ac:dyDescent="0.25">
      <c r="A239" t="s">
        <v>784</v>
      </c>
      <c r="B239" t="s">
        <v>783</v>
      </c>
      <c r="C239">
        <v>240000</v>
      </c>
      <c r="D239" s="23">
        <f t="shared" si="7"/>
        <v>171.42857142857142</v>
      </c>
      <c r="E239" s="51">
        <f t="shared" si="6"/>
        <v>3.9640513611470784E-5</v>
      </c>
      <c r="F239" s="52"/>
    </row>
    <row r="240" spans="1:6" ht="15.75" customHeight="1" x14ac:dyDescent="0.25">
      <c r="A240" t="s">
        <v>786</v>
      </c>
      <c r="B240" t="s">
        <v>785</v>
      </c>
      <c r="C240">
        <v>2014949.39</v>
      </c>
      <c r="D240" s="23">
        <f t="shared" si="7"/>
        <v>1439.2495642857143</v>
      </c>
      <c r="E240" s="51">
        <f t="shared" si="6"/>
        <v>3.3280678633633236E-4</v>
      </c>
      <c r="F240" s="52"/>
    </row>
    <row r="241" spans="1:6" ht="15.75" customHeight="1" x14ac:dyDescent="0.25">
      <c r="A241" t="s">
        <v>790</v>
      </c>
      <c r="B241" t="s">
        <v>789</v>
      </c>
      <c r="C241">
        <v>-0.01</v>
      </c>
      <c r="D241" s="23">
        <f t="shared" si="7"/>
        <v>-7.1428571428571427E-6</v>
      </c>
      <c r="E241" s="51">
        <f t="shared" si="6"/>
        <v>-1.6516880671446162E-12</v>
      </c>
      <c r="F241" s="52"/>
    </row>
    <row r="242" spans="1:6" ht="15.75" customHeight="1" x14ac:dyDescent="0.25">
      <c r="A242" t="s">
        <v>792</v>
      </c>
      <c r="B242" t="s">
        <v>791</v>
      </c>
      <c r="C242">
        <v>911493</v>
      </c>
      <c r="D242" s="23">
        <f t="shared" si="7"/>
        <v>651.06642857142856</v>
      </c>
      <c r="E242" s="51">
        <f t="shared" si="6"/>
        <v>1.5055021113858478E-4</v>
      </c>
      <c r="F242" s="52"/>
    </row>
    <row r="243" spans="1:6" ht="15.75" customHeight="1" x14ac:dyDescent="0.25">
      <c r="A243" t="s">
        <v>794</v>
      </c>
      <c r="B243" t="s">
        <v>793</v>
      </c>
      <c r="C243">
        <v>9389600</v>
      </c>
      <c r="D243" s="23">
        <f t="shared" si="7"/>
        <v>6706.8571428571431</v>
      </c>
      <c r="E243" s="51">
        <f t="shared" si="6"/>
        <v>1.5508690275261089E-3</v>
      </c>
      <c r="F243" s="52"/>
    </row>
    <row r="244" spans="1:6" ht="15.75" customHeight="1" x14ac:dyDescent="0.25">
      <c r="A244" t="s">
        <v>796</v>
      </c>
      <c r="B244" t="s">
        <v>795</v>
      </c>
      <c r="C244">
        <v>12821563.85</v>
      </c>
      <c r="D244" s="23">
        <f t="shared" si="7"/>
        <v>9158.2598928571424</v>
      </c>
      <c r="E244" s="51">
        <f t="shared" si="6"/>
        <v>2.1177224013177783E-3</v>
      </c>
      <c r="F244" s="52"/>
    </row>
    <row r="245" spans="1:6" ht="15.75" customHeight="1" x14ac:dyDescent="0.25">
      <c r="A245" t="s">
        <v>881</v>
      </c>
      <c r="B245" t="s">
        <v>880</v>
      </c>
      <c r="C245">
        <v>3824713.2</v>
      </c>
      <c r="D245" s="23">
        <f t="shared" si="7"/>
        <v>2731.9380000000001</v>
      </c>
      <c r="E245" s="51">
        <f t="shared" si="6"/>
        <v>6.3172331526905007E-4</v>
      </c>
      <c r="F245" s="52"/>
    </row>
    <row r="246" spans="1:6" ht="15.75" customHeight="1" x14ac:dyDescent="0.25">
      <c r="A246" t="s">
        <v>798</v>
      </c>
      <c r="B246" t="s">
        <v>797</v>
      </c>
      <c r="C246">
        <v>-358732.55</v>
      </c>
      <c r="D246" s="23">
        <f t="shared" si="7"/>
        <v>-256.23753571428568</v>
      </c>
      <c r="E246" s="51">
        <f t="shared" si="6"/>
        <v>-5.9251427213135933E-5</v>
      </c>
      <c r="F246" s="52"/>
    </row>
    <row r="247" spans="1:6" ht="15.75" customHeight="1" x14ac:dyDescent="0.25">
      <c r="A247" t="s">
        <v>800</v>
      </c>
      <c r="B247" t="s">
        <v>799</v>
      </c>
      <c r="C247">
        <v>580000</v>
      </c>
      <c r="D247" s="23">
        <f t="shared" si="7"/>
        <v>414.28571428571428</v>
      </c>
      <c r="E247" s="51">
        <f t="shared" si="6"/>
        <v>9.5797907894387739E-5</v>
      </c>
      <c r="F247" s="52"/>
    </row>
    <row r="248" spans="1:6" ht="15.75" customHeight="1" x14ac:dyDescent="0.25">
      <c r="A248" t="s">
        <v>883</v>
      </c>
      <c r="B248" t="s">
        <v>882</v>
      </c>
      <c r="C248">
        <v>2840000</v>
      </c>
      <c r="D248" s="23">
        <f t="shared" si="7"/>
        <v>2028.5714285714287</v>
      </c>
      <c r="E248" s="51">
        <f t="shared" si="6"/>
        <v>4.6907941106907105E-4</v>
      </c>
      <c r="F248" s="52"/>
    </row>
    <row r="249" spans="1:6" ht="15.75" customHeight="1" x14ac:dyDescent="0.25">
      <c r="A249" t="s">
        <v>802</v>
      </c>
      <c r="B249" t="s">
        <v>801</v>
      </c>
      <c r="C249">
        <v>1062513.1000000001</v>
      </c>
      <c r="D249" s="23">
        <f t="shared" si="7"/>
        <v>758.93792857142864</v>
      </c>
      <c r="E249" s="51">
        <f t="shared" si="6"/>
        <v>1.7549402084548346E-4</v>
      </c>
      <c r="F249" s="52"/>
    </row>
    <row r="250" spans="1:6" ht="15.75" customHeight="1" x14ac:dyDescent="0.25">
      <c r="A250" t="s">
        <v>806</v>
      </c>
      <c r="B250" t="s">
        <v>805</v>
      </c>
      <c r="C250">
        <v>93996825.709999993</v>
      </c>
      <c r="D250" s="23">
        <f t="shared" si="7"/>
        <v>67140.589792857136</v>
      </c>
      <c r="E250" s="51">
        <f t="shared" si="6"/>
        <v>1.5525343537467925E-2</v>
      </c>
      <c r="F250" s="52"/>
    </row>
    <row r="251" spans="1:6" ht="15.75" customHeight="1" x14ac:dyDescent="0.25">
      <c r="A251" t="s">
        <v>810</v>
      </c>
      <c r="B251" t="s">
        <v>809</v>
      </c>
      <c r="C251">
        <v>787623.42</v>
      </c>
      <c r="D251" s="23">
        <f t="shared" si="7"/>
        <v>562.5881571428572</v>
      </c>
      <c r="E251" s="51">
        <f t="shared" si="6"/>
        <v>1.3009082042176324E-4</v>
      </c>
      <c r="F251" s="52"/>
    </row>
    <row r="252" spans="1:6" ht="15.75" customHeight="1" x14ac:dyDescent="0.25">
      <c r="A252" t="s">
        <v>812</v>
      </c>
      <c r="B252" t="s">
        <v>811</v>
      </c>
      <c r="C252">
        <v>32201193.199999999</v>
      </c>
      <c r="D252" s="23">
        <f t="shared" si="7"/>
        <v>23000.852285714285</v>
      </c>
      <c r="E252" s="51">
        <f t="shared" si="6"/>
        <v>5.318632655625836E-3</v>
      </c>
      <c r="F252" s="52"/>
    </row>
    <row r="253" spans="1:6" ht="15.75" customHeight="1" x14ac:dyDescent="0.25">
      <c r="A253" t="s">
        <v>816</v>
      </c>
      <c r="B253" t="s">
        <v>815</v>
      </c>
      <c r="C253">
        <v>37051691.990000002</v>
      </c>
      <c r="D253" s="23">
        <f t="shared" si="7"/>
        <v>26465.49427857143</v>
      </c>
      <c r="E253" s="51">
        <f t="shared" si="6"/>
        <v>6.1197837527400762E-3</v>
      </c>
      <c r="F253" s="52"/>
    </row>
    <row r="254" spans="1:6" ht="15.75" customHeight="1" x14ac:dyDescent="0.25">
      <c r="A254" t="s">
        <v>820</v>
      </c>
      <c r="B254" t="s">
        <v>819</v>
      </c>
      <c r="C254">
        <v>47340797.710000001</v>
      </c>
      <c r="D254" s="23">
        <f t="shared" si="7"/>
        <v>33814.855507142856</v>
      </c>
      <c r="E254" s="51">
        <f t="shared" si="6"/>
        <v>7.8192230666714168E-3</v>
      </c>
      <c r="F254" s="52"/>
    </row>
    <row r="255" spans="1:6" ht="15.75" customHeight="1" x14ac:dyDescent="0.25">
      <c r="A255" t="s">
        <v>885</v>
      </c>
      <c r="B255" t="s">
        <v>884</v>
      </c>
      <c r="C255">
        <v>19641398.210000001</v>
      </c>
      <c r="D255" s="23">
        <f t="shared" si="7"/>
        <v>14029.570150000001</v>
      </c>
      <c r="E255" s="51">
        <f t="shared" si="6"/>
        <v>3.2441463045492628E-3</v>
      </c>
      <c r="F255" s="52"/>
    </row>
    <row r="256" spans="1:6" ht="15.75" customHeight="1" x14ac:dyDescent="0.25">
      <c r="A256" t="s">
        <v>822</v>
      </c>
      <c r="B256" t="s">
        <v>821</v>
      </c>
      <c r="C256">
        <v>8658683.5299999993</v>
      </c>
      <c r="D256" s="23">
        <f t="shared" si="7"/>
        <v>6184.7739499999998</v>
      </c>
      <c r="E256" s="51">
        <f t="shared" si="6"/>
        <v>1.4301444263682623E-3</v>
      </c>
      <c r="F256" s="52"/>
    </row>
    <row r="257" spans="1:6" ht="15.75" customHeight="1" x14ac:dyDescent="0.25">
      <c r="A257" t="s">
        <v>824</v>
      </c>
      <c r="B257" t="s">
        <v>823</v>
      </c>
      <c r="C257">
        <v>1485120</v>
      </c>
      <c r="D257" s="23">
        <f t="shared" si="7"/>
        <v>1060.8</v>
      </c>
      <c r="E257" s="51">
        <f t="shared" si="6"/>
        <v>2.4529549822778122E-4</v>
      </c>
      <c r="F257" s="52"/>
    </row>
    <row r="258" spans="1:6" ht="15.75" customHeight="1" x14ac:dyDescent="0.25">
      <c r="A258" t="s">
        <v>826</v>
      </c>
      <c r="B258" t="s">
        <v>825</v>
      </c>
      <c r="C258">
        <v>1493393191.04</v>
      </c>
      <c r="D258" s="23">
        <f t="shared" si="7"/>
        <v>1066709.4221714286</v>
      </c>
      <c r="E258" s="51">
        <f t="shared" si="6"/>
        <v>0.24666197131957882</v>
      </c>
      <c r="F258" s="52"/>
    </row>
    <row r="259" spans="1:6" ht="15.75" customHeight="1" x14ac:dyDescent="0.25">
      <c r="A259" s="50"/>
      <c r="B259" s="39"/>
      <c r="C259" s="14"/>
      <c r="D259" s="23"/>
      <c r="E259" s="51"/>
      <c r="F259" s="52"/>
    </row>
    <row r="260" spans="1:6" ht="15.75" customHeight="1" x14ac:dyDescent="0.25">
      <c r="A260" s="50"/>
      <c r="B260" s="39"/>
      <c r="C260" s="14"/>
      <c r="D260" s="23"/>
      <c r="E260" s="51"/>
      <c r="F260" s="52"/>
    </row>
    <row r="261" spans="1:6" ht="15.75" customHeight="1" x14ac:dyDescent="0.25">
      <c r="A261" s="50"/>
      <c r="B261" s="39"/>
      <c r="C261" s="14"/>
      <c r="D261" s="23"/>
      <c r="E261" s="51"/>
      <c r="F261" s="52"/>
    </row>
    <row r="262" spans="1:6" ht="15.75" customHeight="1" x14ac:dyDescent="0.25">
      <c r="A262" s="50"/>
      <c r="B262" s="39"/>
      <c r="C262" s="14"/>
      <c r="D262" s="23"/>
      <c r="E262" s="51"/>
      <c r="F262" s="52"/>
    </row>
    <row r="263" spans="1:6" ht="15.75" customHeight="1" x14ac:dyDescent="0.25">
      <c r="A263" s="50"/>
      <c r="B263" s="39"/>
      <c r="C263" s="14"/>
      <c r="D263" s="23"/>
      <c r="E263" s="51"/>
      <c r="F263" s="52"/>
    </row>
    <row r="264" spans="1:6" ht="15.75" customHeight="1" x14ac:dyDescent="0.25">
      <c r="A264" s="50"/>
      <c r="B264" s="39"/>
      <c r="C264" s="14"/>
      <c r="D264" s="23"/>
      <c r="E264" s="51"/>
      <c r="F264" s="52"/>
    </row>
    <row r="265" spans="1:6" ht="15.75" customHeight="1" x14ac:dyDescent="0.25">
      <c r="A265" s="50"/>
      <c r="B265" s="39"/>
      <c r="C265" s="14"/>
      <c r="D265" s="23"/>
      <c r="E265" s="51"/>
      <c r="F265" s="52"/>
    </row>
    <row r="266" spans="1:6" ht="15.75" customHeight="1" x14ac:dyDescent="0.25">
      <c r="A266" s="50"/>
      <c r="B266" s="39"/>
      <c r="C266" s="14"/>
      <c r="D266" s="23"/>
      <c r="E266" s="51"/>
      <c r="F266" s="52"/>
    </row>
    <row r="267" spans="1:6" ht="15.75" customHeight="1" x14ac:dyDescent="0.25">
      <c r="A267" s="50"/>
      <c r="B267" s="39"/>
      <c r="C267" s="14"/>
      <c r="D267" s="23"/>
      <c r="E267" s="51"/>
      <c r="F267" s="52"/>
    </row>
    <row r="268" spans="1:6" ht="15.75" customHeight="1" x14ac:dyDescent="0.25">
      <c r="A268" s="50"/>
      <c r="B268" s="39"/>
      <c r="C268" s="14"/>
      <c r="D268" s="23"/>
      <c r="E268" s="51"/>
      <c r="F268" s="52"/>
    </row>
    <row r="269" spans="1:6" ht="15.75" customHeight="1" x14ac:dyDescent="0.25">
      <c r="A269" s="50"/>
      <c r="B269" s="39"/>
      <c r="C269" s="14"/>
      <c r="D269" s="23"/>
      <c r="E269" s="51"/>
      <c r="F269" s="52"/>
    </row>
    <row r="270" spans="1:6" ht="15.75" customHeight="1" x14ac:dyDescent="0.25">
      <c r="A270" s="50"/>
      <c r="B270" s="39"/>
      <c r="C270" s="14"/>
      <c r="D270" s="23"/>
      <c r="E270" s="51"/>
      <c r="F270" s="52"/>
    </row>
    <row r="271" spans="1:6" ht="15.75" customHeight="1" x14ac:dyDescent="0.25">
      <c r="A271" s="50"/>
      <c r="B271" s="39"/>
      <c r="C271" s="14"/>
      <c r="D271" s="23"/>
      <c r="E271" s="51"/>
      <c r="F271" s="52"/>
    </row>
    <row r="272" spans="1:6" ht="15.75" customHeight="1" x14ac:dyDescent="0.25">
      <c r="A272" s="50"/>
      <c r="B272" s="39"/>
      <c r="C272" s="14"/>
      <c r="D272" s="23"/>
      <c r="E272" s="51"/>
      <c r="F272" s="52"/>
    </row>
    <row r="273" spans="1:6" ht="15.75" customHeight="1" x14ac:dyDescent="0.25">
      <c r="A273" s="50"/>
      <c r="B273" s="39"/>
      <c r="C273" s="14"/>
      <c r="D273" s="23"/>
      <c r="E273" s="51"/>
      <c r="F273" s="52"/>
    </row>
    <row r="274" spans="1:6" ht="15.75" customHeight="1" x14ac:dyDescent="0.25">
      <c r="A274" s="50"/>
      <c r="B274" s="39"/>
      <c r="C274" s="14"/>
      <c r="D274" s="23"/>
      <c r="E274" s="51"/>
      <c r="F274" s="52"/>
    </row>
    <row r="275" spans="1:6" ht="15.75" customHeight="1" x14ac:dyDescent="0.25">
      <c r="A275" s="50"/>
      <c r="B275" s="39"/>
      <c r="C275" s="14"/>
      <c r="D275" s="23"/>
      <c r="E275" s="51"/>
      <c r="F275" s="52"/>
    </row>
    <row r="276" spans="1:6" ht="15.75" customHeight="1" x14ac:dyDescent="0.25">
      <c r="A276" s="50"/>
      <c r="B276" s="39"/>
      <c r="C276" s="14"/>
      <c r="D276" s="23"/>
      <c r="E276" s="51"/>
      <c r="F276" s="52"/>
    </row>
    <row r="277" spans="1:6" ht="15.75" customHeight="1" x14ac:dyDescent="0.25">
      <c r="A277" s="50"/>
      <c r="B277" s="39"/>
      <c r="C277" s="14"/>
      <c r="D277" s="23"/>
      <c r="E277" s="51"/>
      <c r="F277" s="52"/>
    </row>
    <row r="278" spans="1:6" ht="15.75" customHeight="1" x14ac:dyDescent="0.25">
      <c r="A278" s="50"/>
      <c r="B278" s="39"/>
      <c r="C278" s="14"/>
      <c r="D278" s="23"/>
      <c r="E278" s="51"/>
      <c r="F278" s="52"/>
    </row>
    <row r="279" spans="1:6" ht="15.75" customHeight="1" x14ac:dyDescent="0.25">
      <c r="A279" s="50"/>
      <c r="B279" s="39"/>
      <c r="C279" s="14"/>
      <c r="D279" s="23"/>
      <c r="E279" s="51"/>
      <c r="F279" s="52"/>
    </row>
    <row r="280" spans="1:6" ht="15.75" customHeight="1" x14ac:dyDescent="0.25">
      <c r="A280" s="50"/>
      <c r="B280" s="39"/>
      <c r="C280" s="14"/>
      <c r="D280" s="23"/>
      <c r="E280" s="51"/>
      <c r="F280" s="52"/>
    </row>
    <row r="281" spans="1:6" ht="15.75" customHeight="1" x14ac:dyDescent="0.25">
      <c r="A281" s="50"/>
      <c r="B281" s="39"/>
      <c r="C281" s="14"/>
      <c r="D281" s="23"/>
      <c r="E281" s="51"/>
      <c r="F281" s="52"/>
    </row>
    <row r="282" spans="1:6" ht="15.75" customHeight="1" x14ac:dyDescent="0.25">
      <c r="A282" s="50"/>
      <c r="B282" s="39"/>
      <c r="C282" s="14"/>
      <c r="D282" s="23"/>
      <c r="E282" s="51"/>
      <c r="F282" s="52"/>
    </row>
    <row r="283" spans="1:6" ht="15.75" customHeight="1" x14ac:dyDescent="0.25">
      <c r="A283" s="50"/>
      <c r="B283" s="39"/>
      <c r="C283" s="14"/>
      <c r="D283" s="23"/>
      <c r="E283" s="51"/>
      <c r="F283" s="52"/>
    </row>
    <row r="284" spans="1:6" ht="15.75" customHeight="1" x14ac:dyDescent="0.25">
      <c r="A284" s="50"/>
      <c r="B284" s="39"/>
      <c r="C284" s="14"/>
      <c r="D284" s="23"/>
      <c r="E284" s="51"/>
      <c r="F284" s="52"/>
    </row>
    <row r="285" spans="1:6" ht="15.75" customHeight="1" x14ac:dyDescent="0.25">
      <c r="A285" s="50"/>
      <c r="B285" s="39"/>
      <c r="C285" s="14"/>
      <c r="D285" s="23"/>
      <c r="E285" s="51"/>
      <c r="F285" s="52"/>
    </row>
    <row r="286" spans="1:6" ht="15.75" customHeight="1" x14ac:dyDescent="0.25">
      <c r="A286" s="50"/>
      <c r="B286" s="39"/>
      <c r="C286" s="14"/>
      <c r="D286" s="23"/>
      <c r="E286" s="51"/>
      <c r="F286" s="52"/>
    </row>
    <row r="287" spans="1:6" ht="15.75" customHeight="1" x14ac:dyDescent="0.25">
      <c r="A287" s="50"/>
      <c r="B287" s="39"/>
      <c r="C287" s="14"/>
      <c r="D287" s="23"/>
      <c r="E287" s="51"/>
      <c r="F287" s="52"/>
    </row>
    <row r="288" spans="1:6" ht="15.75" customHeight="1" x14ac:dyDescent="0.25">
      <c r="A288" s="50"/>
      <c r="B288" s="39"/>
      <c r="C288" s="14"/>
      <c r="D288" s="23"/>
      <c r="E288" s="51"/>
      <c r="F288" s="52"/>
    </row>
    <row r="289" spans="1:6" ht="15.75" customHeight="1" x14ac:dyDescent="0.25">
      <c r="A289" s="50"/>
      <c r="B289" s="39"/>
      <c r="C289" s="14"/>
      <c r="D289" s="23"/>
      <c r="E289" s="51"/>
      <c r="F289" s="52"/>
    </row>
    <row r="290" spans="1:6" ht="15.75" customHeight="1" x14ac:dyDescent="0.25">
      <c r="A290" s="50"/>
      <c r="B290" s="39"/>
      <c r="C290" s="14"/>
      <c r="D290" s="23"/>
      <c r="E290" s="51"/>
      <c r="F290" s="52"/>
    </row>
    <row r="291" spans="1:6" ht="15.75" customHeight="1" x14ac:dyDescent="0.25">
      <c r="A291" s="50"/>
      <c r="B291" s="39"/>
      <c r="C291" s="14"/>
      <c r="D291" s="23"/>
      <c r="E291" s="51"/>
      <c r="F291" s="52"/>
    </row>
    <row r="292" spans="1:6" ht="15.75" customHeight="1" x14ac:dyDescent="0.25">
      <c r="A292" s="50"/>
      <c r="B292" s="39"/>
      <c r="C292" s="14"/>
      <c r="D292" s="23"/>
      <c r="E292" s="51"/>
      <c r="F292" s="52"/>
    </row>
    <row r="293" spans="1:6" ht="15.75" customHeight="1" x14ac:dyDescent="0.25">
      <c r="A293" s="50"/>
      <c r="B293" s="39"/>
      <c r="C293" s="14"/>
      <c r="D293" s="23"/>
      <c r="E293" s="51"/>
      <c r="F293" s="52"/>
    </row>
    <row r="294" spans="1:6" ht="15.75" customHeight="1" x14ac:dyDescent="0.25">
      <c r="A294" s="50"/>
      <c r="B294" s="39"/>
      <c r="C294" s="14"/>
      <c r="D294" s="23"/>
      <c r="E294" s="51"/>
      <c r="F294" s="52"/>
    </row>
    <row r="295" spans="1:6" ht="15.75" customHeight="1" x14ac:dyDescent="0.25">
      <c r="A295" s="50"/>
      <c r="B295" s="39"/>
      <c r="C295" s="14"/>
      <c r="D295" s="23"/>
      <c r="E295" s="51"/>
      <c r="F295" s="52"/>
    </row>
    <row r="296" spans="1:6" ht="15.75" customHeight="1" x14ac:dyDescent="0.25">
      <c r="A296" s="50"/>
      <c r="B296" s="39"/>
      <c r="C296" s="14"/>
      <c r="D296" s="23"/>
      <c r="E296" s="51"/>
      <c r="F296" s="52"/>
    </row>
    <row r="297" spans="1:6" ht="15.75" customHeight="1" x14ac:dyDescent="0.25">
      <c r="A297" s="50"/>
      <c r="B297" s="39"/>
      <c r="C297" s="14"/>
      <c r="D297" s="23"/>
      <c r="E297" s="51"/>
      <c r="F297" s="52"/>
    </row>
    <row r="298" spans="1:6" ht="15.75" customHeight="1" x14ac:dyDescent="0.25">
      <c r="A298" s="50"/>
      <c r="B298" s="39"/>
      <c r="C298" s="14"/>
      <c r="D298" s="23"/>
      <c r="E298" s="51"/>
      <c r="F298" s="52"/>
    </row>
    <row r="299" spans="1:6" ht="15.75" customHeight="1" x14ac:dyDescent="0.25">
      <c r="A299" s="50"/>
      <c r="B299" s="39"/>
      <c r="C299" s="14"/>
      <c r="D299" s="23"/>
      <c r="E299" s="51"/>
      <c r="F299" s="52"/>
    </row>
    <row r="300" spans="1:6" ht="15.75" customHeight="1" x14ac:dyDescent="0.25">
      <c r="A300" s="50"/>
      <c r="B300" s="39"/>
      <c r="C300" s="14"/>
      <c r="D300" s="23"/>
      <c r="E300" s="51"/>
      <c r="F300" s="52"/>
    </row>
    <row r="301" spans="1:6" ht="15.75" customHeight="1" x14ac:dyDescent="0.25">
      <c r="A301" s="50"/>
      <c r="B301" s="39"/>
      <c r="C301" s="14"/>
      <c r="D301" s="23"/>
      <c r="E301" s="51"/>
      <c r="F301" s="52"/>
    </row>
    <row r="302" spans="1:6" ht="15.75" customHeight="1" x14ac:dyDescent="0.25">
      <c r="A302" s="50"/>
      <c r="B302" s="39"/>
      <c r="C302" s="14"/>
      <c r="D302" s="23"/>
      <c r="E302" s="51"/>
      <c r="F302" s="52"/>
    </row>
    <row r="303" spans="1:6" ht="15.75" customHeight="1" x14ac:dyDescent="0.25">
      <c r="A303" s="50"/>
      <c r="B303" s="39"/>
      <c r="C303" s="14"/>
      <c r="D303" s="23"/>
      <c r="E303" s="51"/>
      <c r="F303" s="52"/>
    </row>
    <row r="304" spans="1:6" ht="15.75" customHeight="1" x14ac:dyDescent="0.25">
      <c r="A304" s="50"/>
      <c r="B304" s="39"/>
      <c r="C304" s="14"/>
      <c r="D304" s="23"/>
      <c r="E304" s="51"/>
      <c r="F304" s="52"/>
    </row>
    <row r="305" spans="1:6" ht="15.75" customHeight="1" x14ac:dyDescent="0.25">
      <c r="A305" s="50"/>
      <c r="B305" s="39"/>
      <c r="C305" s="14"/>
      <c r="D305" s="23"/>
      <c r="E305" s="51"/>
      <c r="F305" s="52"/>
    </row>
    <row r="306" spans="1:6" ht="15.75" customHeight="1" x14ac:dyDescent="0.25">
      <c r="A306" s="50"/>
      <c r="B306" s="39"/>
      <c r="C306" s="14"/>
      <c r="D306" s="23"/>
      <c r="E306" s="51"/>
      <c r="F306" s="52"/>
    </row>
    <row r="307" spans="1:6" ht="15.75" customHeight="1" x14ac:dyDescent="0.25">
      <c r="A307" s="50"/>
      <c r="B307" s="39"/>
      <c r="C307" s="14"/>
      <c r="D307" s="23"/>
      <c r="E307" s="51"/>
      <c r="F307" s="52"/>
    </row>
    <row r="308" spans="1:6" ht="15.75" customHeight="1" x14ac:dyDescent="0.25">
      <c r="A308" s="50"/>
      <c r="B308" s="39"/>
      <c r="C308" s="14"/>
      <c r="D308" s="23"/>
      <c r="E308" s="51"/>
      <c r="F308" s="52"/>
    </row>
    <row r="309" spans="1:6" ht="15.75" customHeight="1" x14ac:dyDescent="0.25">
      <c r="A309" s="50"/>
      <c r="B309" s="39"/>
      <c r="C309" s="14"/>
      <c r="D309" s="23"/>
      <c r="E309" s="51"/>
      <c r="F309" s="52"/>
    </row>
    <row r="310" spans="1:6" ht="15.75" customHeight="1" x14ac:dyDescent="0.25">
      <c r="A310" s="50"/>
      <c r="B310" s="39"/>
      <c r="C310" s="14"/>
      <c r="D310" s="23"/>
      <c r="E310" s="51"/>
      <c r="F310" s="52"/>
    </row>
    <row r="311" spans="1:6" ht="15.75" customHeight="1" x14ac:dyDescent="0.25">
      <c r="A311" s="50"/>
      <c r="B311" s="39"/>
      <c r="C311" s="14"/>
      <c r="D311" s="23"/>
      <c r="E311" s="51"/>
      <c r="F311" s="52"/>
    </row>
    <row r="312" spans="1:6" ht="15.75" customHeight="1" x14ac:dyDescent="0.25">
      <c r="A312" s="50"/>
      <c r="B312" s="39"/>
      <c r="C312" s="14"/>
      <c r="D312" s="23"/>
      <c r="E312" s="51"/>
      <c r="F312" s="52"/>
    </row>
    <row r="313" spans="1:6" ht="15.75" customHeight="1" x14ac:dyDescent="0.25">
      <c r="A313" s="50"/>
      <c r="B313" s="39"/>
      <c r="C313" s="14"/>
      <c r="D313" s="23"/>
      <c r="E313" s="51"/>
      <c r="F313" s="52"/>
    </row>
    <row r="314" spans="1:6" ht="15.75" customHeight="1" x14ac:dyDescent="0.25">
      <c r="A314" s="50"/>
      <c r="B314" s="39"/>
      <c r="C314" s="14"/>
      <c r="D314" s="23"/>
      <c r="E314" s="51"/>
      <c r="F314" s="52"/>
    </row>
    <row r="315" spans="1:6" ht="15.75" customHeight="1" x14ac:dyDescent="0.25">
      <c r="A315" s="50"/>
      <c r="B315" s="39"/>
      <c r="C315" s="14"/>
      <c r="D315" s="23"/>
      <c r="E315" s="51"/>
      <c r="F315" s="52"/>
    </row>
    <row r="316" spans="1:6" ht="15.75" customHeight="1" x14ac:dyDescent="0.25">
      <c r="A316" s="50"/>
      <c r="B316" s="39"/>
      <c r="C316" s="14"/>
      <c r="D316" s="23"/>
      <c r="E316" s="51"/>
      <c r="F316" s="52"/>
    </row>
    <row r="317" spans="1:6" ht="15.75" customHeight="1" x14ac:dyDescent="0.25">
      <c r="A317" s="50"/>
      <c r="B317" s="39"/>
      <c r="C317" s="14"/>
      <c r="D317" s="23"/>
      <c r="E317" s="51"/>
      <c r="F317" s="52"/>
    </row>
    <row r="318" spans="1:6" ht="15.75" customHeight="1" x14ac:dyDescent="0.25">
      <c r="A318" s="50"/>
      <c r="B318" s="39"/>
      <c r="C318" s="14"/>
      <c r="D318" s="23"/>
      <c r="E318" s="51"/>
      <c r="F318" s="52"/>
    </row>
    <row r="319" spans="1:6" ht="15.75" customHeight="1" x14ac:dyDescent="0.25">
      <c r="A319" s="50"/>
      <c r="B319" s="39"/>
      <c r="C319" s="14"/>
      <c r="D319" s="23"/>
      <c r="E319" s="51"/>
      <c r="F319" s="52"/>
    </row>
    <row r="320" spans="1:6" ht="15.75" customHeight="1" x14ac:dyDescent="0.25">
      <c r="A320" s="50"/>
      <c r="B320" s="39"/>
      <c r="C320" s="14"/>
      <c r="D320" s="23"/>
      <c r="E320" s="51"/>
      <c r="F320" s="52"/>
    </row>
    <row r="321" spans="1:6" ht="15.75" customHeight="1" x14ac:dyDescent="0.25">
      <c r="A321" s="50"/>
      <c r="B321" s="39"/>
      <c r="C321" s="14"/>
      <c r="D321" s="23"/>
      <c r="E321" s="51"/>
      <c r="F321" s="52"/>
    </row>
    <row r="322" spans="1:6" ht="15.75" customHeight="1" x14ac:dyDescent="0.25">
      <c r="A322" s="50"/>
      <c r="B322" s="39"/>
      <c r="C322" s="14"/>
      <c r="D322" s="23"/>
      <c r="E322" s="51"/>
      <c r="F322" s="52"/>
    </row>
    <row r="323" spans="1:6" ht="15.75" customHeight="1" x14ac:dyDescent="0.25">
      <c r="A323" s="50"/>
      <c r="B323" s="39"/>
      <c r="C323" s="14"/>
      <c r="D323" s="23"/>
      <c r="E323" s="51"/>
      <c r="F323" s="52"/>
    </row>
    <row r="324" spans="1:6" ht="15.75" customHeight="1" x14ac:dyDescent="0.25">
      <c r="A324" s="50"/>
      <c r="B324" s="39"/>
      <c r="C324" s="14"/>
      <c r="D324" s="23"/>
      <c r="E324" s="51"/>
      <c r="F324" s="52"/>
    </row>
    <row r="325" spans="1:6" ht="15.75" customHeight="1" x14ac:dyDescent="0.25">
      <c r="A325" s="50"/>
      <c r="B325" s="39"/>
      <c r="C325" s="14"/>
      <c r="D325" s="23"/>
      <c r="E325" s="51"/>
      <c r="F325" s="52"/>
    </row>
    <row r="326" spans="1:6" ht="15.75" customHeight="1" x14ac:dyDescent="0.25">
      <c r="A326" s="50"/>
      <c r="B326" s="39"/>
      <c r="C326" s="14"/>
      <c r="D326" s="23"/>
      <c r="E326" s="51"/>
      <c r="F326" s="52"/>
    </row>
    <row r="327" spans="1:6" ht="15.75" customHeight="1" x14ac:dyDescent="0.25">
      <c r="A327" s="50"/>
      <c r="B327" s="39"/>
      <c r="C327" s="14"/>
      <c r="D327" s="23"/>
      <c r="E327" s="51"/>
      <c r="F327" s="52"/>
    </row>
    <row r="328" spans="1:6" ht="15.75" customHeight="1" x14ac:dyDescent="0.25">
      <c r="A328" s="50"/>
      <c r="B328" s="39"/>
      <c r="C328" s="14"/>
      <c r="D328" s="23"/>
      <c r="E328" s="51"/>
      <c r="F328" s="52"/>
    </row>
    <row r="329" spans="1:6" ht="15.75" customHeight="1" x14ac:dyDescent="0.25">
      <c r="A329" s="50"/>
      <c r="B329" s="39"/>
      <c r="C329" s="14"/>
      <c r="D329" s="23"/>
      <c r="E329" s="51"/>
      <c r="F329" s="52"/>
    </row>
    <row r="330" spans="1:6" ht="15.75" customHeight="1" x14ac:dyDescent="0.25">
      <c r="A330" s="50"/>
      <c r="B330" s="39"/>
      <c r="C330" s="14"/>
      <c r="D330" s="23"/>
      <c r="E330" s="51"/>
      <c r="F330" s="52"/>
    </row>
    <row r="331" spans="1:6" ht="15.75" customHeight="1" x14ac:dyDescent="0.25">
      <c r="A331" s="50"/>
      <c r="B331" s="39"/>
      <c r="C331" s="14"/>
      <c r="D331" s="23"/>
      <c r="E331" s="51"/>
      <c r="F331" s="52"/>
    </row>
    <row r="332" spans="1:6" ht="15.75" customHeight="1" x14ac:dyDescent="0.25">
      <c r="A332" s="50"/>
      <c r="B332" s="39"/>
      <c r="C332" s="14"/>
      <c r="D332" s="23"/>
      <c r="E332" s="51"/>
      <c r="F332" s="52"/>
    </row>
    <row r="333" spans="1:6" ht="15.75" customHeight="1" x14ac:dyDescent="0.25">
      <c r="A333" s="50"/>
      <c r="B333" s="39"/>
      <c r="C333" s="14"/>
      <c r="D333" s="23"/>
      <c r="E333" s="51"/>
      <c r="F333" s="52"/>
    </row>
    <row r="334" spans="1:6" ht="15.75" customHeight="1" x14ac:dyDescent="0.25">
      <c r="A334" s="50"/>
      <c r="B334" s="39"/>
      <c r="C334" s="14"/>
      <c r="D334" s="23"/>
      <c r="E334" s="51"/>
      <c r="F334" s="52"/>
    </row>
    <row r="335" spans="1:6" ht="15.75" customHeight="1" x14ac:dyDescent="0.25">
      <c r="A335" s="50"/>
      <c r="B335" s="39"/>
      <c r="C335" s="14"/>
      <c r="D335" s="23"/>
      <c r="E335" s="51"/>
      <c r="F335" s="52"/>
    </row>
    <row r="336" spans="1:6" ht="15.75" customHeight="1" x14ac:dyDescent="0.25">
      <c r="A336" s="50"/>
      <c r="B336" s="39"/>
      <c r="C336" s="14"/>
      <c r="D336" s="23"/>
      <c r="E336" s="51"/>
      <c r="F336" s="52"/>
    </row>
    <row r="337" spans="1:6" ht="15.75" customHeight="1" x14ac:dyDescent="0.25">
      <c r="A337" s="50"/>
      <c r="B337" s="39"/>
      <c r="C337" s="14"/>
      <c r="D337" s="23"/>
      <c r="E337" s="51"/>
      <c r="F337" s="52"/>
    </row>
    <row r="338" spans="1:6" ht="15.75" customHeight="1" x14ac:dyDescent="0.25">
      <c r="A338" s="50"/>
      <c r="B338" s="39"/>
      <c r="C338" s="14"/>
      <c r="D338" s="23"/>
      <c r="E338" s="51"/>
      <c r="F338" s="52"/>
    </row>
    <row r="339" spans="1:6" ht="15.75" customHeight="1" x14ac:dyDescent="0.25">
      <c r="A339" s="50"/>
      <c r="B339" s="39"/>
      <c r="C339" s="14"/>
      <c r="D339" s="23"/>
      <c r="E339" s="51"/>
      <c r="F339" s="52"/>
    </row>
    <row r="340" spans="1:6" ht="15.75" customHeight="1" x14ac:dyDescent="0.25">
      <c r="A340" s="50"/>
      <c r="B340" s="39"/>
      <c r="C340" s="14"/>
      <c r="D340" s="23"/>
      <c r="E340" s="51"/>
      <c r="F340" s="52"/>
    </row>
    <row r="341" spans="1:6" ht="15.75" customHeight="1" x14ac:dyDescent="0.25">
      <c r="A341" s="50"/>
      <c r="B341" s="39"/>
      <c r="C341" s="14"/>
      <c r="D341" s="23"/>
      <c r="E341" s="51"/>
      <c r="F341" s="52"/>
    </row>
    <row r="342" spans="1:6" ht="15.75" customHeight="1" x14ac:dyDescent="0.25">
      <c r="A342" s="50"/>
      <c r="B342" s="39"/>
      <c r="C342" s="14"/>
      <c r="D342" s="23"/>
      <c r="E342" s="51"/>
      <c r="F342" s="52"/>
    </row>
    <row r="343" spans="1:6" ht="15.75" customHeight="1" x14ac:dyDescent="0.25">
      <c r="A343" s="50"/>
      <c r="B343" s="39"/>
      <c r="C343" s="14"/>
      <c r="D343" s="23"/>
      <c r="E343" s="51"/>
      <c r="F343" s="52"/>
    </row>
    <row r="344" spans="1:6" ht="15.75" customHeight="1" x14ac:dyDescent="0.25">
      <c r="A344" s="50"/>
      <c r="B344" s="39"/>
      <c r="C344" s="14"/>
      <c r="D344" s="23"/>
      <c r="E344" s="51"/>
      <c r="F344" s="52"/>
    </row>
    <row r="345" spans="1:6" ht="15.75" customHeight="1" x14ac:dyDescent="0.25">
      <c r="A345" s="50"/>
      <c r="B345" s="39"/>
      <c r="C345" s="14"/>
      <c r="D345" s="23"/>
      <c r="E345" s="51"/>
      <c r="F345" s="52"/>
    </row>
    <row r="346" spans="1:6" ht="15.75" customHeight="1" x14ac:dyDescent="0.25">
      <c r="A346" s="50"/>
      <c r="B346" s="39"/>
      <c r="C346" s="14"/>
      <c r="D346" s="23"/>
      <c r="E346" s="51"/>
      <c r="F346" s="52"/>
    </row>
    <row r="347" spans="1:6" ht="15.75" customHeight="1" x14ac:dyDescent="0.25">
      <c r="A347" s="50"/>
      <c r="B347" s="39"/>
      <c r="C347" s="14"/>
      <c r="D347" s="23"/>
      <c r="E347" s="51"/>
      <c r="F347" s="52"/>
    </row>
    <row r="348" spans="1:6" ht="15.75" customHeight="1" x14ac:dyDescent="0.25">
      <c r="A348" s="50"/>
      <c r="B348" s="39"/>
      <c r="C348" s="14"/>
      <c r="D348" s="23"/>
      <c r="E348" s="51"/>
      <c r="F348" s="52"/>
    </row>
    <row r="349" spans="1:6" ht="15.75" customHeight="1" x14ac:dyDescent="0.25">
      <c r="A349" s="50"/>
      <c r="B349" s="39"/>
      <c r="C349" s="14"/>
      <c r="D349" s="23"/>
      <c r="E349" s="51"/>
      <c r="F349" s="52"/>
    </row>
    <row r="350" spans="1:6" ht="15.75" customHeight="1" x14ac:dyDescent="0.25">
      <c r="A350" s="50"/>
      <c r="B350" s="39"/>
      <c r="C350" s="14"/>
      <c r="D350" s="23"/>
      <c r="E350" s="51"/>
      <c r="F350" s="52"/>
    </row>
    <row r="351" spans="1:6" ht="15.75" customHeight="1" x14ac:dyDescent="0.25">
      <c r="A351" s="50"/>
      <c r="B351" s="39"/>
      <c r="C351" s="14"/>
      <c r="D351" s="23"/>
      <c r="E351" s="51"/>
      <c r="F351" s="52"/>
    </row>
    <row r="352" spans="1:6" ht="15.75" customHeight="1" x14ac:dyDescent="0.25">
      <c r="A352" s="50"/>
      <c r="B352" s="39"/>
      <c r="C352" s="14"/>
      <c r="D352" s="23"/>
      <c r="E352" s="51"/>
      <c r="F352" s="52"/>
    </row>
    <row r="353" spans="1:6" ht="15.75" customHeight="1" x14ac:dyDescent="0.25">
      <c r="A353" s="50"/>
      <c r="B353" s="39"/>
      <c r="C353" s="14"/>
      <c r="D353" s="23"/>
      <c r="E353" s="51"/>
      <c r="F353" s="52"/>
    </row>
    <row r="354" spans="1:6" ht="15.75" customHeight="1" x14ac:dyDescent="0.25">
      <c r="A354" s="50"/>
      <c r="B354" s="39"/>
      <c r="C354" s="14"/>
      <c r="D354" s="23"/>
      <c r="E354" s="51"/>
      <c r="F354" s="52"/>
    </row>
    <row r="355" spans="1:6" ht="15.75" customHeight="1" x14ac:dyDescent="0.25">
      <c r="A355" s="50"/>
      <c r="B355" s="39"/>
      <c r="C355" s="14"/>
      <c r="D355" s="23"/>
      <c r="E355" s="51"/>
      <c r="F355" s="52"/>
    </row>
    <row r="356" spans="1:6" ht="15.75" customHeight="1" x14ac:dyDescent="0.25">
      <c r="A356" s="50"/>
      <c r="B356" s="39"/>
      <c r="C356" s="14"/>
      <c r="D356" s="23"/>
      <c r="E356" s="51"/>
      <c r="F356" s="52"/>
    </row>
    <row r="357" spans="1:6" ht="15.75" customHeight="1" x14ac:dyDescent="0.25">
      <c r="A357" s="50"/>
      <c r="B357" s="39"/>
      <c r="C357" s="14"/>
      <c r="D357" s="23"/>
      <c r="E357" s="51"/>
      <c r="F357" s="52"/>
    </row>
    <row r="358" spans="1:6" ht="15.75" customHeight="1" x14ac:dyDescent="0.25">
      <c r="A358" s="50"/>
      <c r="B358" s="39"/>
      <c r="C358" s="14"/>
      <c r="D358" s="23"/>
      <c r="E358" s="51"/>
      <c r="F358" s="52"/>
    </row>
    <row r="359" spans="1:6" ht="15.75" customHeight="1" x14ac:dyDescent="0.25">
      <c r="A359" s="50"/>
      <c r="B359" s="39"/>
      <c r="C359" s="14"/>
      <c r="D359" s="23"/>
      <c r="E359" s="51"/>
      <c r="F359" s="52"/>
    </row>
    <row r="360" spans="1:6" ht="15.75" customHeight="1" x14ac:dyDescent="0.25">
      <c r="A360" s="50"/>
      <c r="B360" s="39"/>
      <c r="C360" s="14"/>
      <c r="D360" s="23"/>
      <c r="E360" s="51"/>
      <c r="F360" s="52"/>
    </row>
    <row r="361" spans="1:6" ht="15.75" customHeight="1" x14ac:dyDescent="0.25">
      <c r="A361" s="50"/>
      <c r="B361" s="39"/>
      <c r="C361" s="14"/>
      <c r="D361" s="23"/>
      <c r="E361" s="51"/>
      <c r="F361" s="52"/>
    </row>
    <row r="362" spans="1:6" ht="15.75" customHeight="1" x14ac:dyDescent="0.25">
      <c r="A362" s="50"/>
      <c r="B362" s="39"/>
      <c r="C362" s="14"/>
      <c r="D362" s="23"/>
      <c r="E362" s="51"/>
      <c r="F362" s="52"/>
    </row>
    <row r="363" spans="1:6" ht="15.75" customHeight="1" x14ac:dyDescent="0.25">
      <c r="A363" s="50"/>
      <c r="B363" s="39"/>
      <c r="C363" s="14"/>
      <c r="D363" s="23"/>
      <c r="E363" s="51"/>
      <c r="F363" s="52"/>
    </row>
    <row r="364" spans="1:6" ht="15.75" customHeight="1" x14ac:dyDescent="0.25">
      <c r="A364" s="50"/>
      <c r="B364" s="39"/>
      <c r="C364" s="14"/>
      <c r="D364" s="23"/>
      <c r="E364" s="51"/>
      <c r="F364" s="52"/>
    </row>
    <row r="365" spans="1:6" ht="15.75" customHeight="1" x14ac:dyDescent="0.25">
      <c r="A365" s="50"/>
      <c r="B365" s="39"/>
      <c r="C365" s="14"/>
      <c r="D365" s="23"/>
      <c r="E365" s="51"/>
      <c r="F365" s="52"/>
    </row>
    <row r="366" spans="1:6" ht="15.75" customHeight="1" x14ac:dyDescent="0.25">
      <c r="A366" s="50"/>
      <c r="B366" s="39"/>
      <c r="C366" s="14"/>
      <c r="D366" s="23"/>
      <c r="E366" s="51"/>
      <c r="F366" s="52"/>
    </row>
    <row r="367" spans="1:6" ht="15.75" customHeight="1" x14ac:dyDescent="0.25">
      <c r="A367" s="50"/>
      <c r="B367" s="39"/>
      <c r="C367" s="14"/>
      <c r="D367" s="23"/>
      <c r="E367" s="51"/>
      <c r="F367" s="52"/>
    </row>
    <row r="368" spans="1:6" ht="15.75" customHeight="1" x14ac:dyDescent="0.25">
      <c r="A368" s="50"/>
      <c r="B368" s="39"/>
      <c r="C368" s="14"/>
      <c r="D368" s="23"/>
      <c r="E368" s="51"/>
      <c r="F368" s="52"/>
    </row>
    <row r="369" spans="1:6" ht="15.75" customHeight="1" x14ac:dyDescent="0.25">
      <c r="A369" s="50"/>
      <c r="B369" s="39"/>
      <c r="C369" s="14"/>
      <c r="D369" s="23"/>
      <c r="E369" s="51"/>
      <c r="F369" s="52"/>
    </row>
    <row r="370" spans="1:6" ht="15.75" customHeight="1" x14ac:dyDescent="0.25">
      <c r="A370" s="50"/>
      <c r="B370" s="39"/>
      <c r="C370" s="14"/>
      <c r="D370" s="23"/>
      <c r="E370" s="51"/>
      <c r="F370" s="52"/>
    </row>
    <row r="371" spans="1:6" ht="15.75" customHeight="1" x14ac:dyDescent="0.25">
      <c r="A371" s="50"/>
      <c r="B371" s="39"/>
      <c r="C371" s="14"/>
      <c r="D371" s="23"/>
      <c r="E371" s="51"/>
      <c r="F371" s="52"/>
    </row>
    <row r="372" spans="1:6" ht="15.75" customHeight="1" x14ac:dyDescent="0.25">
      <c r="A372" s="50"/>
      <c r="B372" s="39"/>
      <c r="C372" s="14"/>
      <c r="D372" s="23"/>
      <c r="E372" s="51"/>
      <c r="F372" s="52"/>
    </row>
    <row r="373" spans="1:6" ht="15.75" customHeight="1" x14ac:dyDescent="0.25">
      <c r="A373" s="50"/>
      <c r="B373" s="39"/>
      <c r="C373" s="14"/>
      <c r="D373" s="23"/>
      <c r="E373" s="51"/>
      <c r="F373" s="52"/>
    </row>
    <row r="374" spans="1:6" ht="15.75" customHeight="1" x14ac:dyDescent="0.25">
      <c r="A374" s="50"/>
      <c r="B374" s="39"/>
      <c r="C374" s="14"/>
      <c r="D374" s="23"/>
      <c r="E374" s="51"/>
      <c r="F374" s="52"/>
    </row>
    <row r="375" spans="1:6" ht="15.75" customHeight="1" x14ac:dyDescent="0.25">
      <c r="A375" s="50"/>
      <c r="B375" s="39"/>
      <c r="C375" s="14"/>
      <c r="D375" s="23"/>
      <c r="E375" s="51"/>
      <c r="F375" s="52"/>
    </row>
    <row r="376" spans="1:6" ht="15.75" customHeight="1" x14ac:dyDescent="0.25">
      <c r="A376" s="50"/>
      <c r="B376" s="39"/>
      <c r="C376" s="14"/>
      <c r="D376" s="23"/>
      <c r="E376" s="51"/>
      <c r="F376" s="52"/>
    </row>
    <row r="377" spans="1:6" ht="15.75" customHeight="1" x14ac:dyDescent="0.25">
      <c r="A377" s="50"/>
      <c r="B377" s="39"/>
      <c r="C377" s="14"/>
      <c r="D377" s="23"/>
      <c r="E377" s="51"/>
      <c r="F377" s="52"/>
    </row>
    <row r="378" spans="1:6" ht="15.75" customHeight="1" x14ac:dyDescent="0.25">
      <c r="A378" s="50"/>
      <c r="B378" s="39"/>
      <c r="C378" s="14"/>
      <c r="D378" s="23"/>
      <c r="E378" s="51"/>
      <c r="F378" s="52"/>
    </row>
    <row r="379" spans="1:6" ht="15.75" customHeight="1" x14ac:dyDescent="0.25">
      <c r="A379" s="50"/>
      <c r="B379" s="39"/>
      <c r="C379" s="14"/>
      <c r="D379" s="23"/>
      <c r="E379" s="51"/>
      <c r="F379" s="52"/>
    </row>
    <row r="380" spans="1:6" ht="15.75" customHeight="1" x14ac:dyDescent="0.25">
      <c r="A380" s="50"/>
      <c r="B380" s="39"/>
      <c r="C380" s="14"/>
      <c r="D380" s="23"/>
      <c r="E380" s="51"/>
      <c r="F380" s="52"/>
    </row>
    <row r="381" spans="1:6" ht="15.75" customHeight="1" x14ac:dyDescent="0.25">
      <c r="A381" s="50"/>
      <c r="B381" s="39"/>
      <c r="C381" s="14"/>
      <c r="D381" s="23"/>
      <c r="E381" s="51"/>
      <c r="F381" s="52"/>
    </row>
    <row r="382" spans="1:6" ht="15.75" customHeight="1" x14ac:dyDescent="0.25">
      <c r="A382" s="50"/>
      <c r="B382" s="39"/>
      <c r="C382" s="14"/>
      <c r="D382" s="23"/>
      <c r="E382" s="51"/>
      <c r="F382" s="52"/>
    </row>
    <row r="383" spans="1:6" ht="15.75" customHeight="1" x14ac:dyDescent="0.25">
      <c r="A383" s="50"/>
      <c r="B383" s="39"/>
      <c r="C383" s="14"/>
      <c r="D383" s="23"/>
      <c r="E383" s="51"/>
      <c r="F383" s="53"/>
    </row>
    <row r="384" spans="1:6" ht="15.75" customHeight="1" x14ac:dyDescent="0.25">
      <c r="A384" s="50"/>
      <c r="B384" s="39"/>
      <c r="C384" s="14"/>
      <c r="D384" s="23"/>
      <c r="E384" s="51"/>
      <c r="F384" s="52"/>
    </row>
    <row r="385" spans="1:6" ht="15.75" customHeight="1" x14ac:dyDescent="0.25">
      <c r="A385" s="50"/>
      <c r="B385" s="39"/>
      <c r="C385" s="14"/>
      <c r="D385" s="23"/>
      <c r="E385" s="51"/>
      <c r="F385" s="52"/>
    </row>
    <row r="386" spans="1:6" ht="15.75" customHeight="1" x14ac:dyDescent="0.25">
      <c r="A386" s="50"/>
      <c r="B386" s="39"/>
      <c r="C386" s="14"/>
      <c r="D386" s="23"/>
      <c r="E386" s="51"/>
      <c r="F386" s="53"/>
    </row>
    <row r="387" spans="1:6" ht="15.75" customHeight="1" x14ac:dyDescent="0.25">
      <c r="A387" s="50"/>
      <c r="B387" s="39"/>
      <c r="C387" s="14"/>
      <c r="D387" s="23"/>
      <c r="E387" s="51"/>
      <c r="F387" s="52"/>
    </row>
    <row r="388" spans="1:6" ht="15.75" customHeight="1" x14ac:dyDescent="0.25">
      <c r="A388" s="50"/>
      <c r="B388" s="39"/>
      <c r="C388" s="14"/>
      <c r="D388" s="23"/>
      <c r="E388" s="51"/>
      <c r="F388" s="52"/>
    </row>
    <row r="389" spans="1:6" ht="15.75" customHeight="1" x14ac:dyDescent="0.25">
      <c r="A389" s="50"/>
      <c r="B389" s="39"/>
      <c r="C389" s="14"/>
      <c r="D389" s="23"/>
      <c r="E389" s="51"/>
      <c r="F389" s="52"/>
    </row>
    <row r="390" spans="1:6" ht="15.75" customHeight="1" x14ac:dyDescent="0.25">
      <c r="A390" s="50"/>
      <c r="B390" s="39"/>
      <c r="C390" s="14"/>
      <c r="D390" s="23"/>
      <c r="E390" s="51"/>
      <c r="F390" s="53"/>
    </row>
    <row r="391" spans="1:6" ht="18" customHeight="1" x14ac:dyDescent="0.25">
      <c r="A391" s="41" t="s">
        <v>166</v>
      </c>
      <c r="B391" s="42"/>
      <c r="C391" s="43">
        <f>SUM(C5:C390)</f>
        <v>6054411967.3199978</v>
      </c>
      <c r="D391" s="43">
        <f t="shared" ref="D391" si="8">IFERROR(C391/$D$3,0)</f>
        <v>4324579.976657141</v>
      </c>
      <c r="E391" s="54">
        <v>1</v>
      </c>
      <c r="F391" s="42"/>
    </row>
    <row r="393" spans="1:6" x14ac:dyDescent="0.25">
      <c r="A393" s="69" t="s">
        <v>167</v>
      </c>
      <c r="B393" s="69"/>
      <c r="C393" s="69"/>
      <c r="D393" s="69"/>
      <c r="E393" s="69"/>
      <c r="F393" s="69"/>
    </row>
  </sheetData>
  <mergeCells count="3">
    <mergeCell ref="A1:F1"/>
    <mergeCell ref="A2:F2"/>
    <mergeCell ref="A393:F39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2F3A-7339-475B-B960-F6169B95C402}">
  <dimension ref="A1:K263"/>
  <sheetViews>
    <sheetView topLeftCell="A226" workbookViewId="0">
      <selection activeCell="K5" sqref="K5:K258"/>
    </sheetView>
  </sheetViews>
  <sheetFormatPr baseColWidth="10" defaultRowHeight="15" x14ac:dyDescent="0.25"/>
  <sheetData>
    <row r="1" spans="1:11" x14ac:dyDescent="0.25">
      <c r="A1" t="s">
        <v>168</v>
      </c>
    </row>
    <row r="2" spans="1:11" x14ac:dyDescent="0.25">
      <c r="A2" t="s">
        <v>169</v>
      </c>
    </row>
    <row r="3" spans="1:11" x14ac:dyDescent="0.25">
      <c r="A3" t="s">
        <v>170</v>
      </c>
    </row>
    <row r="4" spans="1:11" x14ac:dyDescent="0.25">
      <c r="A4" t="s">
        <v>171</v>
      </c>
      <c r="B4" t="s">
        <v>172</v>
      </c>
      <c r="C4" t="s">
        <v>173</v>
      </c>
      <c r="D4" t="s">
        <v>4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155</v>
      </c>
    </row>
    <row r="5" spans="1:11" x14ac:dyDescent="0.25">
      <c r="A5" t="s">
        <v>180</v>
      </c>
      <c r="B5" t="s">
        <v>181</v>
      </c>
      <c r="C5" t="s">
        <v>182</v>
      </c>
      <c r="D5" t="s">
        <v>183</v>
      </c>
      <c r="E5">
        <v>11158983</v>
      </c>
      <c r="F5" t="s">
        <v>184</v>
      </c>
      <c r="G5">
        <v>15632622.85</v>
      </c>
      <c r="H5">
        <v>0</v>
      </c>
      <c r="I5">
        <v>0</v>
      </c>
      <c r="J5">
        <v>0</v>
      </c>
      <c r="K5">
        <v>26791605.850000001</v>
      </c>
    </row>
    <row r="6" spans="1:11" x14ac:dyDescent="0.25">
      <c r="A6" t="s">
        <v>185</v>
      </c>
      <c r="B6" t="s">
        <v>186</v>
      </c>
      <c r="C6" t="s">
        <v>182</v>
      </c>
      <c r="D6" t="s">
        <v>187</v>
      </c>
      <c r="E6">
        <v>0</v>
      </c>
      <c r="F6" t="s">
        <v>188</v>
      </c>
      <c r="G6">
        <v>6368485.2800000003</v>
      </c>
      <c r="H6">
        <v>0</v>
      </c>
      <c r="I6">
        <v>0</v>
      </c>
      <c r="J6">
        <v>0</v>
      </c>
      <c r="K6">
        <v>6368485.2800000003</v>
      </c>
    </row>
    <row r="7" spans="1:11" x14ac:dyDescent="0.25">
      <c r="A7" t="s">
        <v>189</v>
      </c>
      <c r="B7" t="s">
        <v>190</v>
      </c>
      <c r="C7" t="s">
        <v>182</v>
      </c>
      <c r="D7" t="s">
        <v>191</v>
      </c>
      <c r="E7">
        <v>0</v>
      </c>
      <c r="F7" t="s">
        <v>192</v>
      </c>
      <c r="G7">
        <v>0</v>
      </c>
      <c r="H7">
        <v>0</v>
      </c>
      <c r="I7">
        <v>0</v>
      </c>
      <c r="J7">
        <v>1.08</v>
      </c>
      <c r="K7">
        <v>1.08</v>
      </c>
    </row>
    <row r="8" spans="1:11" x14ac:dyDescent="0.25">
      <c r="A8" t="s">
        <v>193</v>
      </c>
      <c r="B8" t="s">
        <v>194</v>
      </c>
      <c r="C8" t="s">
        <v>182</v>
      </c>
      <c r="D8" t="s">
        <v>195</v>
      </c>
      <c r="E8">
        <v>534552.59</v>
      </c>
      <c r="F8" t="s">
        <v>196</v>
      </c>
      <c r="G8">
        <v>0</v>
      </c>
      <c r="H8">
        <v>0</v>
      </c>
      <c r="I8">
        <v>0</v>
      </c>
      <c r="J8">
        <v>0</v>
      </c>
      <c r="K8">
        <v>534552.59</v>
      </c>
    </row>
    <row r="9" spans="1:11" x14ac:dyDescent="0.25">
      <c r="A9" t="s">
        <v>197</v>
      </c>
      <c r="B9" t="s">
        <v>198</v>
      </c>
      <c r="C9" t="s">
        <v>182</v>
      </c>
      <c r="D9" t="s">
        <v>199</v>
      </c>
      <c r="E9">
        <v>0</v>
      </c>
      <c r="F9" t="s">
        <v>200</v>
      </c>
      <c r="G9">
        <v>175000</v>
      </c>
      <c r="H9">
        <v>0</v>
      </c>
      <c r="I9">
        <v>0</v>
      </c>
      <c r="J9">
        <v>0</v>
      </c>
      <c r="K9">
        <v>175000</v>
      </c>
    </row>
    <row r="10" spans="1:11" x14ac:dyDescent="0.25">
      <c r="A10" t="s">
        <v>201</v>
      </c>
      <c r="B10" t="s">
        <v>202</v>
      </c>
      <c r="C10" t="s">
        <v>182</v>
      </c>
      <c r="D10" t="s">
        <v>191</v>
      </c>
      <c r="E10">
        <v>0</v>
      </c>
      <c r="F10" t="s">
        <v>192</v>
      </c>
      <c r="G10">
        <v>5905798.25</v>
      </c>
      <c r="H10">
        <v>0</v>
      </c>
      <c r="I10">
        <v>0</v>
      </c>
      <c r="J10">
        <v>0</v>
      </c>
      <c r="K10">
        <v>5905798.25</v>
      </c>
    </row>
    <row r="11" spans="1:11" x14ac:dyDescent="0.25">
      <c r="A11" t="s">
        <v>205</v>
      </c>
      <c r="B11" t="s">
        <v>206</v>
      </c>
      <c r="C11" t="s">
        <v>182</v>
      </c>
      <c r="D11" t="s">
        <v>207</v>
      </c>
      <c r="E11">
        <v>560000</v>
      </c>
      <c r="F11" t="s">
        <v>208</v>
      </c>
      <c r="G11">
        <v>0</v>
      </c>
      <c r="H11">
        <v>0</v>
      </c>
      <c r="I11">
        <v>0</v>
      </c>
      <c r="J11">
        <v>0</v>
      </c>
      <c r="K11">
        <v>560000</v>
      </c>
    </row>
    <row r="12" spans="1:11" x14ac:dyDescent="0.25">
      <c r="A12" t="s">
        <v>209</v>
      </c>
      <c r="B12" t="s">
        <v>210</v>
      </c>
      <c r="C12" t="s">
        <v>182</v>
      </c>
      <c r="D12" t="s">
        <v>191</v>
      </c>
      <c r="E12">
        <v>112695.77</v>
      </c>
      <c r="F12" t="s">
        <v>192</v>
      </c>
      <c r="G12">
        <v>4550689.54</v>
      </c>
      <c r="H12">
        <v>0</v>
      </c>
      <c r="I12">
        <v>0</v>
      </c>
      <c r="J12">
        <v>0</v>
      </c>
      <c r="K12">
        <v>4663385.3099999996</v>
      </c>
    </row>
    <row r="13" spans="1:11" x14ac:dyDescent="0.25">
      <c r="A13" t="s">
        <v>211</v>
      </c>
      <c r="B13" t="s">
        <v>212</v>
      </c>
      <c r="C13" t="s">
        <v>182</v>
      </c>
      <c r="D13" t="s">
        <v>213</v>
      </c>
      <c r="E13">
        <v>138424</v>
      </c>
      <c r="F13" t="s">
        <v>214</v>
      </c>
      <c r="G13">
        <v>0</v>
      </c>
      <c r="H13">
        <v>0</v>
      </c>
      <c r="I13">
        <v>0</v>
      </c>
      <c r="J13">
        <v>0</v>
      </c>
      <c r="K13">
        <v>138424</v>
      </c>
    </row>
    <row r="14" spans="1:11" x14ac:dyDescent="0.25">
      <c r="A14" t="s">
        <v>217</v>
      </c>
      <c r="B14" t="s">
        <v>218</v>
      </c>
      <c r="C14" t="s">
        <v>182</v>
      </c>
      <c r="D14" t="s">
        <v>219</v>
      </c>
      <c r="E14">
        <v>954990.07999999996</v>
      </c>
      <c r="F14" t="s">
        <v>220</v>
      </c>
      <c r="G14">
        <v>0</v>
      </c>
      <c r="H14">
        <v>0</v>
      </c>
      <c r="I14">
        <v>0</v>
      </c>
      <c r="J14">
        <v>0</v>
      </c>
      <c r="K14">
        <v>954990.07999999996</v>
      </c>
    </row>
    <row r="15" spans="1:11" x14ac:dyDescent="0.25">
      <c r="A15" t="s">
        <v>221</v>
      </c>
      <c r="B15" t="s">
        <v>222</v>
      </c>
      <c r="C15" t="s">
        <v>182</v>
      </c>
      <c r="D15" t="s">
        <v>203</v>
      </c>
      <c r="E15">
        <v>0</v>
      </c>
      <c r="F15" t="s">
        <v>204</v>
      </c>
      <c r="G15">
        <v>1706201.05</v>
      </c>
      <c r="H15">
        <v>0</v>
      </c>
      <c r="I15">
        <v>0</v>
      </c>
      <c r="J15">
        <v>0</v>
      </c>
      <c r="K15">
        <v>1706201.05</v>
      </c>
    </row>
    <row r="16" spans="1:11" x14ac:dyDescent="0.25">
      <c r="A16" t="s">
        <v>223</v>
      </c>
      <c r="B16" t="s">
        <v>224</v>
      </c>
      <c r="C16" t="s">
        <v>182</v>
      </c>
      <c r="D16" t="s">
        <v>225</v>
      </c>
      <c r="E16">
        <v>108276.01</v>
      </c>
      <c r="F16" t="s">
        <v>226</v>
      </c>
      <c r="G16">
        <v>1288669.28</v>
      </c>
      <c r="H16">
        <v>0</v>
      </c>
      <c r="I16">
        <v>0</v>
      </c>
      <c r="J16">
        <v>0</v>
      </c>
      <c r="K16">
        <v>1396945.29</v>
      </c>
    </row>
    <row r="17" spans="1:11" x14ac:dyDescent="0.25">
      <c r="A17" t="s">
        <v>227</v>
      </c>
      <c r="B17" t="s">
        <v>228</v>
      </c>
      <c r="C17" t="s">
        <v>182</v>
      </c>
      <c r="D17" t="s">
        <v>229</v>
      </c>
      <c r="E17">
        <v>0</v>
      </c>
      <c r="F17" t="s">
        <v>230</v>
      </c>
      <c r="G17">
        <v>195094.12</v>
      </c>
      <c r="H17">
        <v>0</v>
      </c>
      <c r="I17">
        <v>0</v>
      </c>
      <c r="J17">
        <v>0</v>
      </c>
      <c r="K17">
        <v>195094.12</v>
      </c>
    </row>
    <row r="18" spans="1:11" x14ac:dyDescent="0.25">
      <c r="A18" t="s">
        <v>231</v>
      </c>
      <c r="B18" t="s">
        <v>232</v>
      </c>
      <c r="C18" t="s">
        <v>182</v>
      </c>
      <c r="D18" t="s">
        <v>225</v>
      </c>
      <c r="E18">
        <v>1359000</v>
      </c>
      <c r="F18" t="s">
        <v>226</v>
      </c>
      <c r="G18">
        <v>1727000</v>
      </c>
      <c r="H18">
        <v>2576000</v>
      </c>
      <c r="I18">
        <v>0</v>
      </c>
      <c r="J18">
        <v>0</v>
      </c>
      <c r="K18">
        <v>5662000</v>
      </c>
    </row>
    <row r="19" spans="1:11" x14ac:dyDescent="0.25">
      <c r="A19" t="s">
        <v>850</v>
      </c>
      <c r="B19" t="s">
        <v>851</v>
      </c>
      <c r="C19" t="s">
        <v>182</v>
      </c>
      <c r="D19" t="s">
        <v>753</v>
      </c>
      <c r="E19">
        <v>12403525</v>
      </c>
      <c r="F19" t="s">
        <v>754</v>
      </c>
      <c r="G19">
        <v>0</v>
      </c>
      <c r="H19">
        <v>0</v>
      </c>
      <c r="I19">
        <v>0</v>
      </c>
      <c r="J19">
        <v>0</v>
      </c>
      <c r="K19">
        <v>12403525</v>
      </c>
    </row>
    <row r="20" spans="1:11" x14ac:dyDescent="0.25">
      <c r="A20" t="s">
        <v>235</v>
      </c>
      <c r="B20" t="s">
        <v>236</v>
      </c>
      <c r="C20" t="s">
        <v>182</v>
      </c>
      <c r="D20" t="s">
        <v>237</v>
      </c>
      <c r="E20">
        <v>0</v>
      </c>
      <c r="F20" t="s">
        <v>238</v>
      </c>
      <c r="G20">
        <v>0</v>
      </c>
      <c r="H20">
        <v>28043800</v>
      </c>
      <c r="I20">
        <v>0</v>
      </c>
      <c r="J20">
        <v>26176.959999999999</v>
      </c>
      <c r="K20">
        <v>28069976.960000001</v>
      </c>
    </row>
    <row r="21" spans="1:11" x14ac:dyDescent="0.25">
      <c r="A21" t="s">
        <v>239</v>
      </c>
      <c r="B21" t="s">
        <v>240</v>
      </c>
      <c r="C21" t="s">
        <v>182</v>
      </c>
      <c r="D21" t="s">
        <v>241</v>
      </c>
      <c r="E21">
        <v>0</v>
      </c>
      <c r="F21" t="s">
        <v>242</v>
      </c>
      <c r="G21">
        <v>3092058.01</v>
      </c>
      <c r="H21">
        <v>0</v>
      </c>
      <c r="I21">
        <v>0</v>
      </c>
      <c r="J21">
        <v>0</v>
      </c>
      <c r="K21">
        <v>3092058.01</v>
      </c>
    </row>
    <row r="22" spans="1:11" x14ac:dyDescent="0.25">
      <c r="A22" t="s">
        <v>852</v>
      </c>
      <c r="B22" t="s">
        <v>853</v>
      </c>
      <c r="C22" t="s">
        <v>182</v>
      </c>
      <c r="D22" t="s">
        <v>379</v>
      </c>
      <c r="E22">
        <v>0</v>
      </c>
      <c r="F22" t="s">
        <v>380</v>
      </c>
      <c r="G22">
        <v>0</v>
      </c>
      <c r="H22">
        <v>550000</v>
      </c>
      <c r="I22">
        <v>0</v>
      </c>
      <c r="J22">
        <v>0</v>
      </c>
      <c r="K22">
        <v>550000</v>
      </c>
    </row>
    <row r="23" spans="1:11" x14ac:dyDescent="0.25">
      <c r="A23" t="s">
        <v>854</v>
      </c>
      <c r="B23" t="s">
        <v>855</v>
      </c>
      <c r="C23" t="s">
        <v>182</v>
      </c>
      <c r="D23" t="s">
        <v>269</v>
      </c>
      <c r="E23">
        <v>70000</v>
      </c>
      <c r="F23" t="s">
        <v>270</v>
      </c>
      <c r="G23">
        <v>0</v>
      </c>
      <c r="H23">
        <v>0</v>
      </c>
      <c r="I23">
        <v>0</v>
      </c>
      <c r="J23">
        <v>0</v>
      </c>
      <c r="K23">
        <v>70000</v>
      </c>
    </row>
    <row r="24" spans="1:11" x14ac:dyDescent="0.25">
      <c r="A24" t="s">
        <v>243</v>
      </c>
      <c r="B24" t="s">
        <v>244</v>
      </c>
      <c r="C24" t="s">
        <v>182</v>
      </c>
      <c r="D24" t="s">
        <v>191</v>
      </c>
      <c r="E24">
        <v>208420.85</v>
      </c>
      <c r="F24" t="s">
        <v>192</v>
      </c>
      <c r="G24">
        <v>351534.27</v>
      </c>
      <c r="H24">
        <v>0</v>
      </c>
      <c r="I24">
        <v>0</v>
      </c>
      <c r="J24">
        <v>0</v>
      </c>
      <c r="K24">
        <v>559955.12</v>
      </c>
    </row>
    <row r="25" spans="1:11" x14ac:dyDescent="0.25">
      <c r="A25" t="s">
        <v>245</v>
      </c>
      <c r="B25" t="s">
        <v>246</v>
      </c>
      <c r="C25" t="s">
        <v>182</v>
      </c>
      <c r="D25" t="s">
        <v>233</v>
      </c>
      <c r="E25">
        <v>0</v>
      </c>
      <c r="F25" t="s">
        <v>234</v>
      </c>
      <c r="G25">
        <v>0</v>
      </c>
      <c r="H25">
        <v>0</v>
      </c>
      <c r="I25">
        <v>0</v>
      </c>
      <c r="J25">
        <v>4477000</v>
      </c>
      <c r="K25">
        <v>4477000</v>
      </c>
    </row>
    <row r="26" spans="1:11" x14ac:dyDescent="0.25">
      <c r="A26" t="s">
        <v>247</v>
      </c>
      <c r="B26" t="s">
        <v>248</v>
      </c>
      <c r="C26" t="s">
        <v>182</v>
      </c>
      <c r="D26" t="s">
        <v>213</v>
      </c>
      <c r="E26">
        <v>0</v>
      </c>
      <c r="F26" t="s">
        <v>214</v>
      </c>
      <c r="G26">
        <v>1612628.48</v>
      </c>
      <c r="H26">
        <v>0</v>
      </c>
      <c r="I26">
        <v>0</v>
      </c>
      <c r="J26">
        <v>0</v>
      </c>
      <c r="K26">
        <v>1612628.48</v>
      </c>
    </row>
    <row r="27" spans="1:11" x14ac:dyDescent="0.25">
      <c r="A27" t="s">
        <v>249</v>
      </c>
      <c r="B27" t="s">
        <v>250</v>
      </c>
      <c r="C27" t="s">
        <v>182</v>
      </c>
      <c r="D27" t="s">
        <v>251</v>
      </c>
      <c r="E27">
        <v>270358.33</v>
      </c>
      <c r="F27" t="s">
        <v>252</v>
      </c>
      <c r="G27">
        <v>807042.27</v>
      </c>
      <c r="H27">
        <v>0</v>
      </c>
      <c r="I27">
        <v>0</v>
      </c>
      <c r="J27">
        <v>0</v>
      </c>
      <c r="K27">
        <v>1077400.6000000001</v>
      </c>
    </row>
    <row r="28" spans="1:11" x14ac:dyDescent="0.25">
      <c r="A28" t="s">
        <v>253</v>
      </c>
      <c r="B28" t="s">
        <v>254</v>
      </c>
      <c r="C28" t="s">
        <v>182</v>
      </c>
      <c r="D28" t="s">
        <v>255</v>
      </c>
      <c r="E28">
        <v>0</v>
      </c>
      <c r="F28" t="s">
        <v>256</v>
      </c>
      <c r="G28">
        <v>435224.9</v>
      </c>
      <c r="H28">
        <v>0</v>
      </c>
      <c r="I28">
        <v>0</v>
      </c>
      <c r="J28">
        <v>0</v>
      </c>
      <c r="K28">
        <v>435224.9</v>
      </c>
    </row>
    <row r="29" spans="1:11" x14ac:dyDescent="0.25">
      <c r="A29" t="s">
        <v>257</v>
      </c>
      <c r="B29" t="s">
        <v>258</v>
      </c>
      <c r="C29" t="s">
        <v>182</v>
      </c>
      <c r="D29" t="s">
        <v>259</v>
      </c>
      <c r="E29">
        <v>1390048</v>
      </c>
      <c r="F29" t="s">
        <v>260</v>
      </c>
      <c r="G29">
        <v>2622796</v>
      </c>
      <c r="H29">
        <v>0</v>
      </c>
      <c r="I29">
        <v>0</v>
      </c>
      <c r="J29">
        <v>0</v>
      </c>
      <c r="K29">
        <v>4012844</v>
      </c>
    </row>
    <row r="30" spans="1:11" x14ac:dyDescent="0.25">
      <c r="A30" t="s">
        <v>261</v>
      </c>
      <c r="B30" t="s">
        <v>262</v>
      </c>
      <c r="C30" t="s">
        <v>182</v>
      </c>
      <c r="D30" t="s">
        <v>263</v>
      </c>
      <c r="E30">
        <v>0</v>
      </c>
      <c r="F30" t="s">
        <v>264</v>
      </c>
      <c r="G30">
        <v>1265969.8700000001</v>
      </c>
      <c r="H30">
        <v>588060</v>
      </c>
      <c r="I30">
        <v>0</v>
      </c>
      <c r="J30">
        <v>0</v>
      </c>
      <c r="K30">
        <v>1854029.87</v>
      </c>
    </row>
    <row r="31" spans="1:11" x14ac:dyDescent="0.25">
      <c r="A31" t="s">
        <v>267</v>
      </c>
      <c r="B31" t="s">
        <v>268</v>
      </c>
      <c r="C31" t="s">
        <v>182</v>
      </c>
      <c r="D31" t="s">
        <v>269</v>
      </c>
      <c r="E31">
        <v>433400</v>
      </c>
      <c r="F31" t="s">
        <v>270</v>
      </c>
      <c r="G31">
        <v>0</v>
      </c>
      <c r="H31">
        <v>0</v>
      </c>
      <c r="I31">
        <v>0</v>
      </c>
      <c r="J31">
        <v>0</v>
      </c>
      <c r="K31">
        <v>433400</v>
      </c>
    </row>
    <row r="32" spans="1:11" x14ac:dyDescent="0.25">
      <c r="A32" t="s">
        <v>271</v>
      </c>
      <c r="B32" t="s">
        <v>272</v>
      </c>
      <c r="C32" t="s">
        <v>182</v>
      </c>
      <c r="D32" t="s">
        <v>203</v>
      </c>
      <c r="E32">
        <v>0</v>
      </c>
      <c r="F32" t="s">
        <v>204</v>
      </c>
      <c r="G32">
        <v>477360</v>
      </c>
      <c r="H32">
        <v>0</v>
      </c>
      <c r="I32">
        <v>0</v>
      </c>
      <c r="J32">
        <v>0</v>
      </c>
      <c r="K32">
        <v>477360</v>
      </c>
    </row>
    <row r="33" spans="1:11" x14ac:dyDescent="0.25">
      <c r="A33" t="s">
        <v>273</v>
      </c>
      <c r="B33" t="s">
        <v>274</v>
      </c>
      <c r="C33" t="s">
        <v>182</v>
      </c>
      <c r="D33" t="s">
        <v>275</v>
      </c>
      <c r="E33">
        <v>0</v>
      </c>
      <c r="F33" t="s">
        <v>276</v>
      </c>
      <c r="G33">
        <v>3000000</v>
      </c>
      <c r="H33">
        <v>0</v>
      </c>
      <c r="I33">
        <v>0</v>
      </c>
      <c r="J33">
        <v>0</v>
      </c>
      <c r="K33">
        <v>3000000</v>
      </c>
    </row>
    <row r="34" spans="1:11" x14ac:dyDescent="0.25">
      <c r="A34" t="s">
        <v>277</v>
      </c>
      <c r="B34" t="s">
        <v>278</v>
      </c>
      <c r="C34" t="s">
        <v>182</v>
      </c>
      <c r="D34" t="s">
        <v>279</v>
      </c>
      <c r="E34">
        <v>1933824.99</v>
      </c>
      <c r="F34" t="s">
        <v>280</v>
      </c>
      <c r="G34">
        <v>30540126.57</v>
      </c>
      <c r="H34">
        <v>0</v>
      </c>
      <c r="I34">
        <v>0</v>
      </c>
      <c r="J34">
        <v>0</v>
      </c>
      <c r="K34">
        <v>32473951.559999999</v>
      </c>
    </row>
    <row r="35" spans="1:11" x14ac:dyDescent="0.25">
      <c r="A35" t="s">
        <v>281</v>
      </c>
      <c r="B35" t="s">
        <v>282</v>
      </c>
      <c r="C35" t="s">
        <v>182</v>
      </c>
      <c r="D35" t="s">
        <v>203</v>
      </c>
      <c r="E35">
        <v>0</v>
      </c>
      <c r="F35" t="s">
        <v>204</v>
      </c>
      <c r="G35">
        <v>3668831.4</v>
      </c>
      <c r="H35">
        <v>0</v>
      </c>
      <c r="I35">
        <v>0</v>
      </c>
      <c r="J35">
        <v>0</v>
      </c>
      <c r="K35">
        <v>3668831.4</v>
      </c>
    </row>
    <row r="36" spans="1:11" x14ac:dyDescent="0.25">
      <c r="A36" t="s">
        <v>283</v>
      </c>
      <c r="B36" t="s">
        <v>284</v>
      </c>
      <c r="C36" t="s">
        <v>182</v>
      </c>
      <c r="D36" t="s">
        <v>285</v>
      </c>
      <c r="E36">
        <v>0</v>
      </c>
      <c r="F36" t="s">
        <v>286</v>
      </c>
      <c r="G36">
        <v>1907010.82</v>
      </c>
      <c r="H36">
        <v>0</v>
      </c>
      <c r="I36">
        <v>0</v>
      </c>
      <c r="J36">
        <v>0</v>
      </c>
      <c r="K36">
        <v>1907010.82</v>
      </c>
    </row>
    <row r="37" spans="1:11" x14ac:dyDescent="0.25">
      <c r="A37" t="s">
        <v>856</v>
      </c>
      <c r="B37" t="s">
        <v>857</v>
      </c>
      <c r="C37" t="s">
        <v>182</v>
      </c>
      <c r="D37" t="s">
        <v>233</v>
      </c>
      <c r="E37">
        <v>307620</v>
      </c>
      <c r="F37" t="s">
        <v>234</v>
      </c>
      <c r="G37">
        <v>0</v>
      </c>
      <c r="H37">
        <v>0</v>
      </c>
      <c r="I37">
        <v>0</v>
      </c>
      <c r="J37">
        <v>0</v>
      </c>
      <c r="K37">
        <v>307620</v>
      </c>
    </row>
    <row r="38" spans="1:11" x14ac:dyDescent="0.25">
      <c r="A38" t="s">
        <v>287</v>
      </c>
      <c r="B38" t="s">
        <v>288</v>
      </c>
      <c r="C38" t="s">
        <v>182</v>
      </c>
      <c r="D38" t="s">
        <v>191</v>
      </c>
      <c r="E38">
        <v>1189511.56</v>
      </c>
      <c r="F38" t="s">
        <v>192</v>
      </c>
      <c r="G38">
        <v>3464729.33</v>
      </c>
      <c r="H38">
        <v>0</v>
      </c>
      <c r="I38">
        <v>0</v>
      </c>
      <c r="J38">
        <v>0</v>
      </c>
      <c r="K38">
        <v>4654240.8899999997</v>
      </c>
    </row>
    <row r="39" spans="1:11" x14ac:dyDescent="0.25">
      <c r="A39" t="s">
        <v>289</v>
      </c>
      <c r="B39" t="s">
        <v>290</v>
      </c>
      <c r="C39" t="s">
        <v>182</v>
      </c>
      <c r="D39" t="s">
        <v>237</v>
      </c>
      <c r="E39">
        <v>0</v>
      </c>
      <c r="F39" t="s">
        <v>238</v>
      </c>
      <c r="G39">
        <v>0</v>
      </c>
      <c r="H39">
        <v>0</v>
      </c>
      <c r="I39">
        <v>-0.01</v>
      </c>
      <c r="J39">
        <v>0</v>
      </c>
      <c r="K39">
        <v>-0.01</v>
      </c>
    </row>
    <row r="40" spans="1:11" x14ac:dyDescent="0.25">
      <c r="A40" t="s">
        <v>291</v>
      </c>
      <c r="B40" t="s">
        <v>292</v>
      </c>
      <c r="C40" t="s">
        <v>182</v>
      </c>
      <c r="D40" t="s">
        <v>293</v>
      </c>
      <c r="E40">
        <v>0</v>
      </c>
      <c r="F40" t="s">
        <v>294</v>
      </c>
      <c r="G40">
        <v>59632211.740000002</v>
      </c>
      <c r="H40">
        <v>0</v>
      </c>
      <c r="I40">
        <v>0</v>
      </c>
      <c r="J40">
        <v>0</v>
      </c>
      <c r="K40">
        <v>59632211.740000002</v>
      </c>
    </row>
    <row r="41" spans="1:11" x14ac:dyDescent="0.25">
      <c r="A41" t="s">
        <v>295</v>
      </c>
      <c r="B41" t="s">
        <v>296</v>
      </c>
      <c r="C41" t="s">
        <v>182</v>
      </c>
      <c r="D41" t="s">
        <v>297</v>
      </c>
      <c r="E41">
        <v>2225992.2599999998</v>
      </c>
      <c r="F41" t="s">
        <v>298</v>
      </c>
      <c r="G41">
        <v>8062131.5599999996</v>
      </c>
      <c r="H41">
        <v>0</v>
      </c>
      <c r="I41">
        <v>0</v>
      </c>
      <c r="J41">
        <v>0</v>
      </c>
      <c r="K41">
        <v>10288123.82</v>
      </c>
    </row>
    <row r="42" spans="1:11" x14ac:dyDescent="0.25">
      <c r="A42" t="s">
        <v>299</v>
      </c>
      <c r="B42" t="s">
        <v>300</v>
      </c>
      <c r="C42" t="s">
        <v>182</v>
      </c>
      <c r="D42" t="s">
        <v>215</v>
      </c>
      <c r="E42">
        <v>0</v>
      </c>
      <c r="F42" t="s">
        <v>216</v>
      </c>
      <c r="G42">
        <v>12913260.359999999</v>
      </c>
      <c r="H42">
        <v>0</v>
      </c>
      <c r="I42">
        <v>0</v>
      </c>
      <c r="J42">
        <v>0</v>
      </c>
      <c r="K42">
        <v>12913260.359999999</v>
      </c>
    </row>
    <row r="43" spans="1:11" x14ac:dyDescent="0.25">
      <c r="A43" t="s">
        <v>858</v>
      </c>
      <c r="B43" t="s">
        <v>859</v>
      </c>
      <c r="C43" t="s">
        <v>182</v>
      </c>
      <c r="D43" t="s">
        <v>313</v>
      </c>
      <c r="E43">
        <v>1972300</v>
      </c>
      <c r="F43" t="s">
        <v>314</v>
      </c>
      <c r="G43">
        <v>0</v>
      </c>
      <c r="H43">
        <v>0</v>
      </c>
      <c r="I43">
        <v>0</v>
      </c>
      <c r="J43">
        <v>0</v>
      </c>
      <c r="K43">
        <v>1972300</v>
      </c>
    </row>
    <row r="44" spans="1:11" x14ac:dyDescent="0.25">
      <c r="A44" t="s">
        <v>301</v>
      </c>
      <c r="B44" t="s">
        <v>302</v>
      </c>
      <c r="C44" t="s">
        <v>182</v>
      </c>
      <c r="D44" t="s">
        <v>303</v>
      </c>
      <c r="E44">
        <v>0</v>
      </c>
      <c r="F44" t="s">
        <v>304</v>
      </c>
      <c r="G44">
        <v>1046203.89</v>
      </c>
      <c r="H44">
        <v>0</v>
      </c>
      <c r="I44">
        <v>0</v>
      </c>
      <c r="J44">
        <v>0</v>
      </c>
      <c r="K44">
        <v>1046203.89</v>
      </c>
    </row>
    <row r="45" spans="1:11" x14ac:dyDescent="0.25">
      <c r="A45" t="s">
        <v>305</v>
      </c>
      <c r="B45" t="s">
        <v>306</v>
      </c>
      <c r="C45" t="s">
        <v>182</v>
      </c>
      <c r="D45" t="s">
        <v>233</v>
      </c>
      <c r="E45">
        <v>380000</v>
      </c>
      <c r="F45" t="s">
        <v>234</v>
      </c>
      <c r="G45">
        <v>0</v>
      </c>
      <c r="H45">
        <v>0</v>
      </c>
      <c r="I45">
        <v>0</v>
      </c>
      <c r="J45">
        <v>0</v>
      </c>
      <c r="K45">
        <v>380000</v>
      </c>
    </row>
    <row r="46" spans="1:11" x14ac:dyDescent="0.25">
      <c r="A46" t="s">
        <v>307</v>
      </c>
      <c r="B46" t="s">
        <v>308</v>
      </c>
      <c r="C46" t="s">
        <v>182</v>
      </c>
      <c r="D46" t="s">
        <v>237</v>
      </c>
      <c r="E46">
        <v>0</v>
      </c>
      <c r="F46" t="s">
        <v>238</v>
      </c>
      <c r="G46">
        <v>0</v>
      </c>
      <c r="H46">
        <v>0</v>
      </c>
      <c r="I46">
        <v>0</v>
      </c>
      <c r="J46">
        <v>217</v>
      </c>
      <c r="K46">
        <v>217</v>
      </c>
    </row>
    <row r="47" spans="1:11" x14ac:dyDescent="0.25">
      <c r="A47" t="s">
        <v>309</v>
      </c>
      <c r="B47" t="s">
        <v>310</v>
      </c>
      <c r="C47" t="s">
        <v>182</v>
      </c>
      <c r="D47" t="s">
        <v>311</v>
      </c>
      <c r="E47">
        <v>1210869.78</v>
      </c>
      <c r="F47" t="s">
        <v>312</v>
      </c>
      <c r="G47">
        <v>0</v>
      </c>
      <c r="H47">
        <v>0</v>
      </c>
      <c r="I47">
        <v>0</v>
      </c>
      <c r="J47">
        <v>0</v>
      </c>
      <c r="K47">
        <v>1210869.78</v>
      </c>
    </row>
    <row r="48" spans="1:11" x14ac:dyDescent="0.25">
      <c r="A48" t="s">
        <v>315</v>
      </c>
      <c r="B48" t="s">
        <v>316</v>
      </c>
      <c r="C48" t="s">
        <v>182</v>
      </c>
      <c r="D48" t="s">
        <v>317</v>
      </c>
      <c r="E48">
        <v>0</v>
      </c>
      <c r="F48" t="s">
        <v>318</v>
      </c>
      <c r="G48">
        <v>3201085.01</v>
      </c>
      <c r="H48">
        <v>0</v>
      </c>
      <c r="I48">
        <v>0</v>
      </c>
      <c r="J48">
        <v>0</v>
      </c>
      <c r="K48">
        <v>3201085.01</v>
      </c>
    </row>
    <row r="49" spans="1:11" x14ac:dyDescent="0.25">
      <c r="A49" t="s">
        <v>319</v>
      </c>
      <c r="B49" t="s">
        <v>320</v>
      </c>
      <c r="C49" t="s">
        <v>182</v>
      </c>
      <c r="D49" t="s">
        <v>233</v>
      </c>
      <c r="E49">
        <v>2715120</v>
      </c>
      <c r="F49" t="s">
        <v>234</v>
      </c>
      <c r="G49">
        <v>0</v>
      </c>
      <c r="H49">
        <v>0</v>
      </c>
      <c r="I49">
        <v>0</v>
      </c>
      <c r="J49">
        <v>0</v>
      </c>
      <c r="K49">
        <v>2715120</v>
      </c>
    </row>
    <row r="50" spans="1:11" x14ac:dyDescent="0.25">
      <c r="A50" t="s">
        <v>321</v>
      </c>
      <c r="B50" t="s">
        <v>322</v>
      </c>
      <c r="C50" t="s">
        <v>182</v>
      </c>
      <c r="D50" t="s">
        <v>323</v>
      </c>
      <c r="E50">
        <v>13110797</v>
      </c>
      <c r="F50" t="s">
        <v>324</v>
      </c>
      <c r="G50">
        <v>2419458.21</v>
      </c>
      <c r="H50">
        <v>0</v>
      </c>
      <c r="I50">
        <v>0</v>
      </c>
      <c r="J50">
        <v>0</v>
      </c>
      <c r="K50">
        <v>15530255.210000001</v>
      </c>
    </row>
    <row r="51" spans="1:11" x14ac:dyDescent="0.25">
      <c r="A51" t="s">
        <v>325</v>
      </c>
      <c r="B51" t="s">
        <v>326</v>
      </c>
      <c r="C51" t="s">
        <v>182</v>
      </c>
      <c r="D51" t="s">
        <v>327</v>
      </c>
      <c r="E51">
        <v>1904540</v>
      </c>
      <c r="F51" t="s">
        <v>328</v>
      </c>
      <c r="G51">
        <v>0</v>
      </c>
      <c r="H51">
        <v>0</v>
      </c>
      <c r="I51">
        <v>0</v>
      </c>
      <c r="J51">
        <v>0</v>
      </c>
      <c r="K51">
        <v>1904540</v>
      </c>
    </row>
    <row r="52" spans="1:11" x14ac:dyDescent="0.25">
      <c r="A52" t="s">
        <v>329</v>
      </c>
      <c r="B52" t="s">
        <v>330</v>
      </c>
      <c r="C52" t="s">
        <v>182</v>
      </c>
      <c r="D52" t="s">
        <v>241</v>
      </c>
      <c r="E52">
        <v>30464400</v>
      </c>
      <c r="F52" t="s">
        <v>242</v>
      </c>
      <c r="G52">
        <v>88059550</v>
      </c>
      <c r="H52">
        <v>142789320</v>
      </c>
      <c r="I52">
        <v>0</v>
      </c>
      <c r="J52">
        <v>0</v>
      </c>
      <c r="K52">
        <v>261313270</v>
      </c>
    </row>
    <row r="53" spans="1:11" x14ac:dyDescent="0.25">
      <c r="A53" t="s">
        <v>331</v>
      </c>
      <c r="B53" t="s">
        <v>332</v>
      </c>
      <c r="C53" t="s">
        <v>182</v>
      </c>
      <c r="D53" t="s">
        <v>333</v>
      </c>
      <c r="E53">
        <v>0</v>
      </c>
      <c r="F53" t="s">
        <v>334</v>
      </c>
      <c r="G53">
        <v>404951737.51999998</v>
      </c>
      <c r="H53">
        <v>181353717.87</v>
      </c>
      <c r="I53">
        <v>0</v>
      </c>
      <c r="J53">
        <v>0</v>
      </c>
      <c r="K53">
        <v>586305455.38999999</v>
      </c>
    </row>
    <row r="54" spans="1:11" x14ac:dyDescent="0.25">
      <c r="A54" t="s">
        <v>335</v>
      </c>
      <c r="B54" t="s">
        <v>332</v>
      </c>
      <c r="C54" t="s">
        <v>182</v>
      </c>
      <c r="D54" t="s">
        <v>333</v>
      </c>
      <c r="E54">
        <v>71164070.260000005</v>
      </c>
      <c r="F54" t="s">
        <v>334</v>
      </c>
      <c r="G54">
        <v>67301938.079999998</v>
      </c>
      <c r="H54">
        <v>0</v>
      </c>
      <c r="I54">
        <v>0</v>
      </c>
      <c r="J54">
        <v>0</v>
      </c>
      <c r="K54">
        <v>138466008.34</v>
      </c>
    </row>
    <row r="55" spans="1:11" x14ac:dyDescent="0.25">
      <c r="A55" t="s">
        <v>336</v>
      </c>
      <c r="B55" t="s">
        <v>332</v>
      </c>
      <c r="C55" t="s">
        <v>182</v>
      </c>
      <c r="D55" t="s">
        <v>333</v>
      </c>
      <c r="E55">
        <v>0</v>
      </c>
      <c r="F55" t="s">
        <v>334</v>
      </c>
      <c r="G55">
        <v>207442045.97</v>
      </c>
      <c r="H55">
        <v>242928196.97999999</v>
      </c>
      <c r="I55">
        <v>0</v>
      </c>
      <c r="J55">
        <v>0</v>
      </c>
      <c r="K55">
        <v>450370242.94999999</v>
      </c>
    </row>
    <row r="56" spans="1:11" x14ac:dyDescent="0.25">
      <c r="A56" t="s">
        <v>337</v>
      </c>
      <c r="B56" t="s">
        <v>338</v>
      </c>
      <c r="C56" t="s">
        <v>182</v>
      </c>
      <c r="D56" t="s">
        <v>339</v>
      </c>
      <c r="E56">
        <v>0</v>
      </c>
      <c r="F56" t="s">
        <v>340</v>
      </c>
      <c r="G56">
        <v>0</v>
      </c>
      <c r="H56">
        <v>0</v>
      </c>
      <c r="I56">
        <v>0</v>
      </c>
      <c r="J56">
        <v>4157535.95</v>
      </c>
      <c r="K56">
        <v>4157535.95</v>
      </c>
    </row>
    <row r="57" spans="1:11" x14ac:dyDescent="0.25">
      <c r="A57" t="s">
        <v>341</v>
      </c>
      <c r="B57" t="s">
        <v>342</v>
      </c>
      <c r="C57" t="s">
        <v>182</v>
      </c>
      <c r="D57" t="s">
        <v>233</v>
      </c>
      <c r="E57">
        <v>0</v>
      </c>
      <c r="F57" t="s">
        <v>234</v>
      </c>
      <c r="G57">
        <v>4971931.2</v>
      </c>
      <c r="H57">
        <v>0</v>
      </c>
      <c r="I57">
        <v>0</v>
      </c>
      <c r="J57">
        <v>0</v>
      </c>
      <c r="K57">
        <v>4971931.2</v>
      </c>
    </row>
    <row r="58" spans="1:11" x14ac:dyDescent="0.25">
      <c r="A58" t="s">
        <v>343</v>
      </c>
      <c r="B58" t="s">
        <v>344</v>
      </c>
      <c r="C58" t="s">
        <v>182</v>
      </c>
      <c r="D58" t="s">
        <v>345</v>
      </c>
      <c r="E58">
        <v>0</v>
      </c>
      <c r="F58" t="s">
        <v>346</v>
      </c>
      <c r="G58">
        <v>2784004.16</v>
      </c>
      <c r="H58">
        <v>0</v>
      </c>
      <c r="I58">
        <v>0</v>
      </c>
      <c r="J58">
        <v>0</v>
      </c>
      <c r="K58">
        <v>2784004.16</v>
      </c>
    </row>
    <row r="59" spans="1:11" x14ac:dyDescent="0.25">
      <c r="A59" t="s">
        <v>347</v>
      </c>
      <c r="B59" t="s">
        <v>348</v>
      </c>
      <c r="C59" t="s">
        <v>182</v>
      </c>
      <c r="D59" t="s">
        <v>313</v>
      </c>
      <c r="E59">
        <v>0</v>
      </c>
      <c r="F59" t="s">
        <v>314</v>
      </c>
      <c r="G59">
        <v>0</v>
      </c>
      <c r="H59">
        <v>0</v>
      </c>
      <c r="I59">
        <v>0</v>
      </c>
      <c r="J59">
        <v>-204.43</v>
      </c>
      <c r="K59">
        <v>-204.43</v>
      </c>
    </row>
    <row r="60" spans="1:11" x14ac:dyDescent="0.25">
      <c r="A60" t="s">
        <v>349</v>
      </c>
      <c r="B60" t="s">
        <v>350</v>
      </c>
      <c r="C60" t="s">
        <v>182</v>
      </c>
      <c r="D60" t="s">
        <v>203</v>
      </c>
      <c r="E60">
        <v>-99244.2</v>
      </c>
      <c r="F60" t="s">
        <v>204</v>
      </c>
      <c r="G60">
        <v>4766649.8</v>
      </c>
      <c r="H60">
        <v>0</v>
      </c>
      <c r="I60">
        <v>0</v>
      </c>
      <c r="J60">
        <v>0</v>
      </c>
      <c r="K60">
        <v>4667405.5999999996</v>
      </c>
    </row>
    <row r="61" spans="1:11" x14ac:dyDescent="0.25">
      <c r="A61" t="s">
        <v>351</v>
      </c>
      <c r="B61" t="s">
        <v>352</v>
      </c>
      <c r="C61" t="s">
        <v>182</v>
      </c>
      <c r="D61" t="s">
        <v>203</v>
      </c>
      <c r="E61">
        <v>1206132.1499999999</v>
      </c>
      <c r="F61" t="s">
        <v>204</v>
      </c>
      <c r="G61">
        <v>20753025.239999998</v>
      </c>
      <c r="H61">
        <v>0</v>
      </c>
      <c r="I61">
        <v>0</v>
      </c>
      <c r="J61">
        <v>0</v>
      </c>
      <c r="K61">
        <v>21959157.390000001</v>
      </c>
    </row>
    <row r="62" spans="1:11" x14ac:dyDescent="0.25">
      <c r="A62" t="s">
        <v>353</v>
      </c>
      <c r="B62" t="s">
        <v>354</v>
      </c>
      <c r="C62" t="s">
        <v>182</v>
      </c>
      <c r="D62" t="s">
        <v>195</v>
      </c>
      <c r="E62">
        <v>3870971.5</v>
      </c>
      <c r="F62" t="s">
        <v>196</v>
      </c>
      <c r="G62">
        <v>561739.11</v>
      </c>
      <c r="H62">
        <v>-8090168.9000000004</v>
      </c>
      <c r="I62">
        <v>3551350</v>
      </c>
      <c r="J62">
        <v>0</v>
      </c>
      <c r="K62">
        <v>-106108.29</v>
      </c>
    </row>
    <row r="63" spans="1:11" x14ac:dyDescent="0.25">
      <c r="A63" t="s">
        <v>355</v>
      </c>
      <c r="B63" t="s">
        <v>356</v>
      </c>
      <c r="C63" t="s">
        <v>182</v>
      </c>
      <c r="D63" t="s">
        <v>357</v>
      </c>
      <c r="E63">
        <v>0</v>
      </c>
      <c r="F63" t="s">
        <v>358</v>
      </c>
      <c r="G63">
        <v>2071550.25</v>
      </c>
      <c r="H63">
        <v>320166</v>
      </c>
      <c r="I63">
        <v>0</v>
      </c>
      <c r="J63">
        <v>0</v>
      </c>
      <c r="K63">
        <v>2391716.25</v>
      </c>
    </row>
    <row r="64" spans="1:11" x14ac:dyDescent="0.25">
      <c r="A64" t="s">
        <v>359</v>
      </c>
      <c r="B64" t="s">
        <v>360</v>
      </c>
      <c r="C64" t="s">
        <v>182</v>
      </c>
      <c r="D64" t="s">
        <v>361</v>
      </c>
      <c r="E64">
        <v>6979446.4800000004</v>
      </c>
      <c r="F64" t="s">
        <v>362</v>
      </c>
      <c r="G64">
        <v>2069102.78</v>
      </c>
      <c r="H64">
        <v>0</v>
      </c>
      <c r="I64">
        <v>0</v>
      </c>
      <c r="J64">
        <v>0</v>
      </c>
      <c r="K64">
        <v>9048549.2599999998</v>
      </c>
    </row>
    <row r="65" spans="1:11" x14ac:dyDescent="0.25">
      <c r="A65" t="s">
        <v>363</v>
      </c>
      <c r="B65" t="s">
        <v>364</v>
      </c>
      <c r="C65" t="s">
        <v>182</v>
      </c>
      <c r="D65" t="s">
        <v>365</v>
      </c>
      <c r="E65">
        <v>296074.28000000003</v>
      </c>
      <c r="F65" t="s">
        <v>366</v>
      </c>
      <c r="G65">
        <v>235841.38</v>
      </c>
      <c r="H65">
        <v>0</v>
      </c>
      <c r="I65">
        <v>0</v>
      </c>
      <c r="J65">
        <v>0</v>
      </c>
      <c r="K65">
        <v>531915.66</v>
      </c>
    </row>
    <row r="66" spans="1:11" x14ac:dyDescent="0.25">
      <c r="A66" t="s">
        <v>367</v>
      </c>
      <c r="B66" t="s">
        <v>368</v>
      </c>
      <c r="C66" t="s">
        <v>182</v>
      </c>
      <c r="D66" t="s">
        <v>263</v>
      </c>
      <c r="E66">
        <v>0</v>
      </c>
      <c r="F66" t="s">
        <v>264</v>
      </c>
      <c r="G66">
        <v>1493843.2</v>
      </c>
      <c r="H66">
        <v>0</v>
      </c>
      <c r="I66">
        <v>0</v>
      </c>
      <c r="J66">
        <v>0</v>
      </c>
      <c r="K66">
        <v>1493843.2</v>
      </c>
    </row>
    <row r="67" spans="1:11" x14ac:dyDescent="0.25">
      <c r="A67" t="s">
        <v>369</v>
      </c>
      <c r="B67" t="s">
        <v>370</v>
      </c>
      <c r="C67" t="s">
        <v>182</v>
      </c>
      <c r="D67" t="s">
        <v>203</v>
      </c>
      <c r="E67">
        <v>505100.38</v>
      </c>
      <c r="F67" t="s">
        <v>204</v>
      </c>
      <c r="G67">
        <v>0</v>
      </c>
      <c r="H67">
        <v>0</v>
      </c>
      <c r="I67">
        <v>0</v>
      </c>
      <c r="J67">
        <v>0</v>
      </c>
      <c r="K67">
        <v>505100.38</v>
      </c>
    </row>
    <row r="68" spans="1:11" x14ac:dyDescent="0.25">
      <c r="A68" t="s">
        <v>371</v>
      </c>
      <c r="B68" t="s">
        <v>372</v>
      </c>
      <c r="C68" t="s">
        <v>182</v>
      </c>
      <c r="D68" t="s">
        <v>203</v>
      </c>
      <c r="E68">
        <v>2543157.7999999998</v>
      </c>
      <c r="F68" t="s">
        <v>204</v>
      </c>
      <c r="G68">
        <v>0</v>
      </c>
      <c r="H68">
        <v>0</v>
      </c>
      <c r="I68">
        <v>0</v>
      </c>
      <c r="J68">
        <v>0</v>
      </c>
      <c r="K68">
        <v>2543157.7999999998</v>
      </c>
    </row>
    <row r="69" spans="1:11" x14ac:dyDescent="0.25">
      <c r="A69" t="s">
        <v>373</v>
      </c>
      <c r="B69" t="s">
        <v>374</v>
      </c>
      <c r="C69" t="s">
        <v>182</v>
      </c>
      <c r="D69" t="s">
        <v>375</v>
      </c>
      <c r="E69">
        <v>0</v>
      </c>
      <c r="F69" t="s">
        <v>376</v>
      </c>
      <c r="G69">
        <v>0</v>
      </c>
      <c r="H69">
        <v>11170000</v>
      </c>
      <c r="I69">
        <v>0</v>
      </c>
      <c r="J69">
        <v>0</v>
      </c>
      <c r="K69">
        <v>11170000</v>
      </c>
    </row>
    <row r="70" spans="1:11" x14ac:dyDescent="0.25">
      <c r="A70" t="s">
        <v>377</v>
      </c>
      <c r="B70" t="s">
        <v>378</v>
      </c>
      <c r="C70" t="s">
        <v>182</v>
      </c>
      <c r="D70" t="s">
        <v>379</v>
      </c>
      <c r="E70">
        <v>18445217.800000001</v>
      </c>
      <c r="F70" t="s">
        <v>380</v>
      </c>
      <c r="G70">
        <v>25580602.93</v>
      </c>
      <c r="H70">
        <v>35205773.340000004</v>
      </c>
      <c r="I70">
        <v>0</v>
      </c>
      <c r="J70">
        <v>0</v>
      </c>
      <c r="K70">
        <v>79231594.069999993</v>
      </c>
    </row>
    <row r="71" spans="1:11" x14ac:dyDescent="0.25">
      <c r="A71" t="s">
        <v>381</v>
      </c>
      <c r="B71" t="s">
        <v>382</v>
      </c>
      <c r="C71" t="s">
        <v>182</v>
      </c>
      <c r="D71" t="s">
        <v>383</v>
      </c>
      <c r="E71">
        <v>35000</v>
      </c>
      <c r="F71" t="s">
        <v>384</v>
      </c>
      <c r="G71">
        <v>2240000</v>
      </c>
      <c r="H71">
        <v>0</v>
      </c>
      <c r="I71">
        <v>0</v>
      </c>
      <c r="J71">
        <v>0</v>
      </c>
      <c r="K71">
        <v>2275000</v>
      </c>
    </row>
    <row r="72" spans="1:11" x14ac:dyDescent="0.25">
      <c r="A72" t="s">
        <v>385</v>
      </c>
      <c r="B72" t="s">
        <v>386</v>
      </c>
      <c r="C72" t="s">
        <v>182</v>
      </c>
      <c r="D72" t="s">
        <v>357</v>
      </c>
      <c r="E72">
        <v>1186768</v>
      </c>
      <c r="F72" t="s">
        <v>358</v>
      </c>
      <c r="G72">
        <v>7318789.0499999998</v>
      </c>
      <c r="H72">
        <v>0</v>
      </c>
      <c r="I72">
        <v>0</v>
      </c>
      <c r="J72">
        <v>0</v>
      </c>
      <c r="K72">
        <v>8505557.0500000007</v>
      </c>
    </row>
    <row r="73" spans="1:11" x14ac:dyDescent="0.25">
      <c r="A73" t="s">
        <v>387</v>
      </c>
      <c r="B73" t="s">
        <v>388</v>
      </c>
      <c r="C73" t="s">
        <v>182</v>
      </c>
      <c r="D73" t="s">
        <v>389</v>
      </c>
      <c r="E73">
        <v>0</v>
      </c>
      <c r="F73" t="s">
        <v>390</v>
      </c>
      <c r="G73">
        <v>112999.99</v>
      </c>
      <c r="H73">
        <v>0</v>
      </c>
      <c r="I73">
        <v>0</v>
      </c>
      <c r="J73">
        <v>0</v>
      </c>
      <c r="K73">
        <v>112999.99</v>
      </c>
    </row>
    <row r="74" spans="1:11" x14ac:dyDescent="0.25">
      <c r="A74" t="s">
        <v>391</v>
      </c>
      <c r="B74" t="s">
        <v>392</v>
      </c>
      <c r="C74" t="s">
        <v>182</v>
      </c>
      <c r="D74" t="s">
        <v>215</v>
      </c>
      <c r="E74">
        <v>0</v>
      </c>
      <c r="F74" t="s">
        <v>216</v>
      </c>
      <c r="G74">
        <v>11499840</v>
      </c>
      <c r="H74">
        <v>11912469.359999999</v>
      </c>
      <c r="I74">
        <v>0</v>
      </c>
      <c r="J74">
        <v>0</v>
      </c>
      <c r="K74">
        <v>23412309.359999999</v>
      </c>
    </row>
    <row r="75" spans="1:11" x14ac:dyDescent="0.25">
      <c r="A75" t="s">
        <v>393</v>
      </c>
      <c r="B75" t="s">
        <v>394</v>
      </c>
      <c r="C75" t="s">
        <v>182</v>
      </c>
      <c r="D75" t="s">
        <v>395</v>
      </c>
      <c r="E75">
        <v>0</v>
      </c>
      <c r="F75" t="s">
        <v>396</v>
      </c>
      <c r="G75">
        <v>0</v>
      </c>
      <c r="H75">
        <v>2445776.4500000002</v>
      </c>
      <c r="I75">
        <v>0</v>
      </c>
      <c r="J75">
        <v>0</v>
      </c>
      <c r="K75">
        <v>2445776.4500000002</v>
      </c>
    </row>
    <row r="76" spans="1:11" x14ac:dyDescent="0.25">
      <c r="A76" t="s">
        <v>397</v>
      </c>
      <c r="B76" t="s">
        <v>398</v>
      </c>
      <c r="C76" t="s">
        <v>182</v>
      </c>
      <c r="D76" t="s">
        <v>399</v>
      </c>
      <c r="E76">
        <v>0</v>
      </c>
      <c r="F76" t="s">
        <v>400</v>
      </c>
      <c r="G76">
        <v>0</v>
      </c>
      <c r="H76">
        <v>0</v>
      </c>
      <c r="I76">
        <v>17577.330000000002</v>
      </c>
      <c r="J76">
        <v>0</v>
      </c>
      <c r="K76">
        <v>17577.330000000002</v>
      </c>
    </row>
    <row r="77" spans="1:11" x14ac:dyDescent="0.25">
      <c r="A77" t="s">
        <v>401</v>
      </c>
      <c r="B77" t="s">
        <v>402</v>
      </c>
      <c r="C77" t="s">
        <v>182</v>
      </c>
      <c r="D77" t="s">
        <v>237</v>
      </c>
      <c r="E77">
        <v>0</v>
      </c>
      <c r="F77" t="s">
        <v>238</v>
      </c>
      <c r="G77">
        <v>3080000</v>
      </c>
      <c r="H77">
        <v>0</v>
      </c>
      <c r="I77">
        <v>0</v>
      </c>
      <c r="J77">
        <v>0</v>
      </c>
      <c r="K77">
        <v>3080000</v>
      </c>
    </row>
    <row r="78" spans="1:11" x14ac:dyDescent="0.25">
      <c r="A78" t="s">
        <v>403</v>
      </c>
      <c r="B78" t="s">
        <v>404</v>
      </c>
      <c r="C78" t="s">
        <v>182</v>
      </c>
      <c r="D78" t="s">
        <v>311</v>
      </c>
      <c r="E78">
        <v>4296000.9400000004</v>
      </c>
      <c r="F78" t="s">
        <v>312</v>
      </c>
      <c r="G78">
        <v>17332002.489999998</v>
      </c>
      <c r="H78">
        <v>0</v>
      </c>
      <c r="I78">
        <v>0</v>
      </c>
      <c r="J78">
        <v>0</v>
      </c>
      <c r="K78">
        <v>21628003.43</v>
      </c>
    </row>
    <row r="79" spans="1:11" x14ac:dyDescent="0.25">
      <c r="A79" t="s">
        <v>405</v>
      </c>
      <c r="B79" t="s">
        <v>406</v>
      </c>
      <c r="C79" t="s">
        <v>182</v>
      </c>
      <c r="D79" t="s">
        <v>407</v>
      </c>
      <c r="E79">
        <v>2797873.6</v>
      </c>
      <c r="F79" t="s">
        <v>408</v>
      </c>
      <c r="G79">
        <v>8490514.1600000001</v>
      </c>
      <c r="H79">
        <v>0</v>
      </c>
      <c r="I79">
        <v>0</v>
      </c>
      <c r="J79">
        <v>0</v>
      </c>
      <c r="K79">
        <v>11288387.76</v>
      </c>
    </row>
    <row r="80" spans="1:11" x14ac:dyDescent="0.25">
      <c r="A80" t="s">
        <v>409</v>
      </c>
      <c r="B80" t="s">
        <v>410</v>
      </c>
      <c r="C80" t="s">
        <v>182</v>
      </c>
      <c r="D80" t="s">
        <v>411</v>
      </c>
      <c r="E80">
        <v>2752731.31</v>
      </c>
      <c r="F80" t="s">
        <v>412</v>
      </c>
      <c r="G80">
        <v>0</v>
      </c>
      <c r="H80">
        <v>0</v>
      </c>
      <c r="I80">
        <v>0</v>
      </c>
      <c r="J80">
        <v>0</v>
      </c>
      <c r="K80">
        <v>2752731.31</v>
      </c>
    </row>
    <row r="81" spans="1:11" x14ac:dyDescent="0.25">
      <c r="A81" t="s">
        <v>413</v>
      </c>
      <c r="B81" t="s">
        <v>414</v>
      </c>
      <c r="C81" t="s">
        <v>182</v>
      </c>
      <c r="D81" t="s">
        <v>191</v>
      </c>
      <c r="E81">
        <v>153109.37</v>
      </c>
      <c r="F81" t="s">
        <v>192</v>
      </c>
      <c r="G81">
        <v>2083664.13</v>
      </c>
      <c r="H81">
        <v>128432.85</v>
      </c>
      <c r="I81">
        <v>0</v>
      </c>
      <c r="J81">
        <v>0</v>
      </c>
      <c r="K81">
        <v>2365206.35</v>
      </c>
    </row>
    <row r="82" spans="1:11" x14ac:dyDescent="0.25">
      <c r="A82" t="s">
        <v>415</v>
      </c>
      <c r="B82" t="s">
        <v>416</v>
      </c>
      <c r="C82" t="s">
        <v>182</v>
      </c>
      <c r="D82" t="s">
        <v>191</v>
      </c>
      <c r="E82">
        <v>135043.53</v>
      </c>
      <c r="F82" t="s">
        <v>192</v>
      </c>
      <c r="G82">
        <v>0</v>
      </c>
      <c r="H82">
        <v>0</v>
      </c>
      <c r="I82">
        <v>0</v>
      </c>
      <c r="J82">
        <v>0</v>
      </c>
      <c r="K82">
        <v>135043.53</v>
      </c>
    </row>
    <row r="83" spans="1:11" x14ac:dyDescent="0.25">
      <c r="A83" t="s">
        <v>417</v>
      </c>
      <c r="B83" t="s">
        <v>418</v>
      </c>
      <c r="C83" t="s">
        <v>182</v>
      </c>
      <c r="D83" t="s">
        <v>237</v>
      </c>
      <c r="E83">
        <v>0</v>
      </c>
      <c r="F83" t="s">
        <v>238</v>
      </c>
      <c r="G83">
        <v>90750</v>
      </c>
      <c r="H83">
        <v>0</v>
      </c>
      <c r="I83">
        <v>0</v>
      </c>
      <c r="J83">
        <v>0</v>
      </c>
      <c r="K83">
        <v>90750</v>
      </c>
    </row>
    <row r="84" spans="1:11" x14ac:dyDescent="0.25">
      <c r="A84" t="s">
        <v>419</v>
      </c>
      <c r="B84" t="s">
        <v>420</v>
      </c>
      <c r="C84" t="s">
        <v>182</v>
      </c>
      <c r="D84" t="s">
        <v>203</v>
      </c>
      <c r="E84">
        <v>0</v>
      </c>
      <c r="F84" t="s">
        <v>204</v>
      </c>
      <c r="G84">
        <v>979083.87</v>
      </c>
      <c r="H84">
        <v>0</v>
      </c>
      <c r="I84">
        <v>0</v>
      </c>
      <c r="J84">
        <v>0</v>
      </c>
      <c r="K84">
        <v>979083.87</v>
      </c>
    </row>
    <row r="85" spans="1:11" x14ac:dyDescent="0.25">
      <c r="A85" t="s">
        <v>421</v>
      </c>
      <c r="B85" t="s">
        <v>422</v>
      </c>
      <c r="C85" t="s">
        <v>182</v>
      </c>
      <c r="D85" t="s">
        <v>183</v>
      </c>
      <c r="E85">
        <v>715981.2</v>
      </c>
      <c r="F85" t="s">
        <v>184</v>
      </c>
      <c r="G85">
        <v>0</v>
      </c>
      <c r="H85">
        <v>0</v>
      </c>
      <c r="I85">
        <v>0</v>
      </c>
      <c r="J85">
        <v>0</v>
      </c>
      <c r="K85">
        <v>715981.2</v>
      </c>
    </row>
    <row r="86" spans="1:11" x14ac:dyDescent="0.25">
      <c r="A86" t="s">
        <v>423</v>
      </c>
      <c r="B86" t="s">
        <v>424</v>
      </c>
      <c r="C86" t="s">
        <v>182</v>
      </c>
      <c r="D86" t="s">
        <v>313</v>
      </c>
      <c r="E86">
        <v>0</v>
      </c>
      <c r="F86" t="s">
        <v>314</v>
      </c>
      <c r="G86">
        <v>4986907.49</v>
      </c>
      <c r="H86">
        <v>0</v>
      </c>
      <c r="I86">
        <v>0</v>
      </c>
      <c r="J86">
        <v>0</v>
      </c>
      <c r="K86">
        <v>4986907.49</v>
      </c>
    </row>
    <row r="87" spans="1:11" x14ac:dyDescent="0.25">
      <c r="A87" t="s">
        <v>425</v>
      </c>
      <c r="B87" t="s">
        <v>426</v>
      </c>
      <c r="C87" t="s">
        <v>182</v>
      </c>
      <c r="D87" t="s">
        <v>345</v>
      </c>
      <c r="E87">
        <v>0</v>
      </c>
      <c r="F87" t="s">
        <v>346</v>
      </c>
      <c r="G87">
        <v>0</v>
      </c>
      <c r="H87">
        <v>290181.01</v>
      </c>
      <c r="I87">
        <v>0</v>
      </c>
      <c r="J87">
        <v>0</v>
      </c>
      <c r="K87">
        <v>290181.01</v>
      </c>
    </row>
    <row r="88" spans="1:11" x14ac:dyDescent="0.25">
      <c r="A88" t="s">
        <v>427</v>
      </c>
      <c r="B88" t="s">
        <v>428</v>
      </c>
      <c r="C88" t="s">
        <v>182</v>
      </c>
      <c r="D88" t="s">
        <v>279</v>
      </c>
      <c r="E88">
        <v>588573.68999999994</v>
      </c>
      <c r="F88" t="s">
        <v>280</v>
      </c>
      <c r="G88">
        <v>1734028.91</v>
      </c>
      <c r="H88">
        <v>0</v>
      </c>
      <c r="I88">
        <v>0</v>
      </c>
      <c r="J88">
        <v>0</v>
      </c>
      <c r="K88">
        <v>2322602.6</v>
      </c>
    </row>
    <row r="89" spans="1:11" x14ac:dyDescent="0.25">
      <c r="A89" t="s">
        <v>429</v>
      </c>
      <c r="B89" t="s">
        <v>430</v>
      </c>
      <c r="C89" t="s">
        <v>182</v>
      </c>
      <c r="D89" t="s">
        <v>293</v>
      </c>
      <c r="E89">
        <v>86993905.680000007</v>
      </c>
      <c r="F89" t="s">
        <v>294</v>
      </c>
      <c r="G89">
        <v>0</v>
      </c>
      <c r="H89">
        <v>66722681.07</v>
      </c>
      <c r="I89">
        <v>0</v>
      </c>
      <c r="J89">
        <v>0</v>
      </c>
      <c r="K89">
        <v>153716586.75</v>
      </c>
    </row>
    <row r="90" spans="1:11" x14ac:dyDescent="0.25">
      <c r="A90" t="s">
        <v>431</v>
      </c>
      <c r="B90" t="s">
        <v>432</v>
      </c>
      <c r="C90" t="s">
        <v>182</v>
      </c>
      <c r="D90" t="s">
        <v>317</v>
      </c>
      <c r="E90">
        <v>1947931.45</v>
      </c>
      <c r="F90" t="s">
        <v>318</v>
      </c>
      <c r="G90">
        <v>0</v>
      </c>
      <c r="H90">
        <v>0</v>
      </c>
      <c r="I90">
        <v>0</v>
      </c>
      <c r="J90">
        <v>0</v>
      </c>
      <c r="K90">
        <v>1947931.45</v>
      </c>
    </row>
    <row r="91" spans="1:11" x14ac:dyDescent="0.25">
      <c r="A91" t="s">
        <v>433</v>
      </c>
      <c r="B91" t="s">
        <v>434</v>
      </c>
      <c r="C91" t="s">
        <v>182</v>
      </c>
      <c r="D91" t="s">
        <v>435</v>
      </c>
      <c r="E91">
        <v>3046500</v>
      </c>
      <c r="F91" t="s">
        <v>436</v>
      </c>
      <c r="G91">
        <v>9444570.4199999999</v>
      </c>
      <c r="H91">
        <v>207363.93</v>
      </c>
      <c r="I91">
        <v>0</v>
      </c>
      <c r="J91">
        <v>0</v>
      </c>
      <c r="K91">
        <v>12698434.35</v>
      </c>
    </row>
    <row r="92" spans="1:11" x14ac:dyDescent="0.25">
      <c r="A92" t="s">
        <v>437</v>
      </c>
      <c r="B92" t="s">
        <v>438</v>
      </c>
      <c r="C92" t="s">
        <v>182</v>
      </c>
      <c r="D92" t="s">
        <v>233</v>
      </c>
      <c r="E92">
        <v>780000</v>
      </c>
      <c r="F92" t="s">
        <v>234</v>
      </c>
      <c r="G92">
        <v>0</v>
      </c>
      <c r="H92">
        <v>0</v>
      </c>
      <c r="I92">
        <v>0</v>
      </c>
      <c r="J92">
        <v>0</v>
      </c>
      <c r="K92">
        <v>780000</v>
      </c>
    </row>
    <row r="93" spans="1:11" x14ac:dyDescent="0.25">
      <c r="A93" t="s">
        <v>439</v>
      </c>
      <c r="B93" t="s">
        <v>440</v>
      </c>
      <c r="C93" t="s">
        <v>182</v>
      </c>
      <c r="D93" t="s">
        <v>213</v>
      </c>
      <c r="E93">
        <v>0</v>
      </c>
      <c r="F93" t="s">
        <v>214</v>
      </c>
      <c r="G93">
        <v>0</v>
      </c>
      <c r="H93">
        <v>210000</v>
      </c>
      <c r="I93">
        <v>0</v>
      </c>
      <c r="J93">
        <v>0</v>
      </c>
      <c r="K93">
        <v>210000</v>
      </c>
    </row>
    <row r="94" spans="1:11" x14ac:dyDescent="0.25">
      <c r="A94" t="s">
        <v>443</v>
      </c>
      <c r="B94" t="s">
        <v>444</v>
      </c>
      <c r="C94" t="s">
        <v>182</v>
      </c>
      <c r="D94" t="s">
        <v>445</v>
      </c>
      <c r="E94">
        <v>0</v>
      </c>
      <c r="F94" t="s">
        <v>446</v>
      </c>
      <c r="G94">
        <v>2633081</v>
      </c>
      <c r="H94">
        <v>2021268.7</v>
      </c>
      <c r="I94">
        <v>0</v>
      </c>
      <c r="J94">
        <v>0</v>
      </c>
      <c r="K94">
        <v>4654349.7</v>
      </c>
    </row>
    <row r="95" spans="1:11" x14ac:dyDescent="0.25">
      <c r="A95" t="s">
        <v>447</v>
      </c>
      <c r="B95" t="s">
        <v>448</v>
      </c>
      <c r="C95" t="s">
        <v>182</v>
      </c>
      <c r="D95" t="s">
        <v>383</v>
      </c>
      <c r="E95">
        <v>332750</v>
      </c>
      <c r="F95" t="s">
        <v>384</v>
      </c>
      <c r="G95">
        <v>16419016.35</v>
      </c>
      <c r="H95">
        <v>0</v>
      </c>
      <c r="I95">
        <v>0</v>
      </c>
      <c r="J95">
        <v>0</v>
      </c>
      <c r="K95">
        <v>16751766.35</v>
      </c>
    </row>
    <row r="96" spans="1:11" x14ac:dyDescent="0.25">
      <c r="A96" t="s">
        <v>449</v>
      </c>
      <c r="B96" t="s">
        <v>450</v>
      </c>
      <c r="C96" t="s">
        <v>182</v>
      </c>
      <c r="D96" t="s">
        <v>411</v>
      </c>
      <c r="E96">
        <v>0</v>
      </c>
      <c r="F96" t="s">
        <v>412</v>
      </c>
      <c r="G96">
        <v>449540.05</v>
      </c>
      <c r="H96">
        <v>0</v>
      </c>
      <c r="I96">
        <v>0</v>
      </c>
      <c r="J96">
        <v>0</v>
      </c>
      <c r="K96">
        <v>449540.05</v>
      </c>
    </row>
    <row r="97" spans="1:11" x14ac:dyDescent="0.25">
      <c r="A97" t="s">
        <v>451</v>
      </c>
      <c r="B97" t="s">
        <v>452</v>
      </c>
      <c r="C97" t="s">
        <v>182</v>
      </c>
      <c r="D97" t="s">
        <v>395</v>
      </c>
      <c r="E97">
        <v>0</v>
      </c>
      <c r="F97" t="s">
        <v>396</v>
      </c>
      <c r="G97">
        <v>2886939</v>
      </c>
      <c r="H97">
        <v>0</v>
      </c>
      <c r="I97">
        <v>0</v>
      </c>
      <c r="J97">
        <v>0</v>
      </c>
      <c r="K97">
        <v>2886939</v>
      </c>
    </row>
    <row r="98" spans="1:11" x14ac:dyDescent="0.25">
      <c r="A98" t="s">
        <v>453</v>
      </c>
      <c r="B98" t="s">
        <v>454</v>
      </c>
      <c r="C98" t="s">
        <v>182</v>
      </c>
      <c r="D98" t="s">
        <v>317</v>
      </c>
      <c r="E98">
        <v>0</v>
      </c>
      <c r="F98" t="s">
        <v>318</v>
      </c>
      <c r="G98">
        <v>0</v>
      </c>
      <c r="H98">
        <v>0</v>
      </c>
      <c r="I98">
        <v>0</v>
      </c>
      <c r="J98">
        <v>-3904.38</v>
      </c>
      <c r="K98">
        <v>-3904.38</v>
      </c>
    </row>
    <row r="99" spans="1:11" x14ac:dyDescent="0.25">
      <c r="A99" t="s">
        <v>455</v>
      </c>
      <c r="B99" t="s">
        <v>456</v>
      </c>
      <c r="C99" t="s">
        <v>182</v>
      </c>
      <c r="D99" t="s">
        <v>215</v>
      </c>
      <c r="E99">
        <v>740671.25</v>
      </c>
      <c r="F99" t="s">
        <v>216</v>
      </c>
      <c r="G99">
        <v>0</v>
      </c>
      <c r="H99">
        <v>0</v>
      </c>
      <c r="I99">
        <v>0</v>
      </c>
      <c r="J99">
        <v>0</v>
      </c>
      <c r="K99">
        <v>740671.25</v>
      </c>
    </row>
    <row r="100" spans="1:11" x14ac:dyDescent="0.25">
      <c r="A100" t="s">
        <v>457</v>
      </c>
      <c r="B100" t="s">
        <v>458</v>
      </c>
      <c r="C100" t="s">
        <v>182</v>
      </c>
      <c r="D100" t="s">
        <v>203</v>
      </c>
      <c r="E100">
        <v>0</v>
      </c>
      <c r="F100" t="s">
        <v>204</v>
      </c>
      <c r="G100">
        <v>1728535.96</v>
      </c>
      <c r="H100">
        <v>0</v>
      </c>
      <c r="I100">
        <v>0</v>
      </c>
      <c r="J100">
        <v>0</v>
      </c>
      <c r="K100">
        <v>1728535.96</v>
      </c>
    </row>
    <row r="101" spans="1:11" x14ac:dyDescent="0.25">
      <c r="A101" t="s">
        <v>459</v>
      </c>
      <c r="B101" t="s">
        <v>460</v>
      </c>
      <c r="C101" t="s">
        <v>182</v>
      </c>
      <c r="D101" t="s">
        <v>461</v>
      </c>
      <c r="E101">
        <v>0</v>
      </c>
      <c r="F101" t="s">
        <v>462</v>
      </c>
      <c r="G101">
        <v>0</v>
      </c>
      <c r="H101">
        <v>0</v>
      </c>
      <c r="I101">
        <v>0</v>
      </c>
      <c r="J101">
        <v>40367.35</v>
      </c>
      <c r="K101">
        <v>40367.35</v>
      </c>
    </row>
    <row r="102" spans="1:11" x14ac:dyDescent="0.25">
      <c r="A102" t="s">
        <v>463</v>
      </c>
      <c r="B102" t="s">
        <v>464</v>
      </c>
      <c r="C102" t="s">
        <v>182</v>
      </c>
      <c r="D102" t="s">
        <v>195</v>
      </c>
      <c r="E102">
        <v>6287988.8499999996</v>
      </c>
      <c r="F102" t="s">
        <v>196</v>
      </c>
      <c r="G102">
        <v>0</v>
      </c>
      <c r="H102">
        <v>0</v>
      </c>
      <c r="I102">
        <v>0</v>
      </c>
      <c r="J102">
        <v>0</v>
      </c>
      <c r="K102">
        <v>6287988.8499999996</v>
      </c>
    </row>
    <row r="103" spans="1:11" x14ac:dyDescent="0.25">
      <c r="A103" t="s">
        <v>465</v>
      </c>
      <c r="B103" t="s">
        <v>466</v>
      </c>
      <c r="C103" t="s">
        <v>182</v>
      </c>
      <c r="D103" t="s">
        <v>279</v>
      </c>
      <c r="E103">
        <v>0</v>
      </c>
      <c r="F103" t="s">
        <v>280</v>
      </c>
      <c r="G103">
        <v>0</v>
      </c>
      <c r="H103">
        <v>6500000</v>
      </c>
      <c r="I103">
        <v>0</v>
      </c>
      <c r="J103">
        <v>0</v>
      </c>
      <c r="K103">
        <v>6500000</v>
      </c>
    </row>
    <row r="104" spans="1:11" x14ac:dyDescent="0.25">
      <c r="A104" t="s">
        <v>467</v>
      </c>
      <c r="B104" t="s">
        <v>468</v>
      </c>
      <c r="C104" t="s">
        <v>182</v>
      </c>
      <c r="D104" t="s">
        <v>213</v>
      </c>
      <c r="E104">
        <v>0</v>
      </c>
      <c r="F104" t="s">
        <v>214</v>
      </c>
      <c r="G104">
        <v>332638.37</v>
      </c>
      <c r="H104">
        <v>0</v>
      </c>
      <c r="I104">
        <v>0</v>
      </c>
      <c r="J104">
        <v>0</v>
      </c>
      <c r="K104">
        <v>332638.37</v>
      </c>
    </row>
    <row r="105" spans="1:11" x14ac:dyDescent="0.25">
      <c r="A105" t="s">
        <v>469</v>
      </c>
      <c r="B105" t="s">
        <v>470</v>
      </c>
      <c r="C105" t="s">
        <v>182</v>
      </c>
      <c r="D105" t="s">
        <v>407</v>
      </c>
      <c r="E105">
        <v>0</v>
      </c>
      <c r="F105" t="s">
        <v>408</v>
      </c>
      <c r="G105">
        <v>0</v>
      </c>
      <c r="H105">
        <v>0</v>
      </c>
      <c r="I105">
        <v>1102500</v>
      </c>
      <c r="J105">
        <v>1682780.85</v>
      </c>
      <c r="K105">
        <v>2785280.85</v>
      </c>
    </row>
    <row r="106" spans="1:11" x14ac:dyDescent="0.25">
      <c r="A106" t="s">
        <v>471</v>
      </c>
      <c r="B106" t="s">
        <v>472</v>
      </c>
      <c r="C106" t="s">
        <v>182</v>
      </c>
      <c r="D106" t="s">
        <v>237</v>
      </c>
      <c r="E106">
        <v>0</v>
      </c>
      <c r="F106" t="s">
        <v>238</v>
      </c>
      <c r="G106">
        <v>44102.080000000002</v>
      </c>
      <c r="H106">
        <v>1359627.39</v>
      </c>
      <c r="I106">
        <v>0</v>
      </c>
      <c r="J106">
        <v>0</v>
      </c>
      <c r="K106">
        <v>1403729.47</v>
      </c>
    </row>
    <row r="107" spans="1:11" x14ac:dyDescent="0.25">
      <c r="A107" t="s">
        <v>473</v>
      </c>
      <c r="B107" t="s">
        <v>474</v>
      </c>
      <c r="C107" t="s">
        <v>182</v>
      </c>
      <c r="D107" t="s">
        <v>475</v>
      </c>
      <c r="E107">
        <v>224000</v>
      </c>
      <c r="F107" t="s">
        <v>476</v>
      </c>
      <c r="G107">
        <v>0</v>
      </c>
      <c r="H107">
        <v>0</v>
      </c>
      <c r="I107">
        <v>0</v>
      </c>
      <c r="J107">
        <v>0</v>
      </c>
      <c r="K107">
        <v>224000</v>
      </c>
    </row>
    <row r="108" spans="1:11" x14ac:dyDescent="0.25">
      <c r="A108" t="s">
        <v>477</v>
      </c>
      <c r="B108" t="s">
        <v>478</v>
      </c>
      <c r="C108" t="s">
        <v>182</v>
      </c>
      <c r="D108" t="s">
        <v>203</v>
      </c>
      <c r="E108">
        <v>0</v>
      </c>
      <c r="F108" t="s">
        <v>204</v>
      </c>
      <c r="G108">
        <v>0</v>
      </c>
      <c r="H108">
        <v>871200</v>
      </c>
      <c r="I108">
        <v>0</v>
      </c>
      <c r="J108">
        <v>0</v>
      </c>
      <c r="K108">
        <v>871200</v>
      </c>
    </row>
    <row r="109" spans="1:11" x14ac:dyDescent="0.25">
      <c r="A109" t="s">
        <v>479</v>
      </c>
      <c r="B109" t="s">
        <v>480</v>
      </c>
      <c r="C109" t="s">
        <v>182</v>
      </c>
      <c r="D109" t="s">
        <v>481</v>
      </c>
      <c r="E109">
        <v>0</v>
      </c>
      <c r="F109" t="s">
        <v>482</v>
      </c>
      <c r="G109">
        <v>2287582.5699999998</v>
      </c>
      <c r="H109">
        <v>0</v>
      </c>
      <c r="I109">
        <v>0</v>
      </c>
      <c r="J109">
        <v>0</v>
      </c>
      <c r="K109">
        <v>2287582.5699999998</v>
      </c>
    </row>
    <row r="110" spans="1:11" x14ac:dyDescent="0.25">
      <c r="A110" t="s">
        <v>483</v>
      </c>
      <c r="B110" t="s">
        <v>484</v>
      </c>
      <c r="C110" t="s">
        <v>182</v>
      </c>
      <c r="D110" t="s">
        <v>375</v>
      </c>
      <c r="E110">
        <v>-155814.35999999999</v>
      </c>
      <c r="F110" t="s">
        <v>376</v>
      </c>
      <c r="G110">
        <v>2838898.34</v>
      </c>
      <c r="H110">
        <v>2799685.9</v>
      </c>
      <c r="I110">
        <v>0</v>
      </c>
      <c r="J110">
        <v>0</v>
      </c>
      <c r="K110">
        <v>5482769.8799999999</v>
      </c>
    </row>
    <row r="111" spans="1:11" x14ac:dyDescent="0.25">
      <c r="A111" t="s">
        <v>485</v>
      </c>
      <c r="B111" t="s">
        <v>486</v>
      </c>
      <c r="C111" t="s">
        <v>182</v>
      </c>
      <c r="D111" t="s">
        <v>203</v>
      </c>
      <c r="E111">
        <v>1150000</v>
      </c>
      <c r="F111" t="s">
        <v>204</v>
      </c>
      <c r="G111">
        <v>0</v>
      </c>
      <c r="H111">
        <v>0</v>
      </c>
      <c r="I111">
        <v>0</v>
      </c>
      <c r="J111">
        <v>0</v>
      </c>
      <c r="K111">
        <v>1150000</v>
      </c>
    </row>
    <row r="112" spans="1:11" x14ac:dyDescent="0.25">
      <c r="A112" t="s">
        <v>487</v>
      </c>
      <c r="B112" t="s">
        <v>488</v>
      </c>
      <c r="C112" t="s">
        <v>182</v>
      </c>
      <c r="D112" t="s">
        <v>489</v>
      </c>
      <c r="E112">
        <v>687500</v>
      </c>
      <c r="F112" t="s">
        <v>490</v>
      </c>
      <c r="G112">
        <v>1837000</v>
      </c>
      <c r="H112">
        <v>0</v>
      </c>
      <c r="I112">
        <v>0</v>
      </c>
      <c r="J112">
        <v>0</v>
      </c>
      <c r="K112">
        <v>2524500</v>
      </c>
    </row>
    <row r="113" spans="1:11" x14ac:dyDescent="0.25">
      <c r="A113" t="s">
        <v>491</v>
      </c>
      <c r="B113" t="s">
        <v>492</v>
      </c>
      <c r="C113" t="s">
        <v>182</v>
      </c>
      <c r="D113" t="s">
        <v>493</v>
      </c>
      <c r="E113">
        <v>67324400</v>
      </c>
      <c r="F113" t="s">
        <v>494</v>
      </c>
      <c r="G113">
        <v>0</v>
      </c>
      <c r="H113">
        <v>0</v>
      </c>
      <c r="I113">
        <v>0</v>
      </c>
      <c r="J113">
        <v>0</v>
      </c>
      <c r="K113">
        <v>67324400</v>
      </c>
    </row>
    <row r="114" spans="1:11" x14ac:dyDescent="0.25">
      <c r="A114" t="s">
        <v>495</v>
      </c>
      <c r="B114" t="s">
        <v>496</v>
      </c>
      <c r="C114" t="s">
        <v>182</v>
      </c>
      <c r="D114" t="s">
        <v>191</v>
      </c>
      <c r="E114">
        <v>31047.5</v>
      </c>
      <c r="F114" t="s">
        <v>192</v>
      </c>
      <c r="G114">
        <v>0</v>
      </c>
      <c r="H114">
        <v>0</v>
      </c>
      <c r="I114">
        <v>0</v>
      </c>
      <c r="J114">
        <v>0</v>
      </c>
      <c r="K114">
        <v>31047.5</v>
      </c>
    </row>
    <row r="115" spans="1:11" x14ac:dyDescent="0.25">
      <c r="A115" t="s">
        <v>497</v>
      </c>
      <c r="B115" t="s">
        <v>498</v>
      </c>
      <c r="C115" t="s">
        <v>182</v>
      </c>
      <c r="D115" t="s">
        <v>499</v>
      </c>
      <c r="E115">
        <v>0</v>
      </c>
      <c r="F115" t="s">
        <v>500</v>
      </c>
      <c r="G115">
        <v>1382140.65</v>
      </c>
      <c r="H115">
        <v>0</v>
      </c>
      <c r="I115">
        <v>0</v>
      </c>
      <c r="J115">
        <v>0</v>
      </c>
      <c r="K115">
        <v>1382140.65</v>
      </c>
    </row>
    <row r="116" spans="1:11" x14ac:dyDescent="0.25">
      <c r="A116" t="s">
        <v>501</v>
      </c>
      <c r="B116" t="s">
        <v>502</v>
      </c>
      <c r="C116" t="s">
        <v>182</v>
      </c>
      <c r="D116" t="s">
        <v>203</v>
      </c>
      <c r="E116">
        <v>0</v>
      </c>
      <c r="F116" t="s">
        <v>204</v>
      </c>
      <c r="G116">
        <v>1378788.38</v>
      </c>
      <c r="H116">
        <v>0</v>
      </c>
      <c r="I116">
        <v>0</v>
      </c>
      <c r="J116">
        <v>0</v>
      </c>
      <c r="K116">
        <v>1378788.38</v>
      </c>
    </row>
    <row r="117" spans="1:11" x14ac:dyDescent="0.25">
      <c r="A117" t="s">
        <v>505</v>
      </c>
      <c r="B117" t="s">
        <v>506</v>
      </c>
      <c r="C117" t="s">
        <v>182</v>
      </c>
      <c r="D117" t="s">
        <v>507</v>
      </c>
      <c r="E117">
        <v>0</v>
      </c>
      <c r="F117" t="s">
        <v>508</v>
      </c>
      <c r="G117">
        <v>4444896.2300000004</v>
      </c>
      <c r="H117">
        <v>0</v>
      </c>
      <c r="I117">
        <v>0</v>
      </c>
      <c r="J117">
        <v>0</v>
      </c>
      <c r="K117">
        <v>4444896.2300000004</v>
      </c>
    </row>
    <row r="118" spans="1:11" x14ac:dyDescent="0.25">
      <c r="A118" t="s">
        <v>860</v>
      </c>
      <c r="B118" t="s">
        <v>861</v>
      </c>
      <c r="C118" t="s">
        <v>182</v>
      </c>
      <c r="D118" t="s">
        <v>279</v>
      </c>
      <c r="E118">
        <v>0</v>
      </c>
      <c r="F118" t="s">
        <v>280</v>
      </c>
      <c r="G118">
        <v>703393.64</v>
      </c>
      <c r="H118">
        <v>0</v>
      </c>
      <c r="I118">
        <v>0</v>
      </c>
      <c r="J118">
        <v>0</v>
      </c>
      <c r="K118">
        <v>703393.64</v>
      </c>
    </row>
    <row r="119" spans="1:11" x14ac:dyDescent="0.25">
      <c r="A119" t="s">
        <v>509</v>
      </c>
      <c r="B119" t="s">
        <v>510</v>
      </c>
      <c r="C119" t="s">
        <v>182</v>
      </c>
      <c r="D119" t="s">
        <v>313</v>
      </c>
      <c r="E119">
        <v>0</v>
      </c>
      <c r="F119" t="s">
        <v>314</v>
      </c>
      <c r="G119">
        <v>8039722.8899999997</v>
      </c>
      <c r="H119">
        <v>0</v>
      </c>
      <c r="I119">
        <v>0</v>
      </c>
      <c r="J119">
        <v>0</v>
      </c>
      <c r="K119">
        <v>8039722.8899999997</v>
      </c>
    </row>
    <row r="120" spans="1:11" x14ac:dyDescent="0.25">
      <c r="A120" t="s">
        <v>511</v>
      </c>
      <c r="B120" t="s">
        <v>512</v>
      </c>
      <c r="C120" t="s">
        <v>182</v>
      </c>
      <c r="D120" t="s">
        <v>203</v>
      </c>
      <c r="E120">
        <v>0</v>
      </c>
      <c r="F120" t="s">
        <v>204</v>
      </c>
      <c r="G120">
        <v>1848629.4</v>
      </c>
      <c r="H120">
        <v>535761.87</v>
      </c>
      <c r="I120">
        <v>0</v>
      </c>
      <c r="J120">
        <v>0</v>
      </c>
      <c r="K120">
        <v>2384391.27</v>
      </c>
    </row>
    <row r="121" spans="1:11" x14ac:dyDescent="0.25">
      <c r="A121" t="s">
        <v>513</v>
      </c>
      <c r="B121" t="s">
        <v>514</v>
      </c>
      <c r="C121" t="s">
        <v>182</v>
      </c>
      <c r="D121" t="s">
        <v>515</v>
      </c>
      <c r="E121">
        <v>3740000</v>
      </c>
      <c r="F121" t="s">
        <v>516</v>
      </c>
      <c r="G121">
        <v>654000</v>
      </c>
      <c r="H121">
        <v>0</v>
      </c>
      <c r="I121">
        <v>0</v>
      </c>
      <c r="J121">
        <v>0</v>
      </c>
      <c r="K121">
        <v>4394000</v>
      </c>
    </row>
    <row r="122" spans="1:11" x14ac:dyDescent="0.25">
      <c r="A122" t="s">
        <v>862</v>
      </c>
      <c r="B122" t="s">
        <v>863</v>
      </c>
      <c r="C122" t="s">
        <v>182</v>
      </c>
      <c r="D122" t="s">
        <v>361</v>
      </c>
      <c r="E122">
        <v>45230.85</v>
      </c>
      <c r="F122" t="s">
        <v>362</v>
      </c>
      <c r="G122">
        <v>0</v>
      </c>
      <c r="H122">
        <v>0</v>
      </c>
      <c r="I122">
        <v>0</v>
      </c>
      <c r="J122">
        <v>0</v>
      </c>
      <c r="K122">
        <v>45230.85</v>
      </c>
    </row>
    <row r="123" spans="1:11" x14ac:dyDescent="0.25">
      <c r="A123" t="s">
        <v>517</v>
      </c>
      <c r="B123" t="s">
        <v>518</v>
      </c>
      <c r="C123" t="s">
        <v>182</v>
      </c>
      <c r="D123" t="s">
        <v>237</v>
      </c>
      <c r="E123">
        <v>0</v>
      </c>
      <c r="F123" t="s">
        <v>238</v>
      </c>
      <c r="G123">
        <v>177436.36</v>
      </c>
      <c r="H123">
        <v>48658.96</v>
      </c>
      <c r="I123">
        <v>0</v>
      </c>
      <c r="J123">
        <v>0</v>
      </c>
      <c r="K123">
        <v>226095.32</v>
      </c>
    </row>
    <row r="124" spans="1:11" x14ac:dyDescent="0.25">
      <c r="A124" t="s">
        <v>519</v>
      </c>
      <c r="B124" t="s">
        <v>520</v>
      </c>
      <c r="C124" t="s">
        <v>182</v>
      </c>
      <c r="D124" t="s">
        <v>317</v>
      </c>
      <c r="E124">
        <v>3409957.2</v>
      </c>
      <c r="F124" t="s">
        <v>318</v>
      </c>
      <c r="G124">
        <v>0</v>
      </c>
      <c r="H124">
        <v>0</v>
      </c>
      <c r="I124">
        <v>40405551.899999999</v>
      </c>
      <c r="J124">
        <v>16506485.949999999</v>
      </c>
      <c r="K124">
        <v>60321995.049999997</v>
      </c>
    </row>
    <row r="125" spans="1:11" x14ac:dyDescent="0.25">
      <c r="A125" t="s">
        <v>521</v>
      </c>
      <c r="B125" t="s">
        <v>522</v>
      </c>
      <c r="C125" t="s">
        <v>182</v>
      </c>
      <c r="D125" t="s">
        <v>255</v>
      </c>
      <c r="E125">
        <v>0</v>
      </c>
      <c r="F125" t="s">
        <v>256</v>
      </c>
      <c r="G125">
        <v>0</v>
      </c>
      <c r="H125">
        <v>0</v>
      </c>
      <c r="I125">
        <v>0</v>
      </c>
      <c r="J125">
        <v>-258135.9</v>
      </c>
      <c r="K125">
        <v>-258135.9</v>
      </c>
    </row>
    <row r="126" spans="1:11" x14ac:dyDescent="0.25">
      <c r="A126" t="s">
        <v>523</v>
      </c>
      <c r="B126" t="s">
        <v>524</v>
      </c>
      <c r="C126" t="s">
        <v>182</v>
      </c>
      <c r="D126" t="s">
        <v>525</v>
      </c>
      <c r="E126">
        <v>2721512</v>
      </c>
      <c r="F126" t="s">
        <v>526</v>
      </c>
      <c r="G126">
        <v>6689151.2000000002</v>
      </c>
      <c r="H126">
        <v>0</v>
      </c>
      <c r="I126">
        <v>0</v>
      </c>
      <c r="J126">
        <v>0</v>
      </c>
      <c r="K126">
        <v>9410663.1999999993</v>
      </c>
    </row>
    <row r="127" spans="1:11" x14ac:dyDescent="0.25">
      <c r="A127" t="s">
        <v>527</v>
      </c>
      <c r="B127" t="s">
        <v>528</v>
      </c>
      <c r="C127" t="s">
        <v>182</v>
      </c>
      <c r="D127" t="s">
        <v>529</v>
      </c>
      <c r="E127">
        <v>0</v>
      </c>
      <c r="F127" t="s">
        <v>530</v>
      </c>
      <c r="G127">
        <v>359370</v>
      </c>
      <c r="H127">
        <v>0</v>
      </c>
      <c r="I127">
        <v>0</v>
      </c>
      <c r="J127">
        <v>0</v>
      </c>
      <c r="K127">
        <v>359370</v>
      </c>
    </row>
    <row r="128" spans="1:11" x14ac:dyDescent="0.25">
      <c r="A128" t="s">
        <v>531</v>
      </c>
      <c r="B128" t="s">
        <v>532</v>
      </c>
      <c r="C128" t="s">
        <v>182</v>
      </c>
      <c r="D128" t="s">
        <v>191</v>
      </c>
      <c r="E128">
        <v>173843.20000000001</v>
      </c>
      <c r="F128" t="s">
        <v>192</v>
      </c>
      <c r="G128">
        <v>0</v>
      </c>
      <c r="H128">
        <v>0</v>
      </c>
      <c r="I128">
        <v>0</v>
      </c>
      <c r="J128">
        <v>0</v>
      </c>
      <c r="K128">
        <v>173843.20000000001</v>
      </c>
    </row>
    <row r="129" spans="1:11" x14ac:dyDescent="0.25">
      <c r="A129" t="s">
        <v>533</v>
      </c>
      <c r="B129" t="s">
        <v>534</v>
      </c>
      <c r="C129" t="s">
        <v>182</v>
      </c>
      <c r="D129" t="s">
        <v>265</v>
      </c>
      <c r="E129">
        <v>1366662.33</v>
      </c>
      <c r="F129" t="s">
        <v>266</v>
      </c>
      <c r="G129">
        <v>0</v>
      </c>
      <c r="H129">
        <v>0</v>
      </c>
      <c r="I129">
        <v>0</v>
      </c>
      <c r="J129">
        <v>0</v>
      </c>
      <c r="K129">
        <v>1366662.33</v>
      </c>
    </row>
    <row r="130" spans="1:11" x14ac:dyDescent="0.25">
      <c r="A130" t="s">
        <v>535</v>
      </c>
      <c r="B130" t="s">
        <v>536</v>
      </c>
      <c r="C130" t="s">
        <v>182</v>
      </c>
      <c r="D130" t="s">
        <v>233</v>
      </c>
      <c r="E130">
        <v>0</v>
      </c>
      <c r="F130" t="s">
        <v>234</v>
      </c>
      <c r="G130">
        <v>1181383.5</v>
      </c>
      <c r="H130">
        <v>0</v>
      </c>
      <c r="I130">
        <v>0</v>
      </c>
      <c r="J130">
        <v>0</v>
      </c>
      <c r="K130">
        <v>1181383.5</v>
      </c>
    </row>
    <row r="131" spans="1:11" x14ac:dyDescent="0.25">
      <c r="A131" t="s">
        <v>537</v>
      </c>
      <c r="B131" t="s">
        <v>538</v>
      </c>
      <c r="C131" t="s">
        <v>182</v>
      </c>
      <c r="D131" t="s">
        <v>313</v>
      </c>
      <c r="E131">
        <v>0</v>
      </c>
      <c r="F131" t="s">
        <v>314</v>
      </c>
      <c r="G131">
        <v>0</v>
      </c>
      <c r="H131">
        <v>0</v>
      </c>
      <c r="I131">
        <v>0</v>
      </c>
      <c r="J131">
        <v>88538261.290000007</v>
      </c>
      <c r="K131">
        <v>88538261.290000007</v>
      </c>
    </row>
    <row r="132" spans="1:11" x14ac:dyDescent="0.25">
      <c r="A132" t="s">
        <v>539</v>
      </c>
      <c r="B132" t="s">
        <v>540</v>
      </c>
      <c r="C132" t="s">
        <v>182</v>
      </c>
      <c r="D132" t="s">
        <v>313</v>
      </c>
      <c r="E132">
        <v>0</v>
      </c>
      <c r="F132" t="s">
        <v>314</v>
      </c>
      <c r="G132">
        <v>0</v>
      </c>
      <c r="H132">
        <v>0</v>
      </c>
      <c r="I132">
        <v>0</v>
      </c>
      <c r="J132">
        <v>5896891</v>
      </c>
      <c r="K132">
        <v>5896891</v>
      </c>
    </row>
    <row r="133" spans="1:11" x14ac:dyDescent="0.25">
      <c r="A133" t="s">
        <v>541</v>
      </c>
      <c r="B133" t="s">
        <v>542</v>
      </c>
      <c r="C133" t="s">
        <v>182</v>
      </c>
      <c r="D133" t="s">
        <v>543</v>
      </c>
      <c r="E133">
        <v>0</v>
      </c>
      <c r="F133" t="s">
        <v>544</v>
      </c>
      <c r="G133">
        <v>13218589.529999999</v>
      </c>
      <c r="H133">
        <v>0</v>
      </c>
      <c r="I133">
        <v>0</v>
      </c>
      <c r="J133">
        <v>0</v>
      </c>
      <c r="K133">
        <v>13218589.529999999</v>
      </c>
    </row>
    <row r="134" spans="1:11" x14ac:dyDescent="0.25">
      <c r="A134" t="s">
        <v>545</v>
      </c>
      <c r="B134" t="s">
        <v>546</v>
      </c>
      <c r="C134" t="s">
        <v>182</v>
      </c>
      <c r="D134" t="s">
        <v>547</v>
      </c>
      <c r="E134">
        <v>2354757.2599999998</v>
      </c>
      <c r="F134" t="s">
        <v>548</v>
      </c>
      <c r="G134">
        <v>1678734.35</v>
      </c>
      <c r="H134">
        <v>0</v>
      </c>
      <c r="I134">
        <v>0</v>
      </c>
      <c r="J134">
        <v>0</v>
      </c>
      <c r="K134">
        <v>4033491.61</v>
      </c>
    </row>
    <row r="135" spans="1:11" x14ac:dyDescent="0.25">
      <c r="A135" t="s">
        <v>549</v>
      </c>
      <c r="B135" t="s">
        <v>550</v>
      </c>
      <c r="C135" t="s">
        <v>182</v>
      </c>
      <c r="D135" t="s">
        <v>203</v>
      </c>
      <c r="E135">
        <v>0</v>
      </c>
      <c r="F135" t="s">
        <v>204</v>
      </c>
      <c r="G135">
        <v>1055215.28</v>
      </c>
      <c r="H135">
        <v>0</v>
      </c>
      <c r="I135">
        <v>0</v>
      </c>
      <c r="J135">
        <v>0</v>
      </c>
      <c r="K135">
        <v>1055215.28</v>
      </c>
    </row>
    <row r="136" spans="1:11" x14ac:dyDescent="0.25">
      <c r="A136" t="s">
        <v>551</v>
      </c>
      <c r="B136" t="s">
        <v>552</v>
      </c>
      <c r="C136" t="s">
        <v>182</v>
      </c>
      <c r="D136" t="s">
        <v>203</v>
      </c>
      <c r="E136">
        <v>0</v>
      </c>
      <c r="F136" t="s">
        <v>204</v>
      </c>
      <c r="G136">
        <v>0</v>
      </c>
      <c r="H136">
        <v>134487</v>
      </c>
      <c r="I136">
        <v>0</v>
      </c>
      <c r="J136">
        <v>-0.01</v>
      </c>
      <c r="K136">
        <v>134486.99</v>
      </c>
    </row>
    <row r="137" spans="1:11" x14ac:dyDescent="0.25">
      <c r="A137" t="s">
        <v>553</v>
      </c>
      <c r="B137" t="s">
        <v>554</v>
      </c>
      <c r="C137" t="s">
        <v>182</v>
      </c>
      <c r="D137" t="s">
        <v>345</v>
      </c>
      <c r="E137">
        <v>10285.85</v>
      </c>
      <c r="F137" t="s">
        <v>346</v>
      </c>
      <c r="G137">
        <v>62469371.329999998</v>
      </c>
      <c r="H137">
        <v>17281356.59</v>
      </c>
      <c r="I137">
        <v>0</v>
      </c>
      <c r="J137">
        <v>0</v>
      </c>
      <c r="K137">
        <v>79761013.769999996</v>
      </c>
    </row>
    <row r="138" spans="1:11" x14ac:dyDescent="0.25">
      <c r="A138" t="s">
        <v>555</v>
      </c>
      <c r="B138" t="s">
        <v>556</v>
      </c>
      <c r="C138" t="s">
        <v>182</v>
      </c>
      <c r="D138" t="s">
        <v>233</v>
      </c>
      <c r="E138">
        <v>2603161.33</v>
      </c>
      <c r="F138" t="s">
        <v>234</v>
      </c>
      <c r="G138">
        <v>0</v>
      </c>
      <c r="H138">
        <v>0</v>
      </c>
      <c r="I138">
        <v>0</v>
      </c>
      <c r="J138">
        <v>0</v>
      </c>
      <c r="K138">
        <v>2603161.33</v>
      </c>
    </row>
    <row r="139" spans="1:11" x14ac:dyDescent="0.25">
      <c r="A139" t="s">
        <v>557</v>
      </c>
      <c r="B139" t="s">
        <v>558</v>
      </c>
      <c r="C139" t="s">
        <v>182</v>
      </c>
      <c r="D139" t="s">
        <v>475</v>
      </c>
      <c r="E139">
        <v>50110.94</v>
      </c>
      <c r="F139" t="s">
        <v>476</v>
      </c>
      <c r="G139">
        <v>402610.86</v>
      </c>
      <c r="H139">
        <v>0</v>
      </c>
      <c r="I139">
        <v>0</v>
      </c>
      <c r="J139">
        <v>0</v>
      </c>
      <c r="K139">
        <v>452721.8</v>
      </c>
    </row>
    <row r="140" spans="1:11" x14ac:dyDescent="0.25">
      <c r="A140" t="s">
        <v>559</v>
      </c>
      <c r="B140" t="s">
        <v>560</v>
      </c>
      <c r="C140" t="s">
        <v>182</v>
      </c>
      <c r="D140" t="s">
        <v>203</v>
      </c>
      <c r="E140">
        <v>1051238.31</v>
      </c>
      <c r="F140" t="s">
        <v>204</v>
      </c>
      <c r="G140">
        <v>6702005.1900000004</v>
      </c>
      <c r="H140">
        <v>0</v>
      </c>
      <c r="I140">
        <v>0</v>
      </c>
      <c r="J140">
        <v>0</v>
      </c>
      <c r="K140">
        <v>7753243.5</v>
      </c>
    </row>
    <row r="141" spans="1:11" x14ac:dyDescent="0.25">
      <c r="A141" t="s">
        <v>561</v>
      </c>
      <c r="B141" t="s">
        <v>562</v>
      </c>
      <c r="C141" t="s">
        <v>182</v>
      </c>
      <c r="D141" t="s">
        <v>563</v>
      </c>
      <c r="E141">
        <v>128260</v>
      </c>
      <c r="F141" t="s">
        <v>564</v>
      </c>
      <c r="G141">
        <v>1137400</v>
      </c>
      <c r="H141">
        <v>0</v>
      </c>
      <c r="I141">
        <v>0</v>
      </c>
      <c r="J141">
        <v>0</v>
      </c>
      <c r="K141">
        <v>1265660</v>
      </c>
    </row>
    <row r="142" spans="1:11" x14ac:dyDescent="0.25">
      <c r="A142" t="s">
        <v>565</v>
      </c>
      <c r="B142" t="s">
        <v>566</v>
      </c>
      <c r="C142" t="s">
        <v>182</v>
      </c>
      <c r="D142" t="s">
        <v>219</v>
      </c>
      <c r="E142">
        <v>2760379.04</v>
      </c>
      <c r="F142" t="s">
        <v>220</v>
      </c>
      <c r="G142">
        <v>92744522.969999999</v>
      </c>
      <c r="H142">
        <v>33337875.379999999</v>
      </c>
      <c r="I142">
        <v>0</v>
      </c>
      <c r="J142">
        <v>1.17</v>
      </c>
      <c r="K142">
        <v>128842778.56</v>
      </c>
    </row>
    <row r="143" spans="1:11" x14ac:dyDescent="0.25">
      <c r="A143" t="s">
        <v>567</v>
      </c>
      <c r="B143" t="s">
        <v>568</v>
      </c>
      <c r="C143" t="s">
        <v>182</v>
      </c>
      <c r="D143" t="s">
        <v>313</v>
      </c>
      <c r="E143">
        <v>0</v>
      </c>
      <c r="F143" t="s">
        <v>314</v>
      </c>
      <c r="G143">
        <v>0</v>
      </c>
      <c r="H143">
        <v>0</v>
      </c>
      <c r="I143">
        <v>0</v>
      </c>
      <c r="J143">
        <v>335045.59999999998</v>
      </c>
      <c r="K143">
        <v>335045.59999999998</v>
      </c>
    </row>
    <row r="144" spans="1:11" x14ac:dyDescent="0.25">
      <c r="A144" t="s">
        <v>569</v>
      </c>
      <c r="B144" t="s">
        <v>570</v>
      </c>
      <c r="C144" t="s">
        <v>182</v>
      </c>
      <c r="D144" t="s">
        <v>313</v>
      </c>
      <c r="E144">
        <v>0</v>
      </c>
      <c r="F144" t="s">
        <v>314</v>
      </c>
      <c r="G144">
        <v>0</v>
      </c>
      <c r="H144">
        <v>0</v>
      </c>
      <c r="I144">
        <v>0</v>
      </c>
      <c r="J144">
        <v>1782642.4</v>
      </c>
      <c r="K144">
        <v>1782642.4</v>
      </c>
    </row>
    <row r="145" spans="1:11" x14ac:dyDescent="0.25">
      <c r="A145" t="s">
        <v>571</v>
      </c>
      <c r="B145" t="s">
        <v>572</v>
      </c>
      <c r="C145" t="s">
        <v>182</v>
      </c>
      <c r="D145" t="s">
        <v>213</v>
      </c>
      <c r="E145">
        <v>0</v>
      </c>
      <c r="F145" t="s">
        <v>214</v>
      </c>
      <c r="G145">
        <v>1665850</v>
      </c>
      <c r="H145">
        <v>0</v>
      </c>
      <c r="I145">
        <v>0</v>
      </c>
      <c r="J145">
        <v>0</v>
      </c>
      <c r="K145">
        <v>1665850</v>
      </c>
    </row>
    <row r="146" spans="1:11" x14ac:dyDescent="0.25">
      <c r="A146" t="s">
        <v>573</v>
      </c>
      <c r="B146" t="s">
        <v>574</v>
      </c>
      <c r="C146" t="s">
        <v>182</v>
      </c>
      <c r="D146" t="s">
        <v>575</v>
      </c>
      <c r="E146">
        <v>0</v>
      </c>
      <c r="F146" t="s">
        <v>576</v>
      </c>
      <c r="G146">
        <v>2600000</v>
      </c>
      <c r="H146">
        <v>0</v>
      </c>
      <c r="I146">
        <v>0</v>
      </c>
      <c r="J146">
        <v>0</v>
      </c>
      <c r="K146">
        <v>2600000</v>
      </c>
    </row>
    <row r="147" spans="1:11" x14ac:dyDescent="0.25">
      <c r="A147" t="s">
        <v>577</v>
      </c>
      <c r="B147" t="s">
        <v>578</v>
      </c>
      <c r="C147" t="s">
        <v>182</v>
      </c>
      <c r="D147" t="s">
        <v>395</v>
      </c>
      <c r="E147">
        <v>1565959</v>
      </c>
      <c r="F147" t="s">
        <v>396</v>
      </c>
      <c r="G147">
        <v>1519752</v>
      </c>
      <c r="H147">
        <v>0</v>
      </c>
      <c r="I147">
        <v>0</v>
      </c>
      <c r="J147">
        <v>0</v>
      </c>
      <c r="K147">
        <v>3085711</v>
      </c>
    </row>
    <row r="148" spans="1:11" x14ac:dyDescent="0.25">
      <c r="A148" t="s">
        <v>864</v>
      </c>
      <c r="B148" t="s">
        <v>865</v>
      </c>
      <c r="C148" t="s">
        <v>182</v>
      </c>
      <c r="D148" t="s">
        <v>866</v>
      </c>
      <c r="E148">
        <v>93436.56</v>
      </c>
      <c r="F148" t="s">
        <v>867</v>
      </c>
      <c r="G148">
        <v>0</v>
      </c>
      <c r="H148">
        <v>0</v>
      </c>
      <c r="I148">
        <v>0</v>
      </c>
      <c r="J148">
        <v>0</v>
      </c>
      <c r="K148">
        <v>93436.56</v>
      </c>
    </row>
    <row r="149" spans="1:11" x14ac:dyDescent="0.25">
      <c r="A149" t="s">
        <v>579</v>
      </c>
      <c r="B149" t="s">
        <v>580</v>
      </c>
      <c r="C149" t="s">
        <v>182</v>
      </c>
      <c r="D149" t="s">
        <v>213</v>
      </c>
      <c r="E149">
        <v>0</v>
      </c>
      <c r="F149" t="s">
        <v>214</v>
      </c>
      <c r="G149">
        <v>151250</v>
      </c>
      <c r="H149">
        <v>0</v>
      </c>
      <c r="I149">
        <v>0</v>
      </c>
      <c r="J149">
        <v>0</v>
      </c>
      <c r="K149">
        <v>151250</v>
      </c>
    </row>
    <row r="150" spans="1:11" x14ac:dyDescent="0.25">
      <c r="A150" t="s">
        <v>581</v>
      </c>
      <c r="B150" t="s">
        <v>582</v>
      </c>
      <c r="C150" t="s">
        <v>182</v>
      </c>
      <c r="D150" t="s">
        <v>583</v>
      </c>
      <c r="E150">
        <v>0</v>
      </c>
      <c r="F150" t="s">
        <v>584</v>
      </c>
      <c r="G150">
        <v>742500</v>
      </c>
      <c r="H150">
        <v>0</v>
      </c>
      <c r="I150">
        <v>0</v>
      </c>
      <c r="J150">
        <v>0</v>
      </c>
      <c r="K150">
        <v>742500</v>
      </c>
    </row>
    <row r="151" spans="1:11" x14ac:dyDescent="0.25">
      <c r="A151" t="s">
        <v>585</v>
      </c>
      <c r="B151" t="s">
        <v>586</v>
      </c>
      <c r="C151" t="s">
        <v>182</v>
      </c>
      <c r="D151" t="s">
        <v>195</v>
      </c>
      <c r="E151">
        <v>87120</v>
      </c>
      <c r="F151" t="s">
        <v>196</v>
      </c>
      <c r="G151">
        <v>0</v>
      </c>
      <c r="H151">
        <v>0</v>
      </c>
      <c r="I151">
        <v>0</v>
      </c>
      <c r="J151">
        <v>0</v>
      </c>
      <c r="K151">
        <v>87120</v>
      </c>
    </row>
    <row r="152" spans="1:11" x14ac:dyDescent="0.25">
      <c r="A152" t="s">
        <v>587</v>
      </c>
      <c r="B152" t="s">
        <v>588</v>
      </c>
      <c r="C152" t="s">
        <v>182</v>
      </c>
      <c r="D152" t="s">
        <v>441</v>
      </c>
      <c r="E152">
        <v>474400</v>
      </c>
      <c r="F152" t="s">
        <v>442</v>
      </c>
      <c r="G152">
        <v>4091000</v>
      </c>
      <c r="H152">
        <v>0</v>
      </c>
      <c r="I152">
        <v>0</v>
      </c>
      <c r="J152">
        <v>0</v>
      </c>
      <c r="K152">
        <v>4565400</v>
      </c>
    </row>
    <row r="153" spans="1:11" x14ac:dyDescent="0.25">
      <c r="A153" t="s">
        <v>589</v>
      </c>
      <c r="B153" t="s">
        <v>590</v>
      </c>
      <c r="C153" t="s">
        <v>182</v>
      </c>
      <c r="D153" t="s">
        <v>303</v>
      </c>
      <c r="E153">
        <v>0</v>
      </c>
      <c r="F153" t="s">
        <v>304</v>
      </c>
      <c r="G153">
        <v>2934445</v>
      </c>
      <c r="H153">
        <v>0</v>
      </c>
      <c r="I153">
        <v>0</v>
      </c>
      <c r="J153">
        <v>0</v>
      </c>
      <c r="K153">
        <v>2934445</v>
      </c>
    </row>
    <row r="154" spans="1:11" x14ac:dyDescent="0.25">
      <c r="A154" t="s">
        <v>591</v>
      </c>
      <c r="B154" t="s">
        <v>592</v>
      </c>
      <c r="C154" t="s">
        <v>182</v>
      </c>
      <c r="D154" t="s">
        <v>445</v>
      </c>
      <c r="E154">
        <v>0</v>
      </c>
      <c r="F154" t="s">
        <v>446</v>
      </c>
      <c r="G154">
        <v>4058469.23</v>
      </c>
      <c r="H154">
        <v>0</v>
      </c>
      <c r="I154">
        <v>0</v>
      </c>
      <c r="J154">
        <v>0</v>
      </c>
      <c r="K154">
        <v>4058469.23</v>
      </c>
    </row>
    <row r="155" spans="1:11" x14ac:dyDescent="0.25">
      <c r="A155" t="s">
        <v>593</v>
      </c>
      <c r="B155" t="s">
        <v>594</v>
      </c>
      <c r="C155" t="s">
        <v>182</v>
      </c>
      <c r="D155" t="s">
        <v>595</v>
      </c>
      <c r="E155">
        <v>0</v>
      </c>
      <c r="F155" t="s">
        <v>596</v>
      </c>
      <c r="G155">
        <v>17567987.09</v>
      </c>
      <c r="H155">
        <v>6400871.8600000003</v>
      </c>
      <c r="I155">
        <v>0</v>
      </c>
      <c r="J155">
        <v>0</v>
      </c>
      <c r="K155">
        <v>23968858.949999999</v>
      </c>
    </row>
    <row r="156" spans="1:11" x14ac:dyDescent="0.25">
      <c r="A156" t="s">
        <v>597</v>
      </c>
      <c r="B156" t="s">
        <v>598</v>
      </c>
      <c r="C156" t="s">
        <v>182</v>
      </c>
      <c r="D156" t="s">
        <v>233</v>
      </c>
      <c r="E156">
        <v>6381394.7999999998</v>
      </c>
      <c r="F156" t="s">
        <v>234</v>
      </c>
      <c r="G156">
        <v>0</v>
      </c>
      <c r="H156">
        <v>0</v>
      </c>
      <c r="I156">
        <v>0</v>
      </c>
      <c r="J156">
        <v>0</v>
      </c>
      <c r="K156">
        <v>6381394.7999999998</v>
      </c>
    </row>
    <row r="157" spans="1:11" x14ac:dyDescent="0.25">
      <c r="A157" t="s">
        <v>599</v>
      </c>
      <c r="B157" t="s">
        <v>600</v>
      </c>
      <c r="C157" t="s">
        <v>182</v>
      </c>
      <c r="D157" t="s">
        <v>303</v>
      </c>
      <c r="E157">
        <v>2711948</v>
      </c>
      <c r="F157" t="s">
        <v>304</v>
      </c>
      <c r="G157">
        <v>0</v>
      </c>
      <c r="H157">
        <v>0</v>
      </c>
      <c r="I157">
        <v>0</v>
      </c>
      <c r="J157">
        <v>0</v>
      </c>
      <c r="K157">
        <v>2711948</v>
      </c>
    </row>
    <row r="158" spans="1:11" x14ac:dyDescent="0.25">
      <c r="A158" t="s">
        <v>868</v>
      </c>
      <c r="B158" t="s">
        <v>869</v>
      </c>
      <c r="C158" t="s">
        <v>182</v>
      </c>
      <c r="D158" t="s">
        <v>870</v>
      </c>
      <c r="E158">
        <v>0</v>
      </c>
      <c r="F158" t="s">
        <v>871</v>
      </c>
      <c r="G158">
        <v>0</v>
      </c>
      <c r="H158">
        <v>0</v>
      </c>
      <c r="I158">
        <v>0</v>
      </c>
      <c r="J158">
        <v>386200</v>
      </c>
      <c r="K158">
        <v>386200</v>
      </c>
    </row>
    <row r="159" spans="1:11" x14ac:dyDescent="0.25">
      <c r="A159" t="s">
        <v>601</v>
      </c>
      <c r="B159" t="s">
        <v>602</v>
      </c>
      <c r="C159" t="s">
        <v>182</v>
      </c>
      <c r="D159" t="s">
        <v>187</v>
      </c>
      <c r="E159">
        <v>-27054.82</v>
      </c>
      <c r="F159" t="s">
        <v>188</v>
      </c>
      <c r="G159">
        <v>11872131.24</v>
      </c>
      <c r="H159">
        <v>0</v>
      </c>
      <c r="I159">
        <v>0</v>
      </c>
      <c r="J159">
        <v>0</v>
      </c>
      <c r="K159">
        <v>11845076.42</v>
      </c>
    </row>
    <row r="160" spans="1:11" x14ac:dyDescent="0.25">
      <c r="A160" t="s">
        <v>603</v>
      </c>
      <c r="B160" t="s">
        <v>604</v>
      </c>
      <c r="C160" t="s">
        <v>182</v>
      </c>
      <c r="D160" t="s">
        <v>605</v>
      </c>
      <c r="E160">
        <v>0</v>
      </c>
      <c r="F160" t="s">
        <v>606</v>
      </c>
      <c r="G160">
        <v>2555822.5</v>
      </c>
      <c r="H160">
        <v>43979576.030000001</v>
      </c>
      <c r="I160">
        <v>90616446.269999996</v>
      </c>
      <c r="J160">
        <v>151044774.97999999</v>
      </c>
      <c r="K160">
        <v>288196619.77999997</v>
      </c>
    </row>
    <row r="161" spans="1:11" x14ac:dyDescent="0.25">
      <c r="A161" t="s">
        <v>607</v>
      </c>
      <c r="B161" t="s">
        <v>608</v>
      </c>
      <c r="C161" t="s">
        <v>182</v>
      </c>
      <c r="D161" t="s">
        <v>203</v>
      </c>
      <c r="E161">
        <v>0</v>
      </c>
      <c r="F161" t="s">
        <v>204</v>
      </c>
      <c r="G161">
        <v>473839.17</v>
      </c>
      <c r="H161">
        <v>837269.22</v>
      </c>
      <c r="I161">
        <v>0</v>
      </c>
      <c r="J161">
        <v>0</v>
      </c>
      <c r="K161">
        <v>1311108.3899999999</v>
      </c>
    </row>
    <row r="162" spans="1:11" x14ac:dyDescent="0.25">
      <c r="A162" t="s">
        <v>609</v>
      </c>
      <c r="B162" t="s">
        <v>610</v>
      </c>
      <c r="C162" t="s">
        <v>182</v>
      </c>
      <c r="D162" t="s">
        <v>233</v>
      </c>
      <c r="E162">
        <v>2030743</v>
      </c>
      <c r="F162" t="s">
        <v>234</v>
      </c>
      <c r="G162">
        <v>4722575.37</v>
      </c>
      <c r="H162">
        <v>0</v>
      </c>
      <c r="I162">
        <v>0</v>
      </c>
      <c r="J162">
        <v>0</v>
      </c>
      <c r="K162">
        <v>6753318.3700000001</v>
      </c>
    </row>
    <row r="163" spans="1:11" x14ac:dyDescent="0.25">
      <c r="A163" t="s">
        <v>611</v>
      </c>
      <c r="B163" t="s">
        <v>612</v>
      </c>
      <c r="C163" t="s">
        <v>182</v>
      </c>
      <c r="D163" t="s">
        <v>407</v>
      </c>
      <c r="E163">
        <v>0</v>
      </c>
      <c r="F163" t="s">
        <v>408</v>
      </c>
      <c r="G163">
        <v>0</v>
      </c>
      <c r="H163">
        <v>35394057.5</v>
      </c>
      <c r="I163">
        <v>0</v>
      </c>
      <c r="J163">
        <v>0</v>
      </c>
      <c r="K163">
        <v>35394057.5</v>
      </c>
    </row>
    <row r="164" spans="1:11" x14ac:dyDescent="0.25">
      <c r="A164" t="s">
        <v>613</v>
      </c>
      <c r="B164" t="s">
        <v>614</v>
      </c>
      <c r="C164" t="s">
        <v>182</v>
      </c>
      <c r="D164" t="s">
        <v>345</v>
      </c>
      <c r="E164">
        <v>0</v>
      </c>
      <c r="F164" t="s">
        <v>346</v>
      </c>
      <c r="G164">
        <v>0</v>
      </c>
      <c r="H164">
        <v>12427272</v>
      </c>
      <c r="I164">
        <v>0</v>
      </c>
      <c r="J164">
        <v>0</v>
      </c>
      <c r="K164">
        <v>12427272</v>
      </c>
    </row>
    <row r="165" spans="1:11" x14ac:dyDescent="0.25">
      <c r="A165" t="s">
        <v>615</v>
      </c>
      <c r="B165" t="s">
        <v>616</v>
      </c>
      <c r="C165" t="s">
        <v>182</v>
      </c>
      <c r="D165" t="s">
        <v>563</v>
      </c>
      <c r="E165">
        <v>1101100</v>
      </c>
      <c r="F165" t="s">
        <v>564</v>
      </c>
      <c r="G165">
        <v>0</v>
      </c>
      <c r="H165">
        <v>0</v>
      </c>
      <c r="I165">
        <v>0</v>
      </c>
      <c r="J165">
        <v>0</v>
      </c>
      <c r="K165">
        <v>1101100</v>
      </c>
    </row>
    <row r="166" spans="1:11" x14ac:dyDescent="0.25">
      <c r="A166" t="s">
        <v>617</v>
      </c>
      <c r="B166" t="s">
        <v>618</v>
      </c>
      <c r="C166" t="s">
        <v>182</v>
      </c>
      <c r="D166" t="s">
        <v>317</v>
      </c>
      <c r="E166">
        <v>0</v>
      </c>
      <c r="F166" t="s">
        <v>318</v>
      </c>
      <c r="G166">
        <v>0</v>
      </c>
      <c r="H166">
        <v>88005397.299999997</v>
      </c>
      <c r="I166">
        <v>0</v>
      </c>
      <c r="J166">
        <v>0</v>
      </c>
      <c r="K166">
        <v>88005397.299999997</v>
      </c>
    </row>
    <row r="167" spans="1:11" x14ac:dyDescent="0.25">
      <c r="A167" t="s">
        <v>619</v>
      </c>
      <c r="B167" t="s">
        <v>620</v>
      </c>
      <c r="C167" t="s">
        <v>182</v>
      </c>
      <c r="D167" t="s">
        <v>279</v>
      </c>
      <c r="E167">
        <v>0</v>
      </c>
      <c r="F167" t="s">
        <v>280</v>
      </c>
      <c r="G167">
        <v>0</v>
      </c>
      <c r="H167">
        <v>0</v>
      </c>
      <c r="I167">
        <v>-173949.94</v>
      </c>
      <c r="J167">
        <v>0</v>
      </c>
      <c r="K167">
        <v>-173949.94</v>
      </c>
    </row>
    <row r="168" spans="1:11" x14ac:dyDescent="0.25">
      <c r="A168" t="s">
        <v>621</v>
      </c>
      <c r="B168" t="s">
        <v>622</v>
      </c>
      <c r="C168" t="s">
        <v>182</v>
      </c>
      <c r="D168" t="s">
        <v>275</v>
      </c>
      <c r="E168">
        <v>9600000</v>
      </c>
      <c r="F168" t="s">
        <v>276</v>
      </c>
      <c r="G168">
        <v>0</v>
      </c>
      <c r="H168">
        <v>0</v>
      </c>
      <c r="I168">
        <v>0</v>
      </c>
      <c r="J168">
        <v>0</v>
      </c>
      <c r="K168">
        <v>9600000</v>
      </c>
    </row>
    <row r="169" spans="1:11" x14ac:dyDescent="0.25">
      <c r="A169" t="s">
        <v>623</v>
      </c>
      <c r="B169" t="s">
        <v>624</v>
      </c>
      <c r="C169" t="s">
        <v>182</v>
      </c>
      <c r="D169" t="s">
        <v>237</v>
      </c>
      <c r="E169">
        <v>0</v>
      </c>
      <c r="F169" t="s">
        <v>238</v>
      </c>
      <c r="G169">
        <v>0</v>
      </c>
      <c r="H169">
        <v>0</v>
      </c>
      <c r="I169">
        <v>58760</v>
      </c>
      <c r="J169">
        <v>0</v>
      </c>
      <c r="K169">
        <v>58760</v>
      </c>
    </row>
    <row r="170" spans="1:11" x14ac:dyDescent="0.25">
      <c r="A170" t="s">
        <v>625</v>
      </c>
      <c r="B170" t="s">
        <v>626</v>
      </c>
      <c r="C170" t="s">
        <v>182</v>
      </c>
      <c r="D170" t="s">
        <v>379</v>
      </c>
      <c r="E170">
        <v>0</v>
      </c>
      <c r="F170" t="s">
        <v>380</v>
      </c>
      <c r="G170">
        <v>0</v>
      </c>
      <c r="H170">
        <v>0</v>
      </c>
      <c r="I170">
        <v>0</v>
      </c>
      <c r="J170">
        <v>0.01</v>
      </c>
      <c r="K170">
        <v>0.01</v>
      </c>
    </row>
    <row r="171" spans="1:11" x14ac:dyDescent="0.25">
      <c r="A171" t="s">
        <v>627</v>
      </c>
      <c r="B171" t="s">
        <v>628</v>
      </c>
      <c r="C171" t="s">
        <v>182</v>
      </c>
      <c r="D171" t="s">
        <v>279</v>
      </c>
      <c r="E171">
        <v>0</v>
      </c>
      <c r="F171" t="s">
        <v>280</v>
      </c>
      <c r="G171">
        <v>6359168.3099999996</v>
      </c>
      <c r="H171">
        <v>14373777.98</v>
      </c>
      <c r="I171">
        <v>0</v>
      </c>
      <c r="J171">
        <v>0</v>
      </c>
      <c r="K171">
        <v>20732946.289999999</v>
      </c>
    </row>
    <row r="172" spans="1:11" x14ac:dyDescent="0.25">
      <c r="A172" t="s">
        <v>629</v>
      </c>
      <c r="B172" t="s">
        <v>630</v>
      </c>
      <c r="C172" t="s">
        <v>182</v>
      </c>
      <c r="D172" t="s">
        <v>631</v>
      </c>
      <c r="E172">
        <v>37093.07</v>
      </c>
      <c r="F172" t="s">
        <v>632</v>
      </c>
      <c r="G172">
        <v>55976091.32</v>
      </c>
      <c r="H172">
        <v>49723902.840000004</v>
      </c>
      <c r="I172">
        <v>0</v>
      </c>
      <c r="J172">
        <v>0</v>
      </c>
      <c r="K172">
        <v>105737087.23</v>
      </c>
    </row>
    <row r="173" spans="1:11" x14ac:dyDescent="0.25">
      <c r="A173" t="s">
        <v>633</v>
      </c>
      <c r="B173" t="s">
        <v>634</v>
      </c>
      <c r="C173" t="s">
        <v>182</v>
      </c>
      <c r="D173" t="s">
        <v>547</v>
      </c>
      <c r="E173">
        <v>0</v>
      </c>
      <c r="F173" t="s">
        <v>548</v>
      </c>
      <c r="G173">
        <v>3185145.01</v>
      </c>
      <c r="H173">
        <v>2469474.48</v>
      </c>
      <c r="I173">
        <v>0</v>
      </c>
      <c r="J173">
        <v>0</v>
      </c>
      <c r="K173">
        <v>5654619.4900000002</v>
      </c>
    </row>
    <row r="174" spans="1:11" x14ac:dyDescent="0.25">
      <c r="A174" t="s">
        <v>635</v>
      </c>
      <c r="B174" t="s">
        <v>636</v>
      </c>
      <c r="C174" t="s">
        <v>182</v>
      </c>
      <c r="D174" t="s">
        <v>637</v>
      </c>
      <c r="E174">
        <v>624000</v>
      </c>
      <c r="F174" t="s">
        <v>638</v>
      </c>
      <c r="G174">
        <v>936000</v>
      </c>
      <c r="H174">
        <v>0</v>
      </c>
      <c r="I174">
        <v>0</v>
      </c>
      <c r="J174">
        <v>0</v>
      </c>
      <c r="K174">
        <v>1560000</v>
      </c>
    </row>
    <row r="175" spans="1:11" x14ac:dyDescent="0.25">
      <c r="A175" t="s">
        <v>639</v>
      </c>
      <c r="B175" t="s">
        <v>640</v>
      </c>
      <c r="C175" t="s">
        <v>182</v>
      </c>
      <c r="D175" t="s">
        <v>641</v>
      </c>
      <c r="E175">
        <v>154138.26999999999</v>
      </c>
      <c r="F175" t="s">
        <v>642</v>
      </c>
      <c r="G175">
        <v>0</v>
      </c>
      <c r="H175">
        <v>0</v>
      </c>
      <c r="I175">
        <v>0</v>
      </c>
      <c r="J175">
        <v>0</v>
      </c>
      <c r="K175">
        <v>154138.26999999999</v>
      </c>
    </row>
    <row r="176" spans="1:11" x14ac:dyDescent="0.25">
      <c r="A176" t="s">
        <v>643</v>
      </c>
      <c r="B176" t="s">
        <v>644</v>
      </c>
      <c r="C176" t="s">
        <v>182</v>
      </c>
      <c r="D176" t="s">
        <v>313</v>
      </c>
      <c r="E176">
        <v>0</v>
      </c>
      <c r="F176" t="s">
        <v>314</v>
      </c>
      <c r="G176">
        <v>0</v>
      </c>
      <c r="H176">
        <v>0</v>
      </c>
      <c r="I176">
        <v>0</v>
      </c>
      <c r="J176">
        <v>13351649.470000001</v>
      </c>
      <c r="K176">
        <v>13351649.470000001</v>
      </c>
    </row>
    <row r="177" spans="1:11" x14ac:dyDescent="0.25">
      <c r="A177" t="s">
        <v>645</v>
      </c>
      <c r="B177" t="s">
        <v>646</v>
      </c>
      <c r="C177" t="s">
        <v>182</v>
      </c>
      <c r="D177" t="s">
        <v>203</v>
      </c>
      <c r="E177">
        <v>0</v>
      </c>
      <c r="F177" t="s">
        <v>204</v>
      </c>
      <c r="G177">
        <v>2259877.2999999998</v>
      </c>
      <c r="H177">
        <v>0</v>
      </c>
      <c r="I177">
        <v>0</v>
      </c>
      <c r="J177">
        <v>0</v>
      </c>
      <c r="K177">
        <v>2259877.2999999998</v>
      </c>
    </row>
    <row r="178" spans="1:11" x14ac:dyDescent="0.25">
      <c r="A178" t="s">
        <v>647</v>
      </c>
      <c r="B178" t="s">
        <v>648</v>
      </c>
      <c r="C178" t="s">
        <v>182</v>
      </c>
      <c r="D178" t="s">
        <v>187</v>
      </c>
      <c r="E178">
        <v>0</v>
      </c>
      <c r="F178" t="s">
        <v>188</v>
      </c>
      <c r="G178">
        <v>4530000</v>
      </c>
      <c r="H178">
        <v>0</v>
      </c>
      <c r="I178">
        <v>0</v>
      </c>
      <c r="J178">
        <v>0</v>
      </c>
      <c r="K178">
        <v>4530000</v>
      </c>
    </row>
    <row r="179" spans="1:11" x14ac:dyDescent="0.25">
      <c r="A179" t="s">
        <v>649</v>
      </c>
      <c r="B179" t="s">
        <v>650</v>
      </c>
      <c r="C179" t="s">
        <v>182</v>
      </c>
      <c r="D179" t="s">
        <v>651</v>
      </c>
      <c r="E179">
        <v>150709.85999999999</v>
      </c>
      <c r="F179" t="s">
        <v>652</v>
      </c>
      <c r="G179">
        <v>22097037.579999998</v>
      </c>
      <c r="H179">
        <v>0</v>
      </c>
      <c r="I179">
        <v>0</v>
      </c>
      <c r="J179">
        <v>0</v>
      </c>
      <c r="K179">
        <v>22247747.440000001</v>
      </c>
    </row>
    <row r="180" spans="1:11" x14ac:dyDescent="0.25">
      <c r="A180" t="s">
        <v>653</v>
      </c>
      <c r="B180" t="s">
        <v>654</v>
      </c>
      <c r="C180" t="s">
        <v>182</v>
      </c>
      <c r="D180" t="s">
        <v>303</v>
      </c>
      <c r="E180">
        <v>0</v>
      </c>
      <c r="F180" t="s">
        <v>304</v>
      </c>
      <c r="G180">
        <v>2731347</v>
      </c>
      <c r="H180">
        <v>0</v>
      </c>
      <c r="I180">
        <v>0</v>
      </c>
      <c r="J180">
        <v>0</v>
      </c>
      <c r="K180">
        <v>2731347</v>
      </c>
    </row>
    <row r="181" spans="1:11" x14ac:dyDescent="0.25">
      <c r="A181" t="s">
        <v>655</v>
      </c>
      <c r="B181" t="s">
        <v>656</v>
      </c>
      <c r="C181" t="s">
        <v>182</v>
      </c>
      <c r="D181" t="s">
        <v>345</v>
      </c>
      <c r="E181">
        <v>3844144.34</v>
      </c>
      <c r="F181" t="s">
        <v>346</v>
      </c>
      <c r="G181">
        <v>18486080.949999999</v>
      </c>
      <c r="H181">
        <v>0</v>
      </c>
      <c r="I181">
        <v>0</v>
      </c>
      <c r="J181">
        <v>0</v>
      </c>
      <c r="K181">
        <v>22330225.289999999</v>
      </c>
    </row>
    <row r="182" spans="1:11" x14ac:dyDescent="0.25">
      <c r="A182" t="s">
        <v>657</v>
      </c>
      <c r="B182" t="s">
        <v>658</v>
      </c>
      <c r="C182" t="s">
        <v>182</v>
      </c>
      <c r="D182" t="s">
        <v>435</v>
      </c>
      <c r="E182">
        <v>1224668.1399999999</v>
      </c>
      <c r="F182" t="s">
        <v>436</v>
      </c>
      <c r="G182">
        <v>4032863.97</v>
      </c>
      <c r="H182">
        <v>10741957.220000001</v>
      </c>
      <c r="I182">
        <v>0</v>
      </c>
      <c r="J182">
        <v>0</v>
      </c>
      <c r="K182">
        <v>15999489.33</v>
      </c>
    </row>
    <row r="183" spans="1:11" x14ac:dyDescent="0.25">
      <c r="A183" t="s">
        <v>659</v>
      </c>
      <c r="B183" t="s">
        <v>660</v>
      </c>
      <c r="C183" t="s">
        <v>182</v>
      </c>
      <c r="D183" t="s">
        <v>661</v>
      </c>
      <c r="E183">
        <v>12784755.07</v>
      </c>
      <c r="F183" t="s">
        <v>662</v>
      </c>
      <c r="G183">
        <v>14184212.26</v>
      </c>
      <c r="H183">
        <v>88048821.329999998</v>
      </c>
      <c r="I183">
        <v>0</v>
      </c>
      <c r="J183">
        <v>0.05</v>
      </c>
      <c r="K183">
        <v>115017788.70999999</v>
      </c>
    </row>
    <row r="184" spans="1:11" x14ac:dyDescent="0.25">
      <c r="A184" t="s">
        <v>663</v>
      </c>
      <c r="B184" t="s">
        <v>664</v>
      </c>
      <c r="C184" t="s">
        <v>182</v>
      </c>
      <c r="D184" t="s">
        <v>233</v>
      </c>
      <c r="E184">
        <v>0</v>
      </c>
      <c r="F184" t="s">
        <v>234</v>
      </c>
      <c r="G184">
        <v>0</v>
      </c>
      <c r="H184">
        <v>0</v>
      </c>
      <c r="I184">
        <v>0</v>
      </c>
      <c r="J184">
        <v>-2698.26</v>
      </c>
      <c r="K184">
        <v>-2698.26</v>
      </c>
    </row>
    <row r="185" spans="1:11" x14ac:dyDescent="0.25">
      <c r="A185" t="s">
        <v>665</v>
      </c>
      <c r="B185" t="s">
        <v>666</v>
      </c>
      <c r="C185" t="s">
        <v>182</v>
      </c>
      <c r="D185" t="s">
        <v>667</v>
      </c>
      <c r="E185">
        <v>2000801.4</v>
      </c>
      <c r="F185" t="s">
        <v>668</v>
      </c>
      <c r="G185">
        <v>0</v>
      </c>
      <c r="H185">
        <v>0</v>
      </c>
      <c r="I185">
        <v>0</v>
      </c>
      <c r="J185">
        <v>0</v>
      </c>
      <c r="K185">
        <v>2000801.4</v>
      </c>
    </row>
    <row r="186" spans="1:11" x14ac:dyDescent="0.25">
      <c r="A186" t="s">
        <v>669</v>
      </c>
      <c r="B186" t="s">
        <v>670</v>
      </c>
      <c r="C186" t="s">
        <v>182</v>
      </c>
      <c r="D186" t="s">
        <v>671</v>
      </c>
      <c r="E186">
        <v>190000</v>
      </c>
      <c r="F186" t="s">
        <v>672</v>
      </c>
      <c r="G186">
        <v>35373950</v>
      </c>
      <c r="H186">
        <v>0</v>
      </c>
      <c r="I186">
        <v>0</v>
      </c>
      <c r="J186">
        <v>0</v>
      </c>
      <c r="K186">
        <v>35563950</v>
      </c>
    </row>
    <row r="187" spans="1:11" x14ac:dyDescent="0.25">
      <c r="A187" t="s">
        <v>872</v>
      </c>
      <c r="B187" t="s">
        <v>873</v>
      </c>
      <c r="C187" t="s">
        <v>182</v>
      </c>
      <c r="D187" t="s">
        <v>203</v>
      </c>
      <c r="E187">
        <v>0</v>
      </c>
      <c r="F187" t="s">
        <v>204</v>
      </c>
      <c r="G187">
        <v>568116.64</v>
      </c>
      <c r="H187">
        <v>0</v>
      </c>
      <c r="I187">
        <v>0</v>
      </c>
      <c r="J187">
        <v>0</v>
      </c>
      <c r="K187">
        <v>568116.64</v>
      </c>
    </row>
    <row r="188" spans="1:11" x14ac:dyDescent="0.25">
      <c r="A188" t="s">
        <v>673</v>
      </c>
      <c r="B188" t="s">
        <v>674</v>
      </c>
      <c r="C188" t="s">
        <v>182</v>
      </c>
      <c r="D188" t="s">
        <v>279</v>
      </c>
      <c r="E188">
        <v>709206.88</v>
      </c>
      <c r="F188" t="s">
        <v>280</v>
      </c>
      <c r="G188">
        <v>9972946.4499999993</v>
      </c>
      <c r="H188">
        <v>0</v>
      </c>
      <c r="I188">
        <v>0</v>
      </c>
      <c r="J188">
        <v>0</v>
      </c>
      <c r="K188">
        <v>10682153.33</v>
      </c>
    </row>
    <row r="189" spans="1:11" x14ac:dyDescent="0.25">
      <c r="A189" t="s">
        <v>675</v>
      </c>
      <c r="B189" t="s">
        <v>676</v>
      </c>
      <c r="C189" t="s">
        <v>182</v>
      </c>
      <c r="D189" t="s">
        <v>183</v>
      </c>
      <c r="E189">
        <v>2365279.9700000002</v>
      </c>
      <c r="F189" t="s">
        <v>184</v>
      </c>
      <c r="G189">
        <v>0</v>
      </c>
      <c r="H189">
        <v>0</v>
      </c>
      <c r="I189">
        <v>0</v>
      </c>
      <c r="J189">
        <v>0</v>
      </c>
      <c r="K189">
        <v>2365279.9700000002</v>
      </c>
    </row>
    <row r="190" spans="1:11" x14ac:dyDescent="0.25">
      <c r="A190" t="s">
        <v>677</v>
      </c>
      <c r="B190" t="s">
        <v>678</v>
      </c>
      <c r="C190" t="s">
        <v>182</v>
      </c>
      <c r="D190" t="s">
        <v>679</v>
      </c>
      <c r="E190">
        <v>1277500</v>
      </c>
      <c r="F190" t="s">
        <v>680</v>
      </c>
      <c r="G190">
        <v>9506000</v>
      </c>
      <c r="H190">
        <v>0</v>
      </c>
      <c r="I190">
        <v>0</v>
      </c>
      <c r="J190">
        <v>0</v>
      </c>
      <c r="K190">
        <v>10783500</v>
      </c>
    </row>
    <row r="191" spans="1:11" x14ac:dyDescent="0.25">
      <c r="A191" t="s">
        <v>681</v>
      </c>
      <c r="B191" t="s">
        <v>682</v>
      </c>
      <c r="C191" t="s">
        <v>182</v>
      </c>
      <c r="D191" t="s">
        <v>313</v>
      </c>
      <c r="E191">
        <v>24200000</v>
      </c>
      <c r="F191" t="s">
        <v>314</v>
      </c>
      <c r="G191">
        <v>0</v>
      </c>
      <c r="H191">
        <v>0</v>
      </c>
      <c r="I191">
        <v>0</v>
      </c>
      <c r="J191">
        <v>0</v>
      </c>
      <c r="K191">
        <v>24200000</v>
      </c>
    </row>
    <row r="192" spans="1:11" x14ac:dyDescent="0.25">
      <c r="A192" t="s">
        <v>683</v>
      </c>
      <c r="B192" t="s">
        <v>684</v>
      </c>
      <c r="C192" t="s">
        <v>182</v>
      </c>
      <c r="D192" t="s">
        <v>251</v>
      </c>
      <c r="E192">
        <v>5201966.66</v>
      </c>
      <c r="F192" t="s">
        <v>252</v>
      </c>
      <c r="G192">
        <v>1338901.3</v>
      </c>
      <c r="H192">
        <v>155848658.24000001</v>
      </c>
      <c r="I192">
        <v>0</v>
      </c>
      <c r="J192">
        <v>0</v>
      </c>
      <c r="K192">
        <v>162389526.19999999</v>
      </c>
    </row>
    <row r="193" spans="1:11" x14ac:dyDescent="0.25">
      <c r="A193" t="s">
        <v>685</v>
      </c>
      <c r="B193" t="s">
        <v>686</v>
      </c>
      <c r="C193" t="s">
        <v>182</v>
      </c>
      <c r="D193" t="s">
        <v>311</v>
      </c>
      <c r="E193">
        <v>0</v>
      </c>
      <c r="F193" t="s">
        <v>312</v>
      </c>
      <c r="G193">
        <v>1939195.43</v>
      </c>
      <c r="H193">
        <v>230224.55</v>
      </c>
      <c r="I193">
        <v>0</v>
      </c>
      <c r="J193">
        <v>0</v>
      </c>
      <c r="K193">
        <v>2169419.98</v>
      </c>
    </row>
    <row r="194" spans="1:11" x14ac:dyDescent="0.25">
      <c r="A194" t="s">
        <v>687</v>
      </c>
      <c r="B194" t="s">
        <v>688</v>
      </c>
      <c r="C194" t="s">
        <v>182</v>
      </c>
      <c r="D194" t="s">
        <v>689</v>
      </c>
      <c r="E194">
        <v>0</v>
      </c>
      <c r="F194" t="s">
        <v>690</v>
      </c>
      <c r="G194">
        <v>13151812.220000001</v>
      </c>
      <c r="H194">
        <v>0</v>
      </c>
      <c r="I194">
        <v>0</v>
      </c>
      <c r="J194">
        <v>0</v>
      </c>
      <c r="K194">
        <v>13151812.220000001</v>
      </c>
    </row>
    <row r="195" spans="1:11" x14ac:dyDescent="0.25">
      <c r="A195" t="s">
        <v>691</v>
      </c>
      <c r="B195" t="s">
        <v>692</v>
      </c>
      <c r="C195" t="s">
        <v>182</v>
      </c>
      <c r="D195" t="s">
        <v>251</v>
      </c>
      <c r="E195">
        <v>795148.61</v>
      </c>
      <c r="F195" t="s">
        <v>252</v>
      </c>
      <c r="G195">
        <v>1682115.29</v>
      </c>
      <c r="H195">
        <v>0</v>
      </c>
      <c r="I195">
        <v>0</v>
      </c>
      <c r="J195">
        <v>0</v>
      </c>
      <c r="K195">
        <v>2477263.9</v>
      </c>
    </row>
    <row r="196" spans="1:11" x14ac:dyDescent="0.25">
      <c r="A196" t="s">
        <v>693</v>
      </c>
      <c r="B196" t="s">
        <v>694</v>
      </c>
      <c r="C196" t="s">
        <v>182</v>
      </c>
      <c r="D196" t="s">
        <v>695</v>
      </c>
      <c r="E196">
        <v>0</v>
      </c>
      <c r="F196" t="s">
        <v>696</v>
      </c>
      <c r="G196">
        <v>1900259.29</v>
      </c>
      <c r="H196">
        <v>-1745153.02</v>
      </c>
      <c r="I196">
        <v>0</v>
      </c>
      <c r="J196">
        <v>0</v>
      </c>
      <c r="K196">
        <v>155106.26999999999</v>
      </c>
    </row>
    <row r="197" spans="1:11" x14ac:dyDescent="0.25">
      <c r="A197" t="s">
        <v>697</v>
      </c>
      <c r="B197" t="s">
        <v>698</v>
      </c>
      <c r="C197" t="s">
        <v>182</v>
      </c>
      <c r="D197" t="s">
        <v>543</v>
      </c>
      <c r="E197">
        <v>3168990</v>
      </c>
      <c r="F197" t="s">
        <v>544</v>
      </c>
      <c r="G197">
        <v>0</v>
      </c>
      <c r="H197">
        <v>0</v>
      </c>
      <c r="I197">
        <v>0</v>
      </c>
      <c r="J197">
        <v>0</v>
      </c>
      <c r="K197">
        <v>3168990</v>
      </c>
    </row>
    <row r="198" spans="1:11" x14ac:dyDescent="0.25">
      <c r="A198" t="s">
        <v>699</v>
      </c>
      <c r="B198" t="s">
        <v>700</v>
      </c>
      <c r="C198" t="s">
        <v>182</v>
      </c>
      <c r="D198" t="s">
        <v>661</v>
      </c>
      <c r="E198">
        <v>17199750</v>
      </c>
      <c r="F198" t="s">
        <v>662</v>
      </c>
      <c r="G198">
        <v>7425000</v>
      </c>
      <c r="H198">
        <v>0</v>
      </c>
      <c r="I198">
        <v>0</v>
      </c>
      <c r="J198">
        <v>0</v>
      </c>
      <c r="K198">
        <v>24624750</v>
      </c>
    </row>
    <row r="199" spans="1:11" x14ac:dyDescent="0.25">
      <c r="A199" t="s">
        <v>701</v>
      </c>
      <c r="B199" t="s">
        <v>702</v>
      </c>
      <c r="C199" t="s">
        <v>182</v>
      </c>
      <c r="D199" t="s">
        <v>445</v>
      </c>
      <c r="E199">
        <v>0</v>
      </c>
      <c r="F199" t="s">
        <v>446</v>
      </c>
      <c r="G199">
        <v>2141772.6</v>
      </c>
      <c r="H199">
        <v>0</v>
      </c>
      <c r="I199">
        <v>0</v>
      </c>
      <c r="J199">
        <v>0</v>
      </c>
      <c r="K199">
        <v>2141772.6</v>
      </c>
    </row>
    <row r="200" spans="1:11" x14ac:dyDescent="0.25">
      <c r="A200" t="s">
        <v>703</v>
      </c>
      <c r="B200" t="s">
        <v>704</v>
      </c>
      <c r="C200" t="s">
        <v>182</v>
      </c>
      <c r="D200" t="s">
        <v>313</v>
      </c>
      <c r="E200">
        <v>0</v>
      </c>
      <c r="F200" t="s">
        <v>314</v>
      </c>
      <c r="G200">
        <v>1003296</v>
      </c>
      <c r="H200">
        <v>0</v>
      </c>
      <c r="I200">
        <v>0</v>
      </c>
      <c r="J200">
        <v>0</v>
      </c>
      <c r="K200">
        <v>1003296</v>
      </c>
    </row>
    <row r="201" spans="1:11" x14ac:dyDescent="0.25">
      <c r="A201" t="s">
        <v>705</v>
      </c>
      <c r="B201" t="s">
        <v>706</v>
      </c>
      <c r="C201" t="s">
        <v>182</v>
      </c>
      <c r="D201" t="s">
        <v>233</v>
      </c>
      <c r="E201">
        <v>0</v>
      </c>
      <c r="F201" t="s">
        <v>234</v>
      </c>
      <c r="G201">
        <v>4561167.5999999996</v>
      </c>
      <c r="H201">
        <v>-205095</v>
      </c>
      <c r="I201">
        <v>43116631.799999997</v>
      </c>
      <c r="J201">
        <v>0</v>
      </c>
      <c r="K201">
        <v>47472704.399999999</v>
      </c>
    </row>
    <row r="202" spans="1:11" x14ac:dyDescent="0.25">
      <c r="A202" t="s">
        <v>707</v>
      </c>
      <c r="B202" t="s">
        <v>708</v>
      </c>
      <c r="C202" t="s">
        <v>182</v>
      </c>
      <c r="D202" t="s">
        <v>661</v>
      </c>
      <c r="E202">
        <v>1445067</v>
      </c>
      <c r="F202" t="s">
        <v>662</v>
      </c>
      <c r="G202">
        <v>3522285.1</v>
      </c>
      <c r="H202">
        <v>0</v>
      </c>
      <c r="I202">
        <v>0</v>
      </c>
      <c r="J202">
        <v>0</v>
      </c>
      <c r="K202">
        <v>4967352.0999999996</v>
      </c>
    </row>
    <row r="203" spans="1:11" x14ac:dyDescent="0.25">
      <c r="A203" t="s">
        <v>709</v>
      </c>
      <c r="B203" t="s">
        <v>710</v>
      </c>
      <c r="C203" t="s">
        <v>182</v>
      </c>
      <c r="D203" t="s">
        <v>203</v>
      </c>
      <c r="E203">
        <v>0</v>
      </c>
      <c r="F203" t="s">
        <v>204</v>
      </c>
      <c r="G203">
        <v>31120446.5</v>
      </c>
      <c r="H203">
        <v>0</v>
      </c>
      <c r="I203">
        <v>0</v>
      </c>
      <c r="J203">
        <v>0</v>
      </c>
      <c r="K203">
        <v>31120446.5</v>
      </c>
    </row>
    <row r="204" spans="1:11" x14ac:dyDescent="0.25">
      <c r="A204" t="s">
        <v>711</v>
      </c>
      <c r="B204" t="s">
        <v>712</v>
      </c>
      <c r="C204" t="s">
        <v>182</v>
      </c>
      <c r="D204" t="s">
        <v>547</v>
      </c>
      <c r="E204">
        <v>0</v>
      </c>
      <c r="F204" t="s">
        <v>548</v>
      </c>
      <c r="G204">
        <v>370986</v>
      </c>
      <c r="H204">
        <v>0</v>
      </c>
      <c r="I204">
        <v>0</v>
      </c>
      <c r="J204">
        <v>0</v>
      </c>
      <c r="K204">
        <v>370986</v>
      </c>
    </row>
    <row r="205" spans="1:11" x14ac:dyDescent="0.25">
      <c r="A205" t="s">
        <v>874</v>
      </c>
      <c r="B205" t="s">
        <v>875</v>
      </c>
      <c r="C205" t="s">
        <v>182</v>
      </c>
      <c r="D205" t="s">
        <v>233</v>
      </c>
      <c r="E205">
        <v>564136</v>
      </c>
      <c r="F205" t="s">
        <v>234</v>
      </c>
      <c r="G205">
        <v>0</v>
      </c>
      <c r="H205">
        <v>0</v>
      </c>
      <c r="I205">
        <v>0</v>
      </c>
      <c r="J205">
        <v>0</v>
      </c>
      <c r="K205">
        <v>564136</v>
      </c>
    </row>
    <row r="206" spans="1:11" x14ac:dyDescent="0.25">
      <c r="A206" t="s">
        <v>713</v>
      </c>
      <c r="B206" t="s">
        <v>714</v>
      </c>
      <c r="C206" t="s">
        <v>182</v>
      </c>
      <c r="D206" t="s">
        <v>215</v>
      </c>
      <c r="E206">
        <v>0</v>
      </c>
      <c r="F206" t="s">
        <v>216</v>
      </c>
      <c r="G206">
        <v>13467900.16</v>
      </c>
      <c r="H206">
        <v>0</v>
      </c>
      <c r="I206">
        <v>0</v>
      </c>
      <c r="J206">
        <v>0</v>
      </c>
      <c r="K206">
        <v>13467900.16</v>
      </c>
    </row>
    <row r="207" spans="1:11" x14ac:dyDescent="0.25">
      <c r="A207" t="s">
        <v>715</v>
      </c>
      <c r="B207" t="s">
        <v>716</v>
      </c>
      <c r="C207" t="s">
        <v>182</v>
      </c>
      <c r="D207" t="s">
        <v>637</v>
      </c>
      <c r="E207">
        <v>3182300</v>
      </c>
      <c r="F207" t="s">
        <v>638</v>
      </c>
      <c r="G207">
        <v>0</v>
      </c>
      <c r="H207">
        <v>0</v>
      </c>
      <c r="I207">
        <v>0</v>
      </c>
      <c r="J207">
        <v>0</v>
      </c>
      <c r="K207">
        <v>3182300</v>
      </c>
    </row>
    <row r="208" spans="1:11" x14ac:dyDescent="0.25">
      <c r="A208" t="s">
        <v>717</v>
      </c>
      <c r="B208" t="s">
        <v>718</v>
      </c>
      <c r="C208" t="s">
        <v>182</v>
      </c>
      <c r="D208" t="s">
        <v>375</v>
      </c>
      <c r="E208">
        <v>0</v>
      </c>
      <c r="F208" t="s">
        <v>376</v>
      </c>
      <c r="G208">
        <v>1600132.27</v>
      </c>
      <c r="H208">
        <v>0</v>
      </c>
      <c r="I208">
        <v>0</v>
      </c>
      <c r="J208">
        <v>0</v>
      </c>
      <c r="K208">
        <v>1600132.27</v>
      </c>
    </row>
    <row r="209" spans="1:11" x14ac:dyDescent="0.25">
      <c r="A209" t="s">
        <v>719</v>
      </c>
      <c r="B209" t="s">
        <v>720</v>
      </c>
      <c r="C209" t="s">
        <v>182</v>
      </c>
      <c r="D209" t="s">
        <v>191</v>
      </c>
      <c r="E209">
        <v>0</v>
      </c>
      <c r="F209" t="s">
        <v>192</v>
      </c>
      <c r="G209">
        <v>3589214.14</v>
      </c>
      <c r="H209">
        <v>0</v>
      </c>
      <c r="I209">
        <v>0</v>
      </c>
      <c r="J209">
        <v>0</v>
      </c>
      <c r="K209">
        <v>3589214.14</v>
      </c>
    </row>
    <row r="210" spans="1:11" x14ac:dyDescent="0.25">
      <c r="A210" t="s">
        <v>721</v>
      </c>
      <c r="B210" t="s">
        <v>722</v>
      </c>
      <c r="C210" t="s">
        <v>182</v>
      </c>
      <c r="D210" t="s">
        <v>723</v>
      </c>
      <c r="E210">
        <v>0</v>
      </c>
      <c r="F210" t="s">
        <v>724</v>
      </c>
      <c r="G210">
        <v>16855300</v>
      </c>
      <c r="H210">
        <v>0</v>
      </c>
      <c r="I210">
        <v>0</v>
      </c>
      <c r="J210">
        <v>0</v>
      </c>
      <c r="K210">
        <v>16855300</v>
      </c>
    </row>
    <row r="211" spans="1:11" x14ac:dyDescent="0.25">
      <c r="A211" t="s">
        <v>725</v>
      </c>
      <c r="B211" t="s">
        <v>726</v>
      </c>
      <c r="C211" t="s">
        <v>182</v>
      </c>
      <c r="D211" t="s">
        <v>203</v>
      </c>
      <c r="E211">
        <v>54100</v>
      </c>
      <c r="F211" t="s">
        <v>204</v>
      </c>
      <c r="G211">
        <v>593150</v>
      </c>
      <c r="H211">
        <v>437950</v>
      </c>
      <c r="I211">
        <v>0</v>
      </c>
      <c r="J211">
        <v>0</v>
      </c>
      <c r="K211">
        <v>1085200</v>
      </c>
    </row>
    <row r="212" spans="1:11" x14ac:dyDescent="0.25">
      <c r="A212" t="s">
        <v>727</v>
      </c>
      <c r="B212" t="s">
        <v>728</v>
      </c>
      <c r="C212" t="s">
        <v>182</v>
      </c>
      <c r="D212" t="s">
        <v>285</v>
      </c>
      <c r="E212">
        <v>20486.62</v>
      </c>
      <c r="F212" t="s">
        <v>286</v>
      </c>
      <c r="G212">
        <v>176581.8</v>
      </c>
      <c r="H212">
        <v>0</v>
      </c>
      <c r="I212">
        <v>0</v>
      </c>
      <c r="J212">
        <v>0</v>
      </c>
      <c r="K212">
        <v>197068.42</v>
      </c>
    </row>
    <row r="213" spans="1:11" x14ac:dyDescent="0.25">
      <c r="A213" t="s">
        <v>729</v>
      </c>
      <c r="B213" t="s">
        <v>730</v>
      </c>
      <c r="C213" t="s">
        <v>182</v>
      </c>
      <c r="D213" t="s">
        <v>379</v>
      </c>
      <c r="E213">
        <v>1988213</v>
      </c>
      <c r="F213" t="s">
        <v>380</v>
      </c>
      <c r="G213">
        <v>8664000</v>
      </c>
      <c r="H213">
        <v>0</v>
      </c>
      <c r="I213">
        <v>0</v>
      </c>
      <c r="J213">
        <v>0</v>
      </c>
      <c r="K213">
        <v>10652213</v>
      </c>
    </row>
    <row r="214" spans="1:11" x14ac:dyDescent="0.25">
      <c r="A214" t="s">
        <v>731</v>
      </c>
      <c r="B214" t="s">
        <v>732</v>
      </c>
      <c r="C214" t="s">
        <v>182</v>
      </c>
      <c r="D214" t="s">
        <v>503</v>
      </c>
      <c r="E214">
        <v>0</v>
      </c>
      <c r="F214" t="s">
        <v>504</v>
      </c>
      <c r="G214">
        <v>360000</v>
      </c>
      <c r="H214">
        <v>0</v>
      </c>
      <c r="I214">
        <v>0</v>
      </c>
      <c r="J214">
        <v>0</v>
      </c>
      <c r="K214">
        <v>360000</v>
      </c>
    </row>
    <row r="215" spans="1:11" x14ac:dyDescent="0.25">
      <c r="A215" t="s">
        <v>733</v>
      </c>
      <c r="B215" t="s">
        <v>734</v>
      </c>
      <c r="C215" t="s">
        <v>182</v>
      </c>
      <c r="D215" t="s">
        <v>547</v>
      </c>
      <c r="E215">
        <v>788032</v>
      </c>
      <c r="F215" t="s">
        <v>548</v>
      </c>
      <c r="G215">
        <v>2796247.55</v>
      </c>
      <c r="H215">
        <v>0</v>
      </c>
      <c r="I215">
        <v>0</v>
      </c>
      <c r="J215">
        <v>0</v>
      </c>
      <c r="K215">
        <v>3584279.55</v>
      </c>
    </row>
    <row r="216" spans="1:11" x14ac:dyDescent="0.25">
      <c r="A216" t="s">
        <v>735</v>
      </c>
      <c r="B216" t="s">
        <v>736</v>
      </c>
      <c r="C216" t="s">
        <v>182</v>
      </c>
      <c r="D216" t="s">
        <v>327</v>
      </c>
      <c r="E216">
        <v>0</v>
      </c>
      <c r="F216" t="s">
        <v>328</v>
      </c>
      <c r="G216">
        <v>1851080</v>
      </c>
      <c r="H216">
        <v>1839232</v>
      </c>
      <c r="I216">
        <v>0</v>
      </c>
      <c r="J216">
        <v>0</v>
      </c>
      <c r="K216">
        <v>3690312</v>
      </c>
    </row>
    <row r="217" spans="1:11" x14ac:dyDescent="0.25">
      <c r="A217" t="s">
        <v>737</v>
      </c>
      <c r="B217" t="s">
        <v>738</v>
      </c>
      <c r="C217" t="s">
        <v>182</v>
      </c>
      <c r="D217" t="s">
        <v>395</v>
      </c>
      <c r="E217">
        <v>0</v>
      </c>
      <c r="F217" t="s">
        <v>396</v>
      </c>
      <c r="G217">
        <v>8118480.7199999997</v>
      </c>
      <c r="H217">
        <v>26702106.77</v>
      </c>
      <c r="I217">
        <v>0</v>
      </c>
      <c r="J217">
        <v>0</v>
      </c>
      <c r="K217">
        <v>34820587.490000002</v>
      </c>
    </row>
    <row r="218" spans="1:11" x14ac:dyDescent="0.25">
      <c r="A218" t="s">
        <v>739</v>
      </c>
      <c r="B218" t="s">
        <v>740</v>
      </c>
      <c r="C218" t="s">
        <v>182</v>
      </c>
      <c r="D218" t="s">
        <v>313</v>
      </c>
      <c r="E218">
        <v>0</v>
      </c>
      <c r="F218" t="s">
        <v>314</v>
      </c>
      <c r="G218">
        <v>0</v>
      </c>
      <c r="H218">
        <v>0</v>
      </c>
      <c r="I218">
        <v>0</v>
      </c>
      <c r="J218">
        <v>1074310</v>
      </c>
      <c r="K218">
        <v>1074310</v>
      </c>
    </row>
    <row r="219" spans="1:11" x14ac:dyDescent="0.25">
      <c r="A219" t="s">
        <v>741</v>
      </c>
      <c r="B219" t="s">
        <v>742</v>
      </c>
      <c r="C219" t="s">
        <v>182</v>
      </c>
      <c r="D219" t="s">
        <v>637</v>
      </c>
      <c r="E219">
        <v>0</v>
      </c>
      <c r="F219" t="s">
        <v>638</v>
      </c>
      <c r="G219">
        <v>14274975</v>
      </c>
      <c r="H219">
        <v>0</v>
      </c>
      <c r="I219">
        <v>0</v>
      </c>
      <c r="J219">
        <v>0</v>
      </c>
      <c r="K219">
        <v>14274975</v>
      </c>
    </row>
    <row r="220" spans="1:11" x14ac:dyDescent="0.25">
      <c r="A220" t="s">
        <v>743</v>
      </c>
      <c r="B220" t="s">
        <v>744</v>
      </c>
      <c r="C220" t="s">
        <v>182</v>
      </c>
      <c r="D220" t="s">
        <v>269</v>
      </c>
      <c r="E220">
        <v>0</v>
      </c>
      <c r="F220" t="s">
        <v>270</v>
      </c>
      <c r="G220">
        <v>1271600</v>
      </c>
      <c r="H220">
        <v>0</v>
      </c>
      <c r="I220">
        <v>0</v>
      </c>
      <c r="J220">
        <v>0</v>
      </c>
      <c r="K220">
        <v>1271600</v>
      </c>
    </row>
    <row r="221" spans="1:11" x14ac:dyDescent="0.25">
      <c r="A221" t="s">
        <v>745</v>
      </c>
      <c r="B221" t="s">
        <v>746</v>
      </c>
      <c r="C221" t="s">
        <v>182</v>
      </c>
      <c r="D221" t="s">
        <v>233</v>
      </c>
      <c r="E221">
        <v>925630.69</v>
      </c>
      <c r="F221" t="s">
        <v>234</v>
      </c>
      <c r="G221">
        <v>0</v>
      </c>
      <c r="H221">
        <v>0</v>
      </c>
      <c r="I221">
        <v>0</v>
      </c>
      <c r="J221">
        <v>0</v>
      </c>
      <c r="K221">
        <v>925630.69</v>
      </c>
    </row>
    <row r="222" spans="1:11" x14ac:dyDescent="0.25">
      <c r="A222" t="s">
        <v>747</v>
      </c>
      <c r="B222" t="s">
        <v>748</v>
      </c>
      <c r="C222" t="s">
        <v>182</v>
      </c>
      <c r="D222" t="s">
        <v>233</v>
      </c>
      <c r="E222">
        <v>21241550</v>
      </c>
      <c r="F222" t="s">
        <v>234</v>
      </c>
      <c r="G222">
        <v>0</v>
      </c>
      <c r="H222">
        <v>0</v>
      </c>
      <c r="I222">
        <v>0</v>
      </c>
      <c r="J222">
        <v>0</v>
      </c>
      <c r="K222">
        <v>21241550</v>
      </c>
    </row>
    <row r="223" spans="1:11" x14ac:dyDescent="0.25">
      <c r="A223" t="s">
        <v>749</v>
      </c>
      <c r="B223" t="s">
        <v>750</v>
      </c>
      <c r="C223" t="s">
        <v>182</v>
      </c>
      <c r="D223" t="s">
        <v>411</v>
      </c>
      <c r="E223">
        <v>0</v>
      </c>
      <c r="F223" t="s">
        <v>412</v>
      </c>
      <c r="G223">
        <v>3424010.4</v>
      </c>
      <c r="H223">
        <v>0</v>
      </c>
      <c r="I223">
        <v>0</v>
      </c>
      <c r="J223">
        <v>0</v>
      </c>
      <c r="K223">
        <v>3424010.4</v>
      </c>
    </row>
    <row r="224" spans="1:11" x14ac:dyDescent="0.25">
      <c r="A224" t="s">
        <v>751</v>
      </c>
      <c r="B224" t="s">
        <v>752</v>
      </c>
      <c r="C224" t="s">
        <v>182</v>
      </c>
      <c r="D224" t="s">
        <v>753</v>
      </c>
      <c r="E224">
        <v>0</v>
      </c>
      <c r="F224" t="s">
        <v>754</v>
      </c>
      <c r="G224">
        <v>32040000</v>
      </c>
      <c r="H224">
        <v>0</v>
      </c>
      <c r="I224">
        <v>0</v>
      </c>
      <c r="J224">
        <v>0</v>
      </c>
      <c r="K224">
        <v>32040000</v>
      </c>
    </row>
    <row r="225" spans="1:11" x14ac:dyDescent="0.25">
      <c r="A225" t="s">
        <v>755</v>
      </c>
      <c r="B225" t="s">
        <v>756</v>
      </c>
      <c r="C225" t="s">
        <v>182</v>
      </c>
      <c r="D225" t="s">
        <v>313</v>
      </c>
      <c r="E225">
        <v>0</v>
      </c>
      <c r="F225" t="s">
        <v>314</v>
      </c>
      <c r="G225">
        <v>0</v>
      </c>
      <c r="H225">
        <v>0</v>
      </c>
      <c r="I225">
        <v>0</v>
      </c>
      <c r="J225">
        <v>8115779.6100000003</v>
      </c>
      <c r="K225">
        <v>8115779.6100000003</v>
      </c>
    </row>
    <row r="226" spans="1:11" x14ac:dyDescent="0.25">
      <c r="A226" t="s">
        <v>876</v>
      </c>
      <c r="B226" t="s">
        <v>877</v>
      </c>
      <c r="C226" t="s">
        <v>182</v>
      </c>
      <c r="D226" t="s">
        <v>345</v>
      </c>
      <c r="E226">
        <v>0</v>
      </c>
      <c r="F226" t="s">
        <v>346</v>
      </c>
      <c r="G226">
        <v>8034400</v>
      </c>
      <c r="H226">
        <v>0</v>
      </c>
      <c r="I226">
        <v>0</v>
      </c>
      <c r="J226">
        <v>0</v>
      </c>
      <c r="K226">
        <v>8034400</v>
      </c>
    </row>
    <row r="227" spans="1:11" x14ac:dyDescent="0.25">
      <c r="A227" t="s">
        <v>757</v>
      </c>
      <c r="B227" t="s">
        <v>758</v>
      </c>
      <c r="C227" t="s">
        <v>182</v>
      </c>
      <c r="D227" t="s">
        <v>215</v>
      </c>
      <c r="E227">
        <v>0</v>
      </c>
      <c r="F227" t="s">
        <v>216</v>
      </c>
      <c r="G227">
        <v>2998380</v>
      </c>
      <c r="H227">
        <v>8107000</v>
      </c>
      <c r="I227">
        <v>39786010</v>
      </c>
      <c r="J227">
        <v>0</v>
      </c>
      <c r="K227">
        <v>50891390</v>
      </c>
    </row>
    <row r="228" spans="1:11" x14ac:dyDescent="0.25">
      <c r="A228" t="s">
        <v>759</v>
      </c>
      <c r="B228" t="s">
        <v>760</v>
      </c>
      <c r="C228" t="s">
        <v>182</v>
      </c>
      <c r="D228" t="s">
        <v>313</v>
      </c>
      <c r="E228">
        <v>0</v>
      </c>
      <c r="F228" t="s">
        <v>314</v>
      </c>
      <c r="G228">
        <v>0</v>
      </c>
      <c r="H228">
        <v>0</v>
      </c>
      <c r="I228">
        <v>0</v>
      </c>
      <c r="J228">
        <v>25876207.34</v>
      </c>
      <c r="K228">
        <v>25876207.34</v>
      </c>
    </row>
    <row r="229" spans="1:11" x14ac:dyDescent="0.25">
      <c r="A229" t="s">
        <v>761</v>
      </c>
      <c r="B229" t="s">
        <v>762</v>
      </c>
      <c r="C229" t="s">
        <v>182</v>
      </c>
      <c r="D229" t="s">
        <v>441</v>
      </c>
      <c r="E229">
        <v>0</v>
      </c>
      <c r="F229" t="s">
        <v>442</v>
      </c>
      <c r="G229">
        <v>0</v>
      </c>
      <c r="H229">
        <v>0</v>
      </c>
      <c r="I229">
        <v>0</v>
      </c>
      <c r="J229">
        <v>1331</v>
      </c>
      <c r="K229">
        <v>1331</v>
      </c>
    </row>
    <row r="230" spans="1:11" x14ac:dyDescent="0.25">
      <c r="A230" t="s">
        <v>763</v>
      </c>
      <c r="B230" t="s">
        <v>764</v>
      </c>
      <c r="C230" t="s">
        <v>182</v>
      </c>
      <c r="D230" t="s">
        <v>765</v>
      </c>
      <c r="E230">
        <v>192390</v>
      </c>
      <c r="F230" t="s">
        <v>766</v>
      </c>
      <c r="G230">
        <v>621940</v>
      </c>
      <c r="H230">
        <v>0</v>
      </c>
      <c r="I230">
        <v>0</v>
      </c>
      <c r="J230">
        <v>0</v>
      </c>
      <c r="K230">
        <v>814330</v>
      </c>
    </row>
    <row r="231" spans="1:11" x14ac:dyDescent="0.25">
      <c r="A231" t="s">
        <v>767</v>
      </c>
      <c r="B231" t="s">
        <v>768</v>
      </c>
      <c r="C231" t="s">
        <v>182</v>
      </c>
      <c r="D231" t="s">
        <v>475</v>
      </c>
      <c r="E231">
        <v>97800.22</v>
      </c>
      <c r="F231" t="s">
        <v>476</v>
      </c>
      <c r="G231">
        <v>1506149.77</v>
      </c>
      <c r="H231">
        <v>12300.03</v>
      </c>
      <c r="I231">
        <v>0</v>
      </c>
      <c r="J231">
        <v>0</v>
      </c>
      <c r="K231">
        <v>1616250.02</v>
      </c>
    </row>
    <row r="232" spans="1:11" x14ac:dyDescent="0.25">
      <c r="A232" t="s">
        <v>769</v>
      </c>
      <c r="B232" t="s">
        <v>770</v>
      </c>
      <c r="C232" t="s">
        <v>182</v>
      </c>
      <c r="D232" t="s">
        <v>771</v>
      </c>
      <c r="E232">
        <v>0</v>
      </c>
      <c r="F232" t="s">
        <v>772</v>
      </c>
      <c r="G232">
        <v>2591820</v>
      </c>
      <c r="H232">
        <v>0</v>
      </c>
      <c r="I232">
        <v>0</v>
      </c>
      <c r="J232">
        <v>0</v>
      </c>
      <c r="K232">
        <v>2591820</v>
      </c>
    </row>
    <row r="233" spans="1:11" x14ac:dyDescent="0.25">
      <c r="A233" t="s">
        <v>773</v>
      </c>
      <c r="B233" t="s">
        <v>774</v>
      </c>
      <c r="C233" t="s">
        <v>182</v>
      </c>
      <c r="D233" t="s">
        <v>525</v>
      </c>
      <c r="E233">
        <v>3708900</v>
      </c>
      <c r="F233" t="s">
        <v>526</v>
      </c>
      <c r="G233">
        <v>35153652</v>
      </c>
      <c r="H233">
        <v>31973750</v>
      </c>
      <c r="I233">
        <v>0</v>
      </c>
      <c r="J233">
        <v>0</v>
      </c>
      <c r="K233">
        <v>70836302</v>
      </c>
    </row>
    <row r="234" spans="1:11" x14ac:dyDescent="0.25">
      <c r="A234" t="s">
        <v>775</v>
      </c>
      <c r="B234" t="s">
        <v>776</v>
      </c>
      <c r="C234" t="s">
        <v>182</v>
      </c>
      <c r="D234" t="s">
        <v>191</v>
      </c>
      <c r="E234">
        <v>0</v>
      </c>
      <c r="F234" t="s">
        <v>192</v>
      </c>
      <c r="G234">
        <v>164421.14000000001</v>
      </c>
      <c r="H234">
        <v>44793.95</v>
      </c>
      <c r="I234">
        <v>0</v>
      </c>
      <c r="J234">
        <v>0</v>
      </c>
      <c r="K234">
        <v>209215.09</v>
      </c>
    </row>
    <row r="235" spans="1:11" x14ac:dyDescent="0.25">
      <c r="A235" t="s">
        <v>777</v>
      </c>
      <c r="B235" t="s">
        <v>778</v>
      </c>
      <c r="C235" t="s">
        <v>182</v>
      </c>
      <c r="D235" t="s">
        <v>679</v>
      </c>
      <c r="E235">
        <v>0</v>
      </c>
      <c r="F235" t="s">
        <v>680</v>
      </c>
      <c r="G235">
        <v>94650</v>
      </c>
      <c r="H235">
        <v>131550</v>
      </c>
      <c r="I235">
        <v>0</v>
      </c>
      <c r="J235">
        <v>0</v>
      </c>
      <c r="K235">
        <v>226200</v>
      </c>
    </row>
    <row r="236" spans="1:11" x14ac:dyDescent="0.25">
      <c r="A236" t="s">
        <v>878</v>
      </c>
      <c r="B236" t="s">
        <v>879</v>
      </c>
      <c r="C236" t="s">
        <v>182</v>
      </c>
      <c r="D236" t="s">
        <v>481</v>
      </c>
      <c r="E236">
        <v>0</v>
      </c>
      <c r="F236" t="s">
        <v>482</v>
      </c>
      <c r="G236">
        <v>34850133.149999999</v>
      </c>
      <c r="H236">
        <v>0</v>
      </c>
      <c r="I236">
        <v>0</v>
      </c>
      <c r="J236">
        <v>0</v>
      </c>
      <c r="K236">
        <v>34850133.149999999</v>
      </c>
    </row>
    <row r="237" spans="1:11" x14ac:dyDescent="0.25">
      <c r="A237" t="s">
        <v>779</v>
      </c>
      <c r="B237" t="s">
        <v>780</v>
      </c>
      <c r="C237" t="s">
        <v>182</v>
      </c>
      <c r="D237" t="s">
        <v>661</v>
      </c>
      <c r="E237">
        <v>0</v>
      </c>
      <c r="F237" t="s">
        <v>662</v>
      </c>
      <c r="G237">
        <v>7000000</v>
      </c>
      <c r="H237">
        <v>18622590</v>
      </c>
      <c r="I237">
        <v>0</v>
      </c>
      <c r="J237">
        <v>0</v>
      </c>
      <c r="K237">
        <v>25622590</v>
      </c>
    </row>
    <row r="238" spans="1:11" x14ac:dyDescent="0.25">
      <c r="A238" t="s">
        <v>781</v>
      </c>
      <c r="B238" t="s">
        <v>782</v>
      </c>
      <c r="C238" t="s">
        <v>182</v>
      </c>
      <c r="D238" t="s">
        <v>229</v>
      </c>
      <c r="E238">
        <v>2083487.25</v>
      </c>
      <c r="F238" t="s">
        <v>230</v>
      </c>
      <c r="G238">
        <v>0</v>
      </c>
      <c r="H238">
        <v>0</v>
      </c>
      <c r="I238">
        <v>0</v>
      </c>
      <c r="J238">
        <v>0</v>
      </c>
      <c r="K238">
        <v>2083487.25</v>
      </c>
    </row>
    <row r="239" spans="1:11" x14ac:dyDescent="0.25">
      <c r="A239" t="s">
        <v>783</v>
      </c>
      <c r="B239" t="s">
        <v>784</v>
      </c>
      <c r="C239" t="s">
        <v>182</v>
      </c>
      <c r="D239" t="s">
        <v>233</v>
      </c>
      <c r="E239">
        <v>0</v>
      </c>
      <c r="F239" t="s">
        <v>234</v>
      </c>
      <c r="G239">
        <v>240000</v>
      </c>
      <c r="H239">
        <v>0</v>
      </c>
      <c r="I239">
        <v>0</v>
      </c>
      <c r="J239">
        <v>0</v>
      </c>
      <c r="K239">
        <v>240000</v>
      </c>
    </row>
    <row r="240" spans="1:11" x14ac:dyDescent="0.25">
      <c r="A240" t="s">
        <v>785</v>
      </c>
      <c r="B240" t="s">
        <v>786</v>
      </c>
      <c r="C240" t="s">
        <v>182</v>
      </c>
      <c r="D240" t="s">
        <v>787</v>
      </c>
      <c r="E240">
        <v>0</v>
      </c>
      <c r="F240" t="s">
        <v>788</v>
      </c>
      <c r="G240">
        <v>2014949.39</v>
      </c>
      <c r="H240">
        <v>0</v>
      </c>
      <c r="I240">
        <v>0</v>
      </c>
      <c r="J240">
        <v>0</v>
      </c>
      <c r="K240">
        <v>2014949.39</v>
      </c>
    </row>
    <row r="241" spans="1:11" x14ac:dyDescent="0.25">
      <c r="A241" t="s">
        <v>789</v>
      </c>
      <c r="B241" t="s">
        <v>790</v>
      </c>
      <c r="C241" t="s">
        <v>182</v>
      </c>
      <c r="D241" t="s">
        <v>503</v>
      </c>
      <c r="E241">
        <v>0</v>
      </c>
      <c r="F241" t="s">
        <v>504</v>
      </c>
      <c r="G241">
        <v>-0.01</v>
      </c>
      <c r="H241">
        <v>0</v>
      </c>
      <c r="I241">
        <v>0</v>
      </c>
      <c r="J241">
        <v>0</v>
      </c>
      <c r="K241">
        <v>-0.01</v>
      </c>
    </row>
    <row r="242" spans="1:11" x14ac:dyDescent="0.25">
      <c r="A242" t="s">
        <v>791</v>
      </c>
      <c r="B242" t="s">
        <v>792</v>
      </c>
      <c r="C242" t="s">
        <v>182</v>
      </c>
      <c r="D242" t="s">
        <v>317</v>
      </c>
      <c r="E242">
        <v>0</v>
      </c>
      <c r="F242" t="s">
        <v>318</v>
      </c>
      <c r="G242">
        <v>878823</v>
      </c>
      <c r="H242">
        <v>32670</v>
      </c>
      <c r="I242">
        <v>0</v>
      </c>
      <c r="J242">
        <v>0</v>
      </c>
      <c r="K242">
        <v>911493</v>
      </c>
    </row>
    <row r="243" spans="1:11" x14ac:dyDescent="0.25">
      <c r="A243" t="s">
        <v>793</v>
      </c>
      <c r="B243" t="s">
        <v>794</v>
      </c>
      <c r="C243" t="s">
        <v>182</v>
      </c>
      <c r="D243" t="s">
        <v>237</v>
      </c>
      <c r="E243">
        <v>0</v>
      </c>
      <c r="F243" t="s">
        <v>238</v>
      </c>
      <c r="G243">
        <v>9389600</v>
      </c>
      <c r="H243">
        <v>0</v>
      </c>
      <c r="I243">
        <v>0</v>
      </c>
      <c r="J243">
        <v>0</v>
      </c>
      <c r="K243">
        <v>9389600</v>
      </c>
    </row>
    <row r="244" spans="1:11" x14ac:dyDescent="0.25">
      <c r="A244" t="s">
        <v>795</v>
      </c>
      <c r="B244" t="s">
        <v>796</v>
      </c>
      <c r="C244" t="s">
        <v>182</v>
      </c>
      <c r="D244" t="s">
        <v>237</v>
      </c>
      <c r="E244">
        <v>0</v>
      </c>
      <c r="F244" t="s">
        <v>238</v>
      </c>
      <c r="G244">
        <v>12821563.85</v>
      </c>
      <c r="H244">
        <v>0</v>
      </c>
      <c r="I244">
        <v>0</v>
      </c>
      <c r="J244">
        <v>0</v>
      </c>
      <c r="K244">
        <v>12821563.85</v>
      </c>
    </row>
    <row r="245" spans="1:11" x14ac:dyDescent="0.25">
      <c r="A245" t="s">
        <v>880</v>
      </c>
      <c r="B245" t="s">
        <v>881</v>
      </c>
      <c r="C245" t="s">
        <v>182</v>
      </c>
      <c r="D245" t="s">
        <v>317</v>
      </c>
      <c r="E245">
        <v>3824713.2</v>
      </c>
      <c r="F245" t="s">
        <v>318</v>
      </c>
      <c r="G245">
        <v>0</v>
      </c>
      <c r="H245">
        <v>0</v>
      </c>
      <c r="I245">
        <v>0</v>
      </c>
      <c r="J245">
        <v>0</v>
      </c>
      <c r="K245">
        <v>3824713.2</v>
      </c>
    </row>
    <row r="246" spans="1:11" x14ac:dyDescent="0.25">
      <c r="A246" t="s">
        <v>797</v>
      </c>
      <c r="B246" t="s">
        <v>798</v>
      </c>
      <c r="C246" t="s">
        <v>182</v>
      </c>
      <c r="D246" t="s">
        <v>361</v>
      </c>
      <c r="E246">
        <v>0</v>
      </c>
      <c r="F246" t="s">
        <v>362</v>
      </c>
      <c r="G246">
        <v>0</v>
      </c>
      <c r="H246">
        <v>312568.59000000003</v>
      </c>
      <c r="I246">
        <v>0</v>
      </c>
      <c r="J246">
        <v>-671301.14</v>
      </c>
      <c r="K246">
        <v>-358732.55</v>
      </c>
    </row>
    <row r="247" spans="1:11" x14ac:dyDescent="0.25">
      <c r="A247" t="s">
        <v>799</v>
      </c>
      <c r="B247" t="s">
        <v>800</v>
      </c>
      <c r="C247" t="s">
        <v>182</v>
      </c>
      <c r="D247" t="s">
        <v>317</v>
      </c>
      <c r="E247">
        <v>0</v>
      </c>
      <c r="F247" t="s">
        <v>318</v>
      </c>
      <c r="G247">
        <v>0</v>
      </c>
      <c r="H247">
        <v>580000</v>
      </c>
      <c r="I247">
        <v>0</v>
      </c>
      <c r="J247">
        <v>0</v>
      </c>
      <c r="K247">
        <v>580000</v>
      </c>
    </row>
    <row r="248" spans="1:11" x14ac:dyDescent="0.25">
      <c r="A248" t="s">
        <v>882</v>
      </c>
      <c r="B248" t="s">
        <v>883</v>
      </c>
      <c r="C248" t="s">
        <v>182</v>
      </c>
      <c r="D248" t="s">
        <v>233</v>
      </c>
      <c r="E248">
        <v>2840000</v>
      </c>
      <c r="F248" t="s">
        <v>234</v>
      </c>
      <c r="G248">
        <v>0</v>
      </c>
      <c r="H248">
        <v>0</v>
      </c>
      <c r="I248">
        <v>0</v>
      </c>
      <c r="J248">
        <v>0</v>
      </c>
      <c r="K248">
        <v>2840000</v>
      </c>
    </row>
    <row r="249" spans="1:11" x14ac:dyDescent="0.25">
      <c r="A249" t="s">
        <v>801</v>
      </c>
      <c r="B249" t="s">
        <v>802</v>
      </c>
      <c r="C249" t="s">
        <v>182</v>
      </c>
      <c r="D249" t="s">
        <v>803</v>
      </c>
      <c r="E249">
        <v>0</v>
      </c>
      <c r="F249" t="s">
        <v>804</v>
      </c>
      <c r="G249">
        <v>1062513.1000000001</v>
      </c>
      <c r="H249">
        <v>0</v>
      </c>
      <c r="I249">
        <v>0</v>
      </c>
      <c r="J249">
        <v>0</v>
      </c>
      <c r="K249">
        <v>1062513.1000000001</v>
      </c>
    </row>
    <row r="250" spans="1:11" x14ac:dyDescent="0.25">
      <c r="A250" t="s">
        <v>805</v>
      </c>
      <c r="B250" t="s">
        <v>806</v>
      </c>
      <c r="C250" t="s">
        <v>182</v>
      </c>
      <c r="D250" t="s">
        <v>807</v>
      </c>
      <c r="E250">
        <v>0</v>
      </c>
      <c r="F250" t="s">
        <v>808</v>
      </c>
      <c r="G250">
        <v>43200964.079999998</v>
      </c>
      <c r="H250">
        <v>50795861.630000003</v>
      </c>
      <c r="I250">
        <v>0</v>
      </c>
      <c r="J250">
        <v>0</v>
      </c>
      <c r="K250">
        <v>93996825.709999993</v>
      </c>
    </row>
    <row r="251" spans="1:11" x14ac:dyDescent="0.25">
      <c r="A251" t="s">
        <v>809</v>
      </c>
      <c r="B251" t="s">
        <v>810</v>
      </c>
      <c r="C251" t="s">
        <v>182</v>
      </c>
      <c r="D251" t="s">
        <v>263</v>
      </c>
      <c r="E251">
        <v>0</v>
      </c>
      <c r="F251" t="s">
        <v>264</v>
      </c>
      <c r="G251">
        <v>787623.42</v>
      </c>
      <c r="H251">
        <v>0</v>
      </c>
      <c r="I251">
        <v>0</v>
      </c>
      <c r="J251">
        <v>0</v>
      </c>
      <c r="K251">
        <v>787623.42</v>
      </c>
    </row>
    <row r="252" spans="1:11" x14ac:dyDescent="0.25">
      <c r="A252" t="s">
        <v>811</v>
      </c>
      <c r="B252" t="s">
        <v>812</v>
      </c>
      <c r="C252" t="s">
        <v>182</v>
      </c>
      <c r="D252" t="s">
        <v>813</v>
      </c>
      <c r="E252">
        <v>0</v>
      </c>
      <c r="F252" t="s">
        <v>814</v>
      </c>
      <c r="G252">
        <v>19628712</v>
      </c>
      <c r="H252">
        <v>12572481.199999999</v>
      </c>
      <c r="I252">
        <v>0</v>
      </c>
      <c r="J252">
        <v>0</v>
      </c>
      <c r="K252">
        <v>32201193.199999999</v>
      </c>
    </row>
    <row r="253" spans="1:11" x14ac:dyDescent="0.25">
      <c r="A253" t="s">
        <v>815</v>
      </c>
      <c r="B253" t="s">
        <v>816</v>
      </c>
      <c r="C253" t="s">
        <v>182</v>
      </c>
      <c r="D253" t="s">
        <v>817</v>
      </c>
      <c r="E253">
        <v>0</v>
      </c>
      <c r="F253" t="s">
        <v>818</v>
      </c>
      <c r="G253">
        <v>37051691.990000002</v>
      </c>
      <c r="H253">
        <v>0</v>
      </c>
      <c r="I253">
        <v>0</v>
      </c>
      <c r="J253">
        <v>0</v>
      </c>
      <c r="K253">
        <v>37051691.990000002</v>
      </c>
    </row>
    <row r="254" spans="1:11" x14ac:dyDescent="0.25">
      <c r="A254" t="s">
        <v>819</v>
      </c>
      <c r="B254" t="s">
        <v>820</v>
      </c>
      <c r="C254" t="s">
        <v>182</v>
      </c>
      <c r="D254" t="s">
        <v>237</v>
      </c>
      <c r="E254">
        <v>1936160</v>
      </c>
      <c r="F254" t="s">
        <v>238</v>
      </c>
      <c r="G254">
        <v>45404638.82</v>
      </c>
      <c r="H254">
        <v>0</v>
      </c>
      <c r="I254">
        <v>0</v>
      </c>
      <c r="J254">
        <v>-1.1100000000000001</v>
      </c>
      <c r="K254">
        <v>47340797.710000001</v>
      </c>
    </row>
    <row r="255" spans="1:11" x14ac:dyDescent="0.25">
      <c r="A255" t="s">
        <v>884</v>
      </c>
      <c r="B255" t="s">
        <v>885</v>
      </c>
      <c r="C255" t="s">
        <v>182</v>
      </c>
      <c r="D255" t="s">
        <v>233</v>
      </c>
      <c r="E255">
        <v>19641398.210000001</v>
      </c>
      <c r="F255" t="s">
        <v>234</v>
      </c>
      <c r="G255">
        <v>0</v>
      </c>
      <c r="H255">
        <v>0</v>
      </c>
      <c r="I255">
        <v>0</v>
      </c>
      <c r="J255">
        <v>0</v>
      </c>
      <c r="K255">
        <v>19641398.210000001</v>
      </c>
    </row>
    <row r="256" spans="1:11" x14ac:dyDescent="0.25">
      <c r="A256" t="s">
        <v>821</v>
      </c>
      <c r="B256" t="s">
        <v>822</v>
      </c>
      <c r="C256" t="s">
        <v>182</v>
      </c>
      <c r="D256" t="s">
        <v>661</v>
      </c>
      <c r="E256">
        <v>0</v>
      </c>
      <c r="F256" t="s">
        <v>662</v>
      </c>
      <c r="G256">
        <v>6279914.8300000001</v>
      </c>
      <c r="H256">
        <v>2378768.7000000002</v>
      </c>
      <c r="I256">
        <v>0</v>
      </c>
      <c r="J256">
        <v>0</v>
      </c>
      <c r="K256">
        <v>8658683.5299999993</v>
      </c>
    </row>
    <row r="257" spans="1:11" x14ac:dyDescent="0.25">
      <c r="A257" t="s">
        <v>823</v>
      </c>
      <c r="B257" t="s">
        <v>824</v>
      </c>
      <c r="C257" t="s">
        <v>182</v>
      </c>
      <c r="D257" t="s">
        <v>441</v>
      </c>
      <c r="E257">
        <v>0</v>
      </c>
      <c r="F257" t="s">
        <v>442</v>
      </c>
      <c r="G257">
        <v>1485120</v>
      </c>
      <c r="H257">
        <v>0</v>
      </c>
      <c r="I257">
        <v>0</v>
      </c>
      <c r="J257">
        <v>0</v>
      </c>
      <c r="K257">
        <v>1485120</v>
      </c>
    </row>
    <row r="258" spans="1:11" x14ac:dyDescent="0.25">
      <c r="A258" t="s">
        <v>825</v>
      </c>
      <c r="B258" t="s">
        <v>826</v>
      </c>
      <c r="C258" t="s">
        <v>182</v>
      </c>
      <c r="D258" t="s">
        <v>679</v>
      </c>
      <c r="E258">
        <v>51224138.18</v>
      </c>
      <c r="F258" t="s">
        <v>680</v>
      </c>
      <c r="G258">
        <v>1442169052.8599999</v>
      </c>
      <c r="H258">
        <v>0</v>
      </c>
      <c r="I258">
        <v>0</v>
      </c>
      <c r="J258">
        <v>0</v>
      </c>
      <c r="K258">
        <v>1493393191.04</v>
      </c>
    </row>
    <row r="259" spans="1:11" x14ac:dyDescent="0.25">
      <c r="A259" t="s">
        <v>170</v>
      </c>
    </row>
    <row r="260" spans="1:11" x14ac:dyDescent="0.25">
      <c r="A260" t="s">
        <v>827</v>
      </c>
    </row>
    <row r="261" spans="1:11" x14ac:dyDescent="0.25">
      <c r="A261" t="s">
        <v>828</v>
      </c>
    </row>
    <row r="262" spans="1:11" x14ac:dyDescent="0.25">
      <c r="A262" t="s">
        <v>886</v>
      </c>
    </row>
    <row r="263" spans="1:11" x14ac:dyDescent="0.25">
      <c r="A263" t="s">
        <v>829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3F3C2-BE68-4AF4-A08C-963B5604C64E}">
  <dimension ref="A1"/>
  <sheetViews>
    <sheetView topLeftCell="A258" workbookViewId="0">
      <selection activeCell="A258"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2026-05-14T18:14:27Z</dcterms:modified>
  <dc:language>en-US</dc:language>
</cp:coreProperties>
</file>