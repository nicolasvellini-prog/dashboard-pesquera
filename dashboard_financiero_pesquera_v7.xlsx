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colas\Downloads\"/>
    </mc:Choice>
  </mc:AlternateContent>
  <xr:revisionPtr revIDLastSave="0" documentId="8_{767A44D3-E341-4BB3-BE16-2A738D21552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2" i="7" l="1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H89" i="6"/>
  <c r="E89" i="6"/>
  <c r="D89" i="6"/>
  <c r="C89" i="6"/>
  <c r="B89" i="6"/>
  <c r="A89" i="6"/>
  <c r="E88" i="6"/>
  <c r="D88" i="6"/>
  <c r="C88" i="6"/>
  <c r="H88" i="6" s="1"/>
  <c r="B88" i="6"/>
  <c r="A88" i="6"/>
  <c r="H87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2" i="6" l="1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<sst xmlns="http://schemas.openxmlformats.org/spreadsheetml/2006/main" count="1900" uniqueCount="720">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</sst>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3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0" fillId="0" borderId="3" xfId="0" applyBorder="1"/>
    <xf numFmtId="0" fontId="8" fillId="6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 indent="1"/>
    </xf>
    <xf numFmtId="0" fontId="5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file:///M:\CONTABLE\EMPRESAS\Pedro%20Moscuzza%20e%20Hijos%20S.A\Nicolas\2026\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</sheetNames>
    <sheetDataSet>
      <sheetData sheetId="0">
        <row r="10">
          <cell r="CJ10">
            <v>837432835</v>
          </cell>
          <cell r="CK10">
            <v>850726335</v>
          </cell>
        </row>
        <row r="13">
          <cell r="CJ13">
            <v>78949000</v>
          </cell>
          <cell r="CK13">
            <v>55135000</v>
          </cell>
        </row>
        <row r="14">
          <cell r="CJ14">
            <v>5783000</v>
          </cell>
          <cell r="CK14">
            <v>6687413</v>
          </cell>
        </row>
        <row r="15">
          <cell r="CJ15">
            <v>2000000</v>
          </cell>
          <cell r="CK15">
            <v>2000000</v>
          </cell>
        </row>
        <row r="16">
          <cell r="CJ16">
            <v>45656000</v>
          </cell>
          <cell r="CK16">
            <v>35083000</v>
          </cell>
        </row>
        <row r="22">
          <cell r="CJ22">
            <v>1740123570</v>
          </cell>
          <cell r="CK22">
            <v>1726830070</v>
          </cell>
        </row>
        <row r="24">
          <cell r="CJ24">
            <v>3160401274.7999997</v>
          </cell>
          <cell r="CK24">
            <v>2936149372.3200002</v>
          </cell>
        </row>
        <row r="25">
          <cell r="CJ25">
            <v>404494398</v>
          </cell>
          <cell r="CK25">
            <v>385519968</v>
          </cell>
        </row>
        <row r="29">
          <cell r="CJ29">
            <v>8574762042</v>
          </cell>
          <cell r="CK29">
            <v>8569053168</v>
          </cell>
        </row>
        <row r="31">
          <cell r="CJ31">
            <v>140297925.61000001</v>
          </cell>
          <cell r="CK31">
            <v>170372226</v>
          </cell>
        </row>
        <row r="43">
          <cell r="CJ43">
            <v>458483114</v>
          </cell>
          <cell r="CK43">
            <v>661233493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  <cell r="CK50">
            <v>9401592</v>
          </cell>
        </row>
        <row r="51">
          <cell r="CJ51">
            <v>6873443</v>
          </cell>
          <cell r="CK51">
            <v>10840885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</row>
        <row r="101">
          <cell r="CJ101">
            <v>990744710</v>
          </cell>
          <cell r="CK101">
            <v>771360669</v>
          </cell>
        </row>
        <row r="102">
          <cell r="CJ102">
            <v>6063777655</v>
          </cell>
          <cell r="CK102">
            <v>5851473775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  <cell r="CK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12" t="s">
        <v>0</v>
      </c>
      <c r="B1" s="12"/>
      <c r="C1" s="12"/>
      <c r="D1" s="12"/>
      <c r="E1" s="12"/>
      <c r="F1" s="12"/>
    </row>
    <row r="2" spans="1:6" ht="19.5" customHeight="1" x14ac:dyDescent="0.25">
      <c r="A2" s="11" t="s">
        <v>1</v>
      </c>
      <c r="B2" s="11"/>
      <c r="C2" s="11"/>
      <c r="D2" s="11"/>
      <c r="E2" s="11"/>
      <c r="F2" s="11"/>
    </row>
    <row r="5" spans="1:6" ht="15" customHeight="1" x14ac:dyDescent="0.25">
      <c r="A5" s="13"/>
      <c r="B5" s="14"/>
    </row>
    <row r="6" spans="1:6" ht="15" customHeight="1" x14ac:dyDescent="0.25">
      <c r="A6" s="10" t="s">
        <v>2</v>
      </c>
      <c r="B6" s="10"/>
      <c r="C6" s="10"/>
      <c r="D6" s="10"/>
      <c r="E6" s="10"/>
      <c r="F6" s="10"/>
    </row>
    <row r="7" spans="1:6" ht="15" customHeight="1" x14ac:dyDescent="0.25">
      <c r="A7" s="15" t="s">
        <v>3</v>
      </c>
      <c r="B7" s="15" t="s">
        <v>4</v>
      </c>
    </row>
    <row r="8" spans="1:6" ht="15" customHeight="1" x14ac:dyDescent="0.25">
      <c r="A8" s="13" t="s">
        <v>5</v>
      </c>
      <c r="B8" s="14" t="s">
        <v>6</v>
      </c>
    </row>
    <row r="9" spans="1:6" ht="15" customHeight="1" x14ac:dyDescent="0.25">
      <c r="A9" s="13" t="s">
        <v>7</v>
      </c>
      <c r="B9" s="14" t="s">
        <v>8</v>
      </c>
    </row>
    <row r="10" spans="1:6" ht="15" customHeight="1" x14ac:dyDescent="0.25">
      <c r="A10" s="13" t="s">
        <v>9</v>
      </c>
      <c r="B10" s="14" t="s">
        <v>10</v>
      </c>
    </row>
    <row r="11" spans="1:6" ht="15" customHeight="1" x14ac:dyDescent="0.25">
      <c r="A11" s="13" t="s">
        <v>11</v>
      </c>
      <c r="B11" s="14" t="s">
        <v>12</v>
      </c>
    </row>
    <row r="12" spans="1:6" ht="15" customHeight="1" x14ac:dyDescent="0.25">
      <c r="A12" s="13" t="s">
        <v>13</v>
      </c>
      <c r="B12" s="14" t="s">
        <v>14</v>
      </c>
    </row>
    <row r="13" spans="1:6" ht="15" customHeight="1" x14ac:dyDescent="0.25">
      <c r="A13" s="13" t="s">
        <v>15</v>
      </c>
      <c r="B13" s="14" t="s">
        <v>16</v>
      </c>
    </row>
    <row r="14" spans="1:6" ht="15" customHeight="1" x14ac:dyDescent="0.25">
      <c r="A14" s="13" t="s">
        <v>17</v>
      </c>
      <c r="B14" s="14" t="s">
        <v>18</v>
      </c>
    </row>
    <row r="15" spans="1:6" ht="15" customHeight="1" x14ac:dyDescent="0.25">
      <c r="A15" s="13" t="s">
        <v>19</v>
      </c>
      <c r="B15" s="14" t="s">
        <v>20</v>
      </c>
    </row>
    <row r="16" spans="1:6" ht="15" customHeight="1" x14ac:dyDescent="0.25">
      <c r="A16" s="13"/>
      <c r="B16" s="14"/>
    </row>
    <row r="17" spans="1:6" ht="15" customHeight="1" x14ac:dyDescent="0.25">
      <c r="A17" s="10" t="s">
        <v>21</v>
      </c>
      <c r="B17" s="10"/>
      <c r="C17" s="10"/>
      <c r="D17" s="10"/>
      <c r="E17" s="10"/>
      <c r="F17" s="10"/>
    </row>
    <row r="18" spans="1:6" ht="15" customHeight="1" x14ac:dyDescent="0.25">
      <c r="A18" s="15" t="s">
        <v>22</v>
      </c>
      <c r="B18" s="15" t="s">
        <v>23</v>
      </c>
    </row>
    <row r="19" spans="1:6" ht="15" customHeight="1" x14ac:dyDescent="0.25">
      <c r="A19" s="13" t="s">
        <v>24</v>
      </c>
      <c r="B19" s="14" t="s">
        <v>25</v>
      </c>
    </row>
    <row r="20" spans="1:6" ht="15" customHeight="1" x14ac:dyDescent="0.25">
      <c r="A20" s="13" t="s">
        <v>26</v>
      </c>
      <c r="B20" s="14" t="s">
        <v>27</v>
      </c>
    </row>
    <row r="21" spans="1:6" ht="15" customHeight="1" x14ac:dyDescent="0.25">
      <c r="A21" s="13" t="s">
        <v>28</v>
      </c>
      <c r="B21" s="14" t="s">
        <v>29</v>
      </c>
    </row>
    <row r="22" spans="1:6" ht="15" customHeight="1" x14ac:dyDescent="0.25">
      <c r="A22" s="13" t="s">
        <v>30</v>
      </c>
      <c r="B22" s="14" t="s">
        <v>31</v>
      </c>
    </row>
    <row r="23" spans="1:6" ht="15" customHeight="1" x14ac:dyDescent="0.25">
      <c r="A23" s="13"/>
      <c r="B23" s="14"/>
    </row>
    <row r="24" spans="1:6" ht="15" customHeight="1" x14ac:dyDescent="0.25">
      <c r="A24" s="10" t="s">
        <v>32</v>
      </c>
      <c r="B24" s="10"/>
      <c r="C24" s="10"/>
      <c r="D24" s="10"/>
      <c r="E24" s="10"/>
      <c r="F24" s="10"/>
    </row>
    <row r="25" spans="1:6" ht="15" customHeight="1" x14ac:dyDescent="0.25">
      <c r="A25" s="13" t="s">
        <v>33</v>
      </c>
      <c r="B25" s="14" t="s">
        <v>34</v>
      </c>
    </row>
    <row r="26" spans="1:6" ht="15" customHeight="1" x14ac:dyDescent="0.25">
      <c r="A26" s="13" t="s">
        <v>35</v>
      </c>
      <c r="B26" s="14" t="s">
        <v>36</v>
      </c>
    </row>
    <row r="27" spans="1:6" ht="15" customHeight="1" x14ac:dyDescent="0.25">
      <c r="A27" s="13" t="s">
        <v>37</v>
      </c>
      <c r="B27" s="14" t="s">
        <v>38</v>
      </c>
    </row>
    <row r="28" spans="1:6" ht="15" customHeight="1" x14ac:dyDescent="0.25">
      <c r="A28" s="13" t="s">
        <v>39</v>
      </c>
      <c r="B28" s="14" t="s">
        <v>40</v>
      </c>
    </row>
    <row r="29" spans="1:6" ht="15" customHeight="1" x14ac:dyDescent="0.25">
      <c r="A29" s="13" t="s">
        <v>41</v>
      </c>
      <c r="B29" s="14" t="s">
        <v>42</v>
      </c>
    </row>
    <row r="30" spans="1:6" ht="15" customHeight="1" x14ac:dyDescent="0.25">
      <c r="A30" s="13" t="s">
        <v>43</v>
      </c>
      <c r="B30" s="14" t="s">
        <v>44</v>
      </c>
    </row>
    <row r="31" spans="1:6" ht="15" customHeight="1" x14ac:dyDescent="0.25">
      <c r="A31" s="13" t="s">
        <v>45</v>
      </c>
      <c r="B31" s="14" t="s">
        <v>46</v>
      </c>
    </row>
    <row r="32" spans="1:6" ht="15" customHeight="1" x14ac:dyDescent="0.25">
      <c r="A32" s="13"/>
      <c r="B32" s="14"/>
    </row>
    <row r="33" spans="1:6" ht="15" customHeight="1" x14ac:dyDescent="0.25">
      <c r="A33" s="10" t="s">
        <v>47</v>
      </c>
      <c r="B33" s="10"/>
      <c r="C33" s="10"/>
      <c r="D33" s="10"/>
      <c r="E33" s="10"/>
      <c r="F33" s="10"/>
    </row>
    <row r="34" spans="1:6" ht="15" customHeight="1" x14ac:dyDescent="0.25">
      <c r="A34" s="13" t="s">
        <v>48</v>
      </c>
      <c r="B34" s="14" t="s">
        <v>49</v>
      </c>
    </row>
    <row r="35" spans="1:6" ht="15" customHeight="1" x14ac:dyDescent="0.25">
      <c r="A35" s="13" t="s">
        <v>48</v>
      </c>
      <c r="B35" s="14" t="s">
        <v>50</v>
      </c>
    </row>
    <row r="36" spans="1:6" ht="15" customHeight="1" x14ac:dyDescent="0.25">
      <c r="A36" s="13" t="s">
        <v>48</v>
      </c>
      <c r="B36" s="14" t="s">
        <v>51</v>
      </c>
    </row>
    <row r="37" spans="1:6" ht="15" customHeight="1" x14ac:dyDescent="0.25">
      <c r="A37" s="13" t="s">
        <v>48</v>
      </c>
      <c r="B37" s="14" t="s">
        <v>52</v>
      </c>
    </row>
    <row r="38" spans="1:6" ht="15" customHeight="1" x14ac:dyDescent="0.25">
      <c r="A38" s="13" t="s">
        <v>48</v>
      </c>
      <c r="B38" s="14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zoomScaleNormal="100" workbookViewId="0">
      <pane xSplit="2" ySplit="2" topLeftCell="U76" activePane="bottomRight" state="frozen"/>
      <selection pane="topRight" activeCell="C1" sqref="C1"/>
      <selection pane="bottomLeft" activeCell="A3" sqref="A3"/>
      <selection pane="bottomRight" sqref="A1:XFD1048576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customHeight="1" x14ac:dyDescent="0.25">
      <c r="A1" s="9" t="s">
        <v>54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37" ht="21.75" customHeight="1" x14ac:dyDescent="0.25">
      <c r="A2" s="16" t="s">
        <v>55</v>
      </c>
      <c r="B2" s="16" t="s">
        <v>56</v>
      </c>
      <c r="C2" s="8" t="s">
        <v>57</v>
      </c>
      <c r="D2" s="8"/>
      <c r="E2" s="8"/>
      <c r="F2" s="8"/>
      <c r="G2" s="8"/>
      <c r="H2" s="8"/>
      <c r="I2" s="8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6" t="s">
        <v>59</v>
      </c>
      <c r="X2" s="6"/>
      <c r="Y2" s="6"/>
      <c r="Z2" s="6"/>
      <c r="AA2" s="6"/>
      <c r="AB2" s="6"/>
      <c r="AC2" s="6"/>
      <c r="AD2" s="6"/>
      <c r="AE2" s="6"/>
      <c r="AF2" s="17"/>
      <c r="AG2" s="5"/>
      <c r="AH2" s="5"/>
      <c r="AI2" s="5"/>
      <c r="AJ2" s="5"/>
    </row>
    <row r="3" spans="1:37" ht="36" customHeight="1" x14ac:dyDescent="0.25">
      <c r="A3" s="18" t="s">
        <v>60</v>
      </c>
      <c r="B3" s="18" t="s">
        <v>61</v>
      </c>
      <c r="C3" s="19" t="s">
        <v>62</v>
      </c>
      <c r="D3" s="19" t="s">
        <v>63</v>
      </c>
      <c r="E3" s="19" t="s">
        <v>64</v>
      </c>
      <c r="F3" s="19" t="s">
        <v>65</v>
      </c>
      <c r="G3" s="19" t="s">
        <v>66</v>
      </c>
      <c r="H3" s="19" t="s">
        <v>67</v>
      </c>
      <c r="I3" s="19" t="s">
        <v>68</v>
      </c>
      <c r="J3" s="20" t="s">
        <v>69</v>
      </c>
      <c r="K3" s="20" t="s">
        <v>70</v>
      </c>
      <c r="L3" s="20" t="s">
        <v>71</v>
      </c>
      <c r="M3" s="20" t="s">
        <v>72</v>
      </c>
      <c r="N3" s="20" t="s">
        <v>73</v>
      </c>
      <c r="O3" s="20" t="s">
        <v>74</v>
      </c>
      <c r="P3" s="20" t="s">
        <v>75</v>
      </c>
      <c r="Q3" s="20" t="s">
        <v>76</v>
      </c>
      <c r="R3" s="20" t="s">
        <v>77</v>
      </c>
      <c r="S3" s="20" t="s">
        <v>78</v>
      </c>
      <c r="T3" s="20" t="s">
        <v>79</v>
      </c>
      <c r="U3" s="20" t="s">
        <v>80</v>
      </c>
      <c r="V3" s="20" t="s">
        <v>81</v>
      </c>
      <c r="W3" s="21" t="s">
        <v>82</v>
      </c>
      <c r="X3" s="21" t="s">
        <v>83</v>
      </c>
      <c r="Y3" s="21" t="s">
        <v>84</v>
      </c>
      <c r="Z3" s="22" t="s">
        <v>85</v>
      </c>
      <c r="AA3" s="21" t="s">
        <v>86</v>
      </c>
      <c r="AB3" s="21" t="s">
        <v>87</v>
      </c>
      <c r="AC3" s="21" t="s">
        <v>88</v>
      </c>
      <c r="AD3" s="21" t="s">
        <v>89</v>
      </c>
      <c r="AE3" s="21" t="s">
        <v>90</v>
      </c>
      <c r="AF3" s="23" t="s">
        <v>91</v>
      </c>
      <c r="AG3" s="24" t="s">
        <v>92</v>
      </c>
      <c r="AH3" s="24" t="s">
        <v>93</v>
      </c>
      <c r="AI3" s="24" t="s">
        <v>94</v>
      </c>
      <c r="AJ3" s="24" t="s">
        <v>95</v>
      </c>
    </row>
    <row r="4" spans="1:37" ht="15.75" customHeight="1" x14ac:dyDescent="0.25">
      <c r="A4" s="25">
        <v>46029</v>
      </c>
      <c r="B4" s="77">
        <v>1463</v>
      </c>
      <c r="C4" s="26">
        <v>0</v>
      </c>
      <c r="D4" s="26">
        <v>147143953</v>
      </c>
      <c r="E4" s="26">
        <v>-17312000</v>
      </c>
      <c r="F4" s="26">
        <v>0</v>
      </c>
      <c r="G4" s="26">
        <v>5368000</v>
      </c>
      <c r="H4" s="26">
        <v>6913000</v>
      </c>
      <c r="I4" s="26">
        <v>984848664</v>
      </c>
      <c r="J4" s="26">
        <v>93118000</v>
      </c>
      <c r="K4" s="26">
        <v>0</v>
      </c>
      <c r="L4" s="26">
        <v>0</v>
      </c>
      <c r="M4" s="26">
        <v>0</v>
      </c>
      <c r="N4" s="26">
        <v>0</v>
      </c>
      <c r="O4" s="26">
        <v>0</v>
      </c>
      <c r="P4" s="26">
        <v>0</v>
      </c>
      <c r="Q4" s="26">
        <v>331346284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396177166</v>
      </c>
      <c r="Y4" s="26">
        <v>2543380519</v>
      </c>
      <c r="Z4" s="26">
        <v>220357000</v>
      </c>
      <c r="AA4" s="26">
        <v>4106866784</v>
      </c>
      <c r="AB4" s="77">
        <v>2600000</v>
      </c>
      <c r="AC4" s="77">
        <v>6975000</v>
      </c>
      <c r="AD4" s="77">
        <v>159934</v>
      </c>
      <c r="AE4" s="77">
        <v>2044803</v>
      </c>
      <c r="AF4" s="77">
        <v>6441928</v>
      </c>
      <c r="AG4" s="26">
        <v>4314967894</v>
      </c>
      <c r="AH4" s="26">
        <v>6208398504</v>
      </c>
      <c r="AI4" s="26">
        <v>4836302009</v>
      </c>
      <c r="AJ4" s="26">
        <v>1972327480</v>
      </c>
      <c r="AK4" s="27"/>
    </row>
    <row r="5" spans="1:37" ht="15.75" customHeight="1" x14ac:dyDescent="0.25">
      <c r="A5" s="25">
        <v>46030</v>
      </c>
      <c r="B5" s="77">
        <v>1469</v>
      </c>
      <c r="C5" s="26">
        <v>0</v>
      </c>
      <c r="D5" s="26">
        <v>147143953.16999999</v>
      </c>
      <c r="E5" s="26">
        <v>103831332</v>
      </c>
      <c r="F5" s="26">
        <v>0</v>
      </c>
      <c r="G5" s="26">
        <v>24804817.870000001</v>
      </c>
      <c r="H5" s="26">
        <v>3794000</v>
      </c>
      <c r="I5" s="26">
        <v>1127668632</v>
      </c>
      <c r="J5" s="26">
        <v>98556000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366732120</v>
      </c>
      <c r="Q5" s="26">
        <v>3010892.09</v>
      </c>
      <c r="R5" s="26">
        <v>0</v>
      </c>
      <c r="S5" s="26">
        <v>0</v>
      </c>
      <c r="T5" s="26">
        <v>45929347</v>
      </c>
      <c r="U5" s="26">
        <v>0</v>
      </c>
      <c r="V5" s="26">
        <v>0</v>
      </c>
      <c r="W5" s="26">
        <v>0</v>
      </c>
      <c r="X5" s="26">
        <v>343083825.89999998</v>
      </c>
      <c r="Y5" s="26">
        <v>2493689353</v>
      </c>
      <c r="Z5" s="26">
        <v>220357000</v>
      </c>
      <c r="AA5" s="26">
        <v>4094188807</v>
      </c>
      <c r="AB5" s="77">
        <v>2600000</v>
      </c>
      <c r="AC5" s="77">
        <v>6975000</v>
      </c>
      <c r="AD5" s="77">
        <v>159934</v>
      </c>
      <c r="AE5" s="77">
        <v>2044803</v>
      </c>
      <c r="AF5" s="77">
        <v>6480455</v>
      </c>
      <c r="AG5" s="26">
        <v>4314967894</v>
      </c>
      <c r="AH5" s="26">
        <v>6110180635</v>
      </c>
      <c r="AI5" s="26">
        <v>4816967051</v>
      </c>
      <c r="AJ5" s="26">
        <v>422641035</v>
      </c>
      <c r="AK5" s="27"/>
    </row>
    <row r="6" spans="1:37" ht="15.75" customHeight="1" x14ac:dyDescent="0.25">
      <c r="A6" s="25">
        <v>46031</v>
      </c>
      <c r="B6" s="77">
        <v>1455</v>
      </c>
      <c r="C6" s="26">
        <v>0</v>
      </c>
      <c r="D6" s="26">
        <v>102302314</v>
      </c>
      <c r="E6" s="26">
        <v>63095000</v>
      </c>
      <c r="F6" s="26">
        <v>0</v>
      </c>
      <c r="G6" s="26">
        <v>14747000</v>
      </c>
      <c r="H6" s="26">
        <v>12301000</v>
      </c>
      <c r="I6" s="26">
        <v>996009122</v>
      </c>
      <c r="J6" s="26">
        <v>2347817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126421132</v>
      </c>
      <c r="Q6" s="26">
        <v>7044405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506350251.04000002</v>
      </c>
      <c r="Y6" s="26">
        <v>1113182008</v>
      </c>
      <c r="Z6" s="26">
        <v>220357000</v>
      </c>
      <c r="AA6" s="26">
        <v>4182158189</v>
      </c>
      <c r="AB6" s="77">
        <v>2600000</v>
      </c>
      <c r="AC6" s="77">
        <v>6975000</v>
      </c>
      <c r="AD6" s="77">
        <v>159934</v>
      </c>
      <c r="AE6" s="77">
        <v>2044803</v>
      </c>
      <c r="AF6" s="77">
        <v>7740751.1799999997</v>
      </c>
      <c r="AG6" s="26">
        <v>4314967894</v>
      </c>
      <c r="AH6" s="26">
        <v>5581783035</v>
      </c>
      <c r="AI6" s="26">
        <v>4658234880</v>
      </c>
      <c r="AJ6" s="26">
        <v>422947645</v>
      </c>
      <c r="AK6" s="27"/>
    </row>
    <row r="7" spans="1:37" ht="15.75" customHeight="1" x14ac:dyDescent="0.25">
      <c r="A7" s="25">
        <v>46034</v>
      </c>
      <c r="B7" s="77">
        <v>1465.5</v>
      </c>
      <c r="C7" s="26">
        <v>0</v>
      </c>
      <c r="D7" s="26">
        <v>191195891.53999999</v>
      </c>
      <c r="E7" s="26">
        <v>19902000</v>
      </c>
      <c r="F7" s="26">
        <v>0</v>
      </c>
      <c r="G7" s="26">
        <v>1103000</v>
      </c>
      <c r="H7" s="26">
        <v>309000</v>
      </c>
      <c r="I7" s="26">
        <v>1129839976</v>
      </c>
      <c r="J7" s="26">
        <v>38460000</v>
      </c>
      <c r="K7" s="26">
        <v>0</v>
      </c>
      <c r="L7" s="26">
        <v>23625223</v>
      </c>
      <c r="M7" s="26">
        <v>0</v>
      </c>
      <c r="N7" s="26">
        <v>0</v>
      </c>
      <c r="O7" s="26">
        <v>0</v>
      </c>
      <c r="P7" s="26">
        <v>109006535</v>
      </c>
      <c r="Q7" s="26">
        <v>224149787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717079149</v>
      </c>
      <c r="Y7" s="26">
        <v>944499841</v>
      </c>
      <c r="Z7" s="26">
        <v>220357000</v>
      </c>
      <c r="AA7" s="26">
        <v>4087351389</v>
      </c>
      <c r="AB7" s="77">
        <v>2600000</v>
      </c>
      <c r="AC7" s="77">
        <v>6975000</v>
      </c>
      <c r="AD7" s="77">
        <v>159934</v>
      </c>
      <c r="AE7" s="77">
        <v>2344803</v>
      </c>
      <c r="AF7" s="77">
        <v>8315409</v>
      </c>
      <c r="AG7" s="26">
        <v>4314967894</v>
      </c>
      <c r="AH7" s="26">
        <v>4486855402.5</v>
      </c>
      <c r="AI7" s="26">
        <v>4988005110</v>
      </c>
      <c r="AJ7" s="26">
        <v>423827578</v>
      </c>
      <c r="AK7" s="27"/>
    </row>
    <row r="8" spans="1:37" ht="15.75" customHeight="1" x14ac:dyDescent="0.25">
      <c r="A8" s="25">
        <v>46035</v>
      </c>
      <c r="B8" s="77">
        <v>1462</v>
      </c>
      <c r="C8" s="26">
        <v>0</v>
      </c>
      <c r="D8" s="26">
        <v>191195891</v>
      </c>
      <c r="E8" s="26">
        <v>41915000</v>
      </c>
      <c r="F8" s="26">
        <v>0</v>
      </c>
      <c r="G8" s="26">
        <v>15637889</v>
      </c>
      <c r="H8" s="26">
        <v>0</v>
      </c>
      <c r="I8" s="26">
        <v>1129839976</v>
      </c>
      <c r="J8" s="26">
        <v>167756834</v>
      </c>
      <c r="K8" s="26">
        <v>0</v>
      </c>
      <c r="L8" s="26">
        <v>39116189</v>
      </c>
      <c r="M8" s="26">
        <v>0</v>
      </c>
      <c r="N8" s="26">
        <v>0</v>
      </c>
      <c r="O8" s="26">
        <v>0</v>
      </c>
      <c r="P8" s="26">
        <v>15121860</v>
      </c>
      <c r="Q8" s="26">
        <v>180946598</v>
      </c>
      <c r="R8" s="26">
        <v>0</v>
      </c>
      <c r="S8" s="26">
        <v>0</v>
      </c>
      <c r="T8" s="26">
        <v>0</v>
      </c>
      <c r="U8" s="26">
        <v>0</v>
      </c>
      <c r="V8" s="26">
        <v>0</v>
      </c>
      <c r="W8" s="26">
        <v>0</v>
      </c>
      <c r="X8" s="26">
        <v>828454859</v>
      </c>
      <c r="Y8" s="26">
        <v>705798673</v>
      </c>
      <c r="Z8" s="26">
        <v>220357000</v>
      </c>
      <c r="AA8" s="26">
        <v>3882411723</v>
      </c>
      <c r="AB8" s="77">
        <v>2600000</v>
      </c>
      <c r="AC8" s="77">
        <v>6975000</v>
      </c>
      <c r="AD8" s="77">
        <v>159934</v>
      </c>
      <c r="AE8" s="77">
        <v>2344803</v>
      </c>
      <c r="AF8" s="77">
        <v>8965227.4900000002</v>
      </c>
      <c r="AG8" s="26">
        <v>4314967894</v>
      </c>
      <c r="AH8" s="26">
        <v>4284443632</v>
      </c>
      <c r="AI8" s="26">
        <v>4713813455.8199997</v>
      </c>
      <c r="AJ8" s="26">
        <v>424124427</v>
      </c>
      <c r="AK8" s="27"/>
    </row>
    <row r="9" spans="1:37" ht="15.75" customHeight="1" x14ac:dyDescent="0.25">
      <c r="A9" s="25">
        <v>46036</v>
      </c>
      <c r="B9" s="77">
        <v>1464.5</v>
      </c>
      <c r="C9" s="26">
        <v>0</v>
      </c>
      <c r="D9" s="26">
        <v>62480863.369999997</v>
      </c>
      <c r="E9" s="26">
        <v>60536771</v>
      </c>
      <c r="F9" s="26">
        <v>0</v>
      </c>
      <c r="G9" s="26">
        <v>25159457</v>
      </c>
      <c r="H9" s="26">
        <v>0</v>
      </c>
      <c r="I9" s="26">
        <v>1143603954</v>
      </c>
      <c r="J9" s="26">
        <v>170000000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183177718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938129312</v>
      </c>
      <c r="Y9" s="26">
        <v>569683193</v>
      </c>
      <c r="Z9" s="26">
        <v>220357000</v>
      </c>
      <c r="AA9" s="26">
        <v>3764632228</v>
      </c>
      <c r="AB9" s="77">
        <v>2600000</v>
      </c>
      <c r="AC9" s="77">
        <v>6975000</v>
      </c>
      <c r="AD9" s="77">
        <v>159934</v>
      </c>
      <c r="AE9" s="77">
        <v>2344803</v>
      </c>
      <c r="AF9" s="77">
        <v>8783530.5700000003</v>
      </c>
      <c r="AG9" s="26">
        <v>4314967894</v>
      </c>
      <c r="AH9" s="26">
        <v>4092690235.5</v>
      </c>
      <c r="AI9" s="26">
        <v>4672764040.5</v>
      </c>
      <c r="AJ9" s="26">
        <v>424459423</v>
      </c>
      <c r="AK9" s="28"/>
    </row>
    <row r="10" spans="1:37" ht="15.75" customHeight="1" x14ac:dyDescent="0.25">
      <c r="A10" s="25">
        <v>46037</v>
      </c>
      <c r="B10" s="77">
        <v>1450</v>
      </c>
      <c r="C10" s="26">
        <v>0</v>
      </c>
      <c r="D10" s="26">
        <v>62480863.369999997</v>
      </c>
      <c r="E10" s="26">
        <v>74751000</v>
      </c>
      <c r="F10" s="26">
        <v>0</v>
      </c>
      <c r="G10" s="26">
        <v>9758000</v>
      </c>
      <c r="H10" s="26">
        <v>0</v>
      </c>
      <c r="I10" s="26">
        <v>1214275683</v>
      </c>
      <c r="J10" s="26">
        <v>276864200</v>
      </c>
      <c r="K10" s="26">
        <v>0</v>
      </c>
      <c r="L10" s="26">
        <v>1009800</v>
      </c>
      <c r="M10" s="26">
        <v>0</v>
      </c>
      <c r="N10" s="26">
        <v>0</v>
      </c>
      <c r="O10" s="26">
        <v>0</v>
      </c>
      <c r="P10" s="26">
        <v>0</v>
      </c>
      <c r="Q10" s="26">
        <v>10591253.68</v>
      </c>
      <c r="R10" s="26">
        <v>0</v>
      </c>
      <c r="S10" s="26">
        <v>0</v>
      </c>
      <c r="T10" s="26">
        <v>0</v>
      </c>
      <c r="U10" s="26">
        <v>194000000</v>
      </c>
      <c r="V10" s="26">
        <v>0</v>
      </c>
      <c r="W10" s="26">
        <v>0</v>
      </c>
      <c r="X10" s="26">
        <v>764830293.83000004</v>
      </c>
      <c r="Y10" s="26">
        <v>604673438</v>
      </c>
      <c r="Z10" s="26">
        <v>220357000</v>
      </c>
      <c r="AA10" s="26">
        <v>3766894667</v>
      </c>
      <c r="AB10" s="77">
        <v>2600000</v>
      </c>
      <c r="AC10" s="77">
        <v>6975000</v>
      </c>
      <c r="AD10" s="77">
        <v>159934</v>
      </c>
      <c r="AE10" s="77">
        <v>2344803</v>
      </c>
      <c r="AF10" s="77">
        <v>8886136.3100000005</v>
      </c>
      <c r="AG10" s="26">
        <v>4314967894</v>
      </c>
      <c r="AH10" s="26">
        <v>4231934388</v>
      </c>
      <c r="AI10" s="26">
        <v>4759593100</v>
      </c>
      <c r="AJ10" s="26">
        <v>194610289.44</v>
      </c>
      <c r="AK10" s="28"/>
    </row>
    <row r="11" spans="1:37" ht="15.75" customHeight="1" x14ac:dyDescent="0.25">
      <c r="A11" s="25">
        <v>46038</v>
      </c>
      <c r="B11" s="77">
        <v>1440</v>
      </c>
      <c r="C11" s="26">
        <v>0</v>
      </c>
      <c r="D11" s="26">
        <v>170748138</v>
      </c>
      <c r="E11" s="26">
        <v>164880000</v>
      </c>
      <c r="F11" s="26">
        <v>0</v>
      </c>
      <c r="G11" s="26">
        <v>-3450000</v>
      </c>
      <c r="H11" s="26">
        <v>0</v>
      </c>
      <c r="I11" s="26">
        <v>1096607000</v>
      </c>
      <c r="J11" s="26">
        <v>180913832.91999999</v>
      </c>
      <c r="K11" s="26">
        <v>0</v>
      </c>
      <c r="L11" s="26">
        <v>2919605</v>
      </c>
      <c r="M11" s="26">
        <v>0</v>
      </c>
      <c r="N11" s="26">
        <v>0</v>
      </c>
      <c r="O11" s="26">
        <v>0</v>
      </c>
      <c r="P11" s="26">
        <v>7054822</v>
      </c>
      <c r="Q11" s="26">
        <v>3191483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995710009</v>
      </c>
      <c r="Y11" s="26">
        <v>487074663</v>
      </c>
      <c r="Z11" s="26">
        <v>220357000</v>
      </c>
      <c r="AA11" s="26">
        <v>3172758684</v>
      </c>
      <c r="AB11" s="77">
        <v>2600000</v>
      </c>
      <c r="AC11" s="77">
        <v>6975000</v>
      </c>
      <c r="AD11" s="77">
        <v>159934</v>
      </c>
      <c r="AE11" s="77">
        <v>2344803</v>
      </c>
      <c r="AF11" s="77">
        <v>9582201.909</v>
      </c>
      <c r="AG11" s="26">
        <v>4314967894</v>
      </c>
      <c r="AH11" s="26">
        <v>4073068713.5999999</v>
      </c>
      <c r="AI11" s="26">
        <v>4577526720</v>
      </c>
      <c r="AJ11" s="26">
        <v>611311.32999999996</v>
      </c>
      <c r="AK11" s="28"/>
    </row>
    <row r="12" spans="1:37" ht="15.75" customHeight="1" x14ac:dyDescent="0.25">
      <c r="A12" s="25">
        <v>46041</v>
      </c>
      <c r="B12" s="77">
        <v>1428</v>
      </c>
      <c r="C12" s="26">
        <v>0</v>
      </c>
      <c r="D12" s="26">
        <v>170748138</v>
      </c>
      <c r="E12" s="26">
        <v>176500595</v>
      </c>
      <c r="F12" s="26">
        <v>0</v>
      </c>
      <c r="G12" s="26">
        <v>9812921</v>
      </c>
      <c r="H12" s="26">
        <v>0</v>
      </c>
      <c r="I12" s="26">
        <v>1098875342</v>
      </c>
      <c r="J12" s="26">
        <v>93270575</v>
      </c>
      <c r="K12" s="26">
        <v>0</v>
      </c>
      <c r="L12" s="26">
        <v>30686642</v>
      </c>
      <c r="M12" s="26">
        <v>0</v>
      </c>
      <c r="N12" s="26">
        <v>0</v>
      </c>
      <c r="O12" s="26">
        <v>0</v>
      </c>
      <c r="P12" s="26">
        <v>0</v>
      </c>
      <c r="Q12" s="26">
        <v>2786622</v>
      </c>
      <c r="R12" s="26">
        <v>106064322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727601822</v>
      </c>
      <c r="Y12" s="26">
        <v>55545741</v>
      </c>
      <c r="Z12" s="26">
        <v>220357000</v>
      </c>
      <c r="AA12" s="26">
        <v>3286079509</v>
      </c>
      <c r="AB12" s="77">
        <v>2600000</v>
      </c>
      <c r="AC12" s="77">
        <v>6975000</v>
      </c>
      <c r="AD12" s="77">
        <v>159934</v>
      </c>
      <c r="AE12" s="77">
        <v>2194803</v>
      </c>
      <c r="AF12" s="77">
        <v>10991009.26</v>
      </c>
      <c r="AG12" s="26">
        <v>4314967894</v>
      </c>
      <c r="AH12" s="26">
        <v>3619803342.1199999</v>
      </c>
      <c r="AI12" s="26">
        <v>4647360312</v>
      </c>
      <c r="AJ12" s="26">
        <v>612693</v>
      </c>
      <c r="AK12" s="28"/>
    </row>
    <row r="13" spans="1:37" ht="15.75" customHeight="1" x14ac:dyDescent="0.25">
      <c r="A13" s="25">
        <v>46042</v>
      </c>
      <c r="B13" s="77">
        <v>1428.5</v>
      </c>
      <c r="C13" s="26">
        <v>0</v>
      </c>
      <c r="D13" s="26">
        <v>138310839.40000001</v>
      </c>
      <c r="E13" s="26">
        <v>73444051</v>
      </c>
      <c r="F13" s="26">
        <v>0</v>
      </c>
      <c r="G13" s="26">
        <v>15092051</v>
      </c>
      <c r="H13" s="26">
        <v>0</v>
      </c>
      <c r="I13" s="26">
        <v>1039256943</v>
      </c>
      <c r="J13" s="26">
        <v>173300000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157286696</v>
      </c>
      <c r="R13" s="26">
        <v>0</v>
      </c>
      <c r="S13" s="26">
        <v>0</v>
      </c>
      <c r="T13" s="26">
        <v>0</v>
      </c>
      <c r="U13" s="26">
        <v>180000000</v>
      </c>
      <c r="V13" s="26">
        <v>0</v>
      </c>
      <c r="W13" s="26">
        <v>0</v>
      </c>
      <c r="X13" s="26">
        <v>763073132</v>
      </c>
      <c r="Y13" s="26">
        <v>801275230</v>
      </c>
      <c r="Z13" s="26">
        <v>220357000</v>
      </c>
      <c r="AA13" s="26">
        <v>3243064886.5</v>
      </c>
      <c r="AB13" s="77">
        <v>2600000</v>
      </c>
      <c r="AC13" s="77">
        <v>6975000</v>
      </c>
      <c r="AD13" s="77">
        <v>159934</v>
      </c>
      <c r="AE13" s="77">
        <v>2194803</v>
      </c>
      <c r="AF13" s="77">
        <v>11490332.2655</v>
      </c>
      <c r="AG13" s="26">
        <v>4314967894</v>
      </c>
      <c r="AH13" s="26">
        <v>3552467067.7649999</v>
      </c>
      <c r="AI13" s="26">
        <v>4648987539</v>
      </c>
      <c r="AJ13" s="26">
        <v>613144.98</v>
      </c>
      <c r="AK13" s="28"/>
    </row>
    <row r="14" spans="1:37" ht="15.75" customHeight="1" x14ac:dyDescent="0.25">
      <c r="A14" s="25">
        <v>46043</v>
      </c>
      <c r="B14" s="77">
        <v>1432</v>
      </c>
      <c r="C14" s="26">
        <v>0</v>
      </c>
      <c r="D14" s="26">
        <v>114890681.03</v>
      </c>
      <c r="E14" s="26">
        <v>84544428.829999998</v>
      </c>
      <c r="F14" s="26">
        <v>0</v>
      </c>
      <c r="G14" s="26">
        <v>8979855</v>
      </c>
      <c r="H14" s="26">
        <v>0</v>
      </c>
      <c r="I14" s="26">
        <v>1039256943</v>
      </c>
      <c r="J14" s="26">
        <v>107253172</v>
      </c>
      <c r="K14" s="26">
        <v>0</v>
      </c>
      <c r="L14" s="26">
        <v>27735508</v>
      </c>
      <c r="M14" s="26">
        <v>0</v>
      </c>
      <c r="N14" s="26">
        <v>0</v>
      </c>
      <c r="O14" s="26">
        <v>43586760</v>
      </c>
      <c r="P14" s="26">
        <v>144447864</v>
      </c>
      <c r="Q14" s="26">
        <v>37176621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759957476</v>
      </c>
      <c r="Y14" s="26">
        <v>624555549</v>
      </c>
      <c r="Z14" s="26">
        <v>220357000</v>
      </c>
      <c r="AA14" s="26">
        <v>3592955206</v>
      </c>
      <c r="AB14" s="77">
        <v>2600000</v>
      </c>
      <c r="AC14" s="77">
        <v>6975000</v>
      </c>
      <c r="AD14" s="77">
        <v>159934</v>
      </c>
      <c r="AE14" s="77">
        <v>2194803</v>
      </c>
      <c r="AF14" s="77">
        <v>12252881</v>
      </c>
      <c r="AG14" s="26">
        <v>4314967894</v>
      </c>
      <c r="AH14" s="26">
        <v>3574347452.0799999</v>
      </c>
      <c r="AI14" s="26">
        <v>4087129912</v>
      </c>
      <c r="AJ14" s="26">
        <v>613592.34</v>
      </c>
      <c r="AK14" s="28"/>
    </row>
    <row r="15" spans="1:37" ht="15.75" customHeight="1" x14ac:dyDescent="0.25">
      <c r="A15" s="25">
        <v>46044</v>
      </c>
      <c r="B15" s="77">
        <v>1427</v>
      </c>
      <c r="C15" s="26">
        <v>0</v>
      </c>
      <c r="D15" s="26">
        <v>61294019</v>
      </c>
      <c r="E15" s="26">
        <v>404952346.39999998</v>
      </c>
      <c r="F15" s="26">
        <v>0</v>
      </c>
      <c r="G15" s="26">
        <v>8492957.3100000005</v>
      </c>
      <c r="H15" s="26">
        <v>4032000</v>
      </c>
      <c r="I15" s="26">
        <v>1039256943</v>
      </c>
      <c r="J15" s="26">
        <v>133501600</v>
      </c>
      <c r="K15" s="26">
        <v>0</v>
      </c>
      <c r="L15" s="26">
        <v>80264892</v>
      </c>
      <c r="M15" s="26">
        <v>0</v>
      </c>
      <c r="N15" s="26">
        <v>0</v>
      </c>
      <c r="O15" s="26">
        <v>0</v>
      </c>
      <c r="P15" s="26">
        <v>19105502</v>
      </c>
      <c r="Q15" s="26">
        <v>1046236</v>
      </c>
      <c r="R15" s="26">
        <v>176000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685317771.53999996</v>
      </c>
      <c r="Y15" s="26">
        <v>570093319</v>
      </c>
      <c r="Z15" s="26">
        <v>220357000</v>
      </c>
      <c r="AA15" s="26">
        <v>3508883840.3200002</v>
      </c>
      <c r="AB15" s="77">
        <v>2600000</v>
      </c>
      <c r="AC15" s="77">
        <v>6975000</v>
      </c>
      <c r="AD15" s="77">
        <v>159934</v>
      </c>
      <c r="AE15" s="77">
        <v>2194803</v>
      </c>
      <c r="AF15" s="77">
        <v>12482991</v>
      </c>
      <c r="AG15" s="26">
        <v>4314967894</v>
      </c>
      <c r="AH15" s="26">
        <v>3428136169.0300002</v>
      </c>
      <c r="AI15" s="26">
        <v>4072859207</v>
      </c>
      <c r="AJ15" s="26">
        <v>614057</v>
      </c>
      <c r="AK15" s="28"/>
    </row>
    <row r="16" spans="1:37" ht="15.75" customHeight="1" x14ac:dyDescent="0.25">
      <c r="A16" s="25">
        <v>46045</v>
      </c>
      <c r="B16" s="77">
        <v>1421</v>
      </c>
      <c r="C16" s="26">
        <v>0</v>
      </c>
      <c r="D16" s="26">
        <v>61294019</v>
      </c>
      <c r="E16" s="26">
        <v>152245000</v>
      </c>
      <c r="F16" s="26">
        <v>0</v>
      </c>
      <c r="G16" s="26">
        <v>107905000</v>
      </c>
      <c r="H16" s="26">
        <v>4032000</v>
      </c>
      <c r="I16" s="26">
        <v>1259696842</v>
      </c>
      <c r="J16" s="26">
        <v>102950586</v>
      </c>
      <c r="K16" s="26">
        <v>0</v>
      </c>
      <c r="L16" s="26">
        <v>0</v>
      </c>
      <c r="M16" s="26">
        <v>0</v>
      </c>
      <c r="N16" s="26">
        <v>0</v>
      </c>
      <c r="O16" s="26">
        <v>1110780</v>
      </c>
      <c r="P16" s="26">
        <v>5821979</v>
      </c>
      <c r="Q16" s="26">
        <v>99080826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1060139595</v>
      </c>
      <c r="Y16" s="26">
        <v>481474496</v>
      </c>
      <c r="Z16" s="26">
        <v>220357000</v>
      </c>
      <c r="AA16" s="26">
        <v>2923682435.5799999</v>
      </c>
      <c r="AB16" s="77">
        <v>2600000</v>
      </c>
      <c r="AC16" s="77">
        <v>6975000</v>
      </c>
      <c r="AD16" s="77">
        <v>159934</v>
      </c>
      <c r="AE16" s="77">
        <v>2194803</v>
      </c>
      <c r="AF16" s="77">
        <v>13171481</v>
      </c>
      <c r="AG16" s="26">
        <v>4314967894</v>
      </c>
      <c r="AH16" s="26">
        <v>3568680927</v>
      </c>
      <c r="AI16" s="26">
        <v>3804214519</v>
      </c>
      <c r="AJ16" s="26">
        <v>614524</v>
      </c>
      <c r="AK16" s="28"/>
    </row>
    <row r="17" spans="1:37" ht="15.75" customHeight="1" x14ac:dyDescent="0.25">
      <c r="A17" s="25">
        <v>46048</v>
      </c>
      <c r="B17" s="77">
        <v>1428</v>
      </c>
      <c r="C17" s="26">
        <v>0</v>
      </c>
      <c r="D17" s="26">
        <v>16846129</v>
      </c>
      <c r="E17" s="26">
        <v>7882910.9100000001</v>
      </c>
      <c r="F17" s="26">
        <v>0</v>
      </c>
      <c r="G17" s="26">
        <v>7362455.4299999997</v>
      </c>
      <c r="H17" s="26">
        <v>2143000</v>
      </c>
      <c r="I17" s="26">
        <v>1197683340</v>
      </c>
      <c r="J17" s="26">
        <v>135016848.68000001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5000000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808925046</v>
      </c>
      <c r="Y17" s="26">
        <v>661985561</v>
      </c>
      <c r="Z17" s="26">
        <v>220357000</v>
      </c>
      <c r="AA17" s="26">
        <v>2946289434.0999999</v>
      </c>
      <c r="AB17" s="77">
        <v>2600000</v>
      </c>
      <c r="AC17" s="77">
        <v>6975000</v>
      </c>
      <c r="AD17" s="77">
        <v>159934</v>
      </c>
      <c r="AE17" s="77">
        <v>2194803</v>
      </c>
      <c r="AF17" s="77">
        <v>14450695</v>
      </c>
      <c r="AG17" s="26">
        <v>4314967894</v>
      </c>
      <c r="AH17" s="26">
        <v>3377708932.9200001</v>
      </c>
      <c r="AI17" s="26">
        <v>3808674492</v>
      </c>
      <c r="AJ17" s="26">
        <v>615840</v>
      </c>
      <c r="AK17" s="28"/>
    </row>
    <row r="18" spans="1:37" ht="15.75" customHeight="1" x14ac:dyDescent="0.25">
      <c r="A18" s="25">
        <v>46049</v>
      </c>
      <c r="B18" s="77">
        <v>1435</v>
      </c>
      <c r="C18" s="26">
        <v>0</v>
      </c>
      <c r="D18" s="26">
        <v>21598493.559999999</v>
      </c>
      <c r="E18" s="26">
        <v>63357361.978</v>
      </c>
      <c r="F18" s="26">
        <v>0</v>
      </c>
      <c r="G18" s="26">
        <v>7831332.1200000001</v>
      </c>
      <c r="H18" s="26">
        <v>2143000</v>
      </c>
      <c r="I18" s="26">
        <v>1192572236</v>
      </c>
      <c r="J18" s="26">
        <v>194500000</v>
      </c>
      <c r="K18" s="26">
        <v>0</v>
      </c>
      <c r="L18" s="26">
        <v>9187620</v>
      </c>
      <c r="M18" s="26">
        <v>0</v>
      </c>
      <c r="N18" s="26">
        <v>0</v>
      </c>
      <c r="O18" s="26">
        <v>0</v>
      </c>
      <c r="P18" s="26">
        <v>0</v>
      </c>
      <c r="Q18" s="26">
        <v>3600000</v>
      </c>
      <c r="R18" s="26">
        <v>0</v>
      </c>
      <c r="S18" s="26">
        <v>0</v>
      </c>
      <c r="T18" s="26">
        <v>14506818</v>
      </c>
      <c r="U18" s="26">
        <v>110000000</v>
      </c>
      <c r="V18" s="26">
        <v>0</v>
      </c>
      <c r="W18" s="26">
        <v>0</v>
      </c>
      <c r="X18" s="26">
        <v>1366580164</v>
      </c>
      <c r="Y18" s="26">
        <v>625397941</v>
      </c>
      <c r="Z18" s="26">
        <v>220357000</v>
      </c>
      <c r="AA18" s="26">
        <v>2348072514</v>
      </c>
      <c r="AB18" s="77">
        <v>2600000</v>
      </c>
      <c r="AC18" s="77">
        <v>8975000</v>
      </c>
      <c r="AD18" s="77">
        <v>159934</v>
      </c>
      <c r="AE18" s="77">
        <v>2194803</v>
      </c>
      <c r="AF18" s="77">
        <v>14131936</v>
      </c>
      <c r="AG18" s="26">
        <v>4314967894</v>
      </c>
      <c r="AH18" s="26">
        <v>3131216981.9000001</v>
      </c>
      <c r="AI18" s="26">
        <v>3827344465</v>
      </c>
      <c r="AJ18" s="26">
        <v>2822528351.6399999</v>
      </c>
      <c r="AK18" s="28"/>
    </row>
    <row r="19" spans="1:37" ht="15.75" customHeight="1" x14ac:dyDescent="0.25">
      <c r="A19" s="25">
        <v>46050</v>
      </c>
      <c r="B19" s="77">
        <v>1437</v>
      </c>
      <c r="C19" s="26">
        <v>0</v>
      </c>
      <c r="D19" s="26">
        <v>223072014.13999999</v>
      </c>
      <c r="E19" s="26">
        <v>98803000</v>
      </c>
      <c r="F19" s="26">
        <v>0</v>
      </c>
      <c r="G19" s="26">
        <v>7648485.5599999996</v>
      </c>
      <c r="H19" s="26">
        <v>2143000</v>
      </c>
      <c r="I19" s="26">
        <v>985649251.25999999</v>
      </c>
      <c r="J19" s="26">
        <v>129244842</v>
      </c>
      <c r="K19" s="26">
        <v>0</v>
      </c>
      <c r="L19" s="26">
        <v>33343638</v>
      </c>
      <c r="M19" s="26">
        <v>0</v>
      </c>
      <c r="N19" s="26">
        <v>0</v>
      </c>
      <c r="O19" s="26">
        <v>0</v>
      </c>
      <c r="P19" s="26">
        <v>0</v>
      </c>
      <c r="Q19" s="26">
        <v>50977092</v>
      </c>
      <c r="R19" s="26">
        <v>0</v>
      </c>
      <c r="S19" s="26">
        <v>0</v>
      </c>
      <c r="T19" s="26">
        <v>3864000</v>
      </c>
      <c r="U19" s="26">
        <v>0</v>
      </c>
      <c r="V19" s="26">
        <v>0</v>
      </c>
      <c r="W19" s="26">
        <v>0</v>
      </c>
      <c r="X19" s="26">
        <v>1292174715.8800001</v>
      </c>
      <c r="Y19" s="26">
        <v>697178747</v>
      </c>
      <c r="Z19" s="26">
        <v>220357000</v>
      </c>
      <c r="AA19" s="26">
        <v>2785575928</v>
      </c>
      <c r="AB19" s="77">
        <v>2600000</v>
      </c>
      <c r="AC19" s="77">
        <v>7975000</v>
      </c>
      <c r="AD19" s="77">
        <v>159934</v>
      </c>
      <c r="AE19" s="77">
        <v>2194803</v>
      </c>
      <c r="AF19" s="77">
        <v>14827729</v>
      </c>
      <c r="AG19" s="26">
        <v>4314967894</v>
      </c>
      <c r="AH19" s="26">
        <v>2799280311</v>
      </c>
      <c r="AI19" s="26">
        <v>4226717076</v>
      </c>
      <c r="AJ19" s="26">
        <v>1487066027.5899999</v>
      </c>
      <c r="AK19" s="28"/>
    </row>
    <row r="20" spans="1:37" ht="15.75" customHeight="1" x14ac:dyDescent="0.25">
      <c r="A20" s="25">
        <v>46051</v>
      </c>
      <c r="B20" s="77">
        <v>1437</v>
      </c>
      <c r="C20" s="26">
        <v>0</v>
      </c>
      <c r="D20" s="26">
        <v>223072014.13999999</v>
      </c>
      <c r="E20" s="26">
        <v>33207000</v>
      </c>
      <c r="F20" s="26">
        <v>0</v>
      </c>
      <c r="G20" s="26">
        <v>7613526.4500000002</v>
      </c>
      <c r="H20" s="26">
        <v>2143000</v>
      </c>
      <c r="I20" s="26">
        <v>964224603.60000002</v>
      </c>
      <c r="J20" s="26">
        <v>73947517</v>
      </c>
      <c r="K20" s="26">
        <v>0</v>
      </c>
      <c r="L20" s="26">
        <v>0</v>
      </c>
      <c r="M20" s="26">
        <v>0</v>
      </c>
      <c r="N20" s="26">
        <v>0</v>
      </c>
      <c r="O20" s="26">
        <v>0</v>
      </c>
      <c r="P20" s="26">
        <v>0</v>
      </c>
      <c r="Q20" s="26">
        <v>17000000</v>
      </c>
      <c r="R20" s="26">
        <v>260000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1094847541</v>
      </c>
      <c r="Y20" s="26">
        <v>690113410</v>
      </c>
      <c r="Z20" s="26">
        <v>220357000</v>
      </c>
      <c r="AA20" s="26">
        <v>2876937776.6199999</v>
      </c>
      <c r="AB20" s="77">
        <v>2600000</v>
      </c>
      <c r="AC20" s="77">
        <v>7975000</v>
      </c>
      <c r="AD20" s="77">
        <v>159934</v>
      </c>
      <c r="AE20" s="77">
        <v>2194803</v>
      </c>
      <c r="AF20" s="77">
        <v>17819584.093499999</v>
      </c>
      <c r="AG20" s="26">
        <v>4314967894</v>
      </c>
      <c r="AH20" s="26">
        <v>3067941831</v>
      </c>
      <c r="AI20" s="26">
        <v>5846274993</v>
      </c>
      <c r="AJ20" s="26">
        <v>1379229325.1900001</v>
      </c>
      <c r="AK20" s="28"/>
    </row>
    <row r="21" spans="1:37" ht="15.75" customHeight="1" x14ac:dyDescent="0.25">
      <c r="A21" s="25">
        <v>46052</v>
      </c>
      <c r="B21" s="77">
        <v>1443</v>
      </c>
      <c r="C21" s="26">
        <v>0</v>
      </c>
      <c r="D21" s="26">
        <v>223072014</v>
      </c>
      <c r="E21" s="26">
        <v>380315000</v>
      </c>
      <c r="F21" s="26">
        <v>0</v>
      </c>
      <c r="G21" s="26">
        <v>6785000</v>
      </c>
      <c r="H21" s="26">
        <v>1553000</v>
      </c>
      <c r="I21" s="26">
        <v>810455502</v>
      </c>
      <c r="J21" s="26">
        <v>291486000</v>
      </c>
      <c r="K21" s="26">
        <v>0</v>
      </c>
      <c r="L21" s="26">
        <v>0</v>
      </c>
      <c r="M21" s="26">
        <v>0</v>
      </c>
      <c r="N21" s="26">
        <v>0</v>
      </c>
      <c r="O21" s="26">
        <v>0</v>
      </c>
      <c r="P21" s="26">
        <v>2433260</v>
      </c>
      <c r="Q21" s="26">
        <v>99600000</v>
      </c>
      <c r="R21" s="26">
        <v>0</v>
      </c>
      <c r="S21" s="26">
        <v>0</v>
      </c>
      <c r="T21" s="26">
        <v>14346000</v>
      </c>
      <c r="U21" s="26">
        <v>0</v>
      </c>
      <c r="V21" s="26">
        <v>0</v>
      </c>
      <c r="W21" s="26">
        <v>0</v>
      </c>
      <c r="X21" s="26">
        <v>962573839.13999999</v>
      </c>
      <c r="Y21" s="26">
        <v>3536632120</v>
      </c>
      <c r="Z21" s="26">
        <v>220357000</v>
      </c>
      <c r="AA21" s="26">
        <v>2957288505</v>
      </c>
      <c r="AB21" s="77">
        <v>2600000</v>
      </c>
      <c r="AC21" s="77">
        <v>7000000</v>
      </c>
      <c r="AD21" s="77">
        <v>159934</v>
      </c>
      <c r="AE21" s="77">
        <v>340000</v>
      </c>
      <c r="AF21" s="77">
        <v>18426332</v>
      </c>
      <c r="AG21" s="26">
        <v>4314967894</v>
      </c>
      <c r="AH21" s="26">
        <v>2981995708</v>
      </c>
      <c r="AI21" s="26">
        <v>4017095550</v>
      </c>
      <c r="AJ21" s="26">
        <v>0</v>
      </c>
      <c r="AK21" s="28"/>
    </row>
    <row r="22" spans="1:37" ht="15.75" customHeight="1" x14ac:dyDescent="0.25">
      <c r="A22" s="25">
        <v>46055</v>
      </c>
      <c r="B22" s="77">
        <v>1444</v>
      </c>
      <c r="C22" s="26">
        <v>0</v>
      </c>
      <c r="D22" s="26">
        <v>252012755</v>
      </c>
      <c r="E22" s="26">
        <v>113034969</v>
      </c>
      <c r="F22" s="26">
        <v>0</v>
      </c>
      <c r="G22" s="26">
        <v>5059607</v>
      </c>
      <c r="H22" s="26">
        <v>1551000</v>
      </c>
      <c r="I22" s="26">
        <v>885303260</v>
      </c>
      <c r="J22" s="26">
        <v>130714631</v>
      </c>
      <c r="K22" s="26">
        <v>0</v>
      </c>
      <c r="L22" s="26">
        <v>55360166</v>
      </c>
      <c r="M22" s="26">
        <v>0</v>
      </c>
      <c r="N22" s="26">
        <v>0</v>
      </c>
      <c r="O22" s="26">
        <v>0</v>
      </c>
      <c r="P22" s="26">
        <v>0</v>
      </c>
      <c r="Q22" s="26">
        <v>46139128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706893555</v>
      </c>
      <c r="Y22" s="26">
        <v>3524579436</v>
      </c>
      <c r="Z22" s="26">
        <v>214477560.11614999</v>
      </c>
      <c r="AA22" s="26">
        <v>3133277362</v>
      </c>
      <c r="AB22" s="77">
        <v>2600000</v>
      </c>
      <c r="AC22" s="77">
        <v>7000000</v>
      </c>
      <c r="AD22" s="77">
        <v>159934</v>
      </c>
      <c r="AE22" s="77">
        <v>2194803</v>
      </c>
      <c r="AF22" s="77">
        <v>20143331</v>
      </c>
      <c r="AG22" s="26">
        <v>4314967894</v>
      </c>
      <c r="AH22" s="26">
        <v>4342932524</v>
      </c>
      <c r="AI22" s="26">
        <v>4476960272</v>
      </c>
      <c r="AJ22" s="26">
        <v>0</v>
      </c>
      <c r="AK22" s="28"/>
    </row>
    <row r="23" spans="1:37" ht="15.75" customHeight="1" x14ac:dyDescent="0.25">
      <c r="A23" s="25">
        <v>46056</v>
      </c>
      <c r="B23" s="77">
        <v>1447</v>
      </c>
      <c r="C23" s="26">
        <v>0</v>
      </c>
      <c r="D23" s="26">
        <v>289560308.57999998</v>
      </c>
      <c r="E23" s="26">
        <v>56664237.909999996</v>
      </c>
      <c r="F23" s="26">
        <v>0</v>
      </c>
      <c r="G23" s="26">
        <v>5023804</v>
      </c>
      <c r="H23" s="26">
        <v>1551000</v>
      </c>
      <c r="I23" s="26">
        <v>1011518184</v>
      </c>
      <c r="J23" s="26">
        <v>152811655</v>
      </c>
      <c r="K23" s="26">
        <v>0</v>
      </c>
      <c r="L23" s="26">
        <v>5216923</v>
      </c>
      <c r="M23" s="26">
        <v>0</v>
      </c>
      <c r="N23" s="26">
        <v>0</v>
      </c>
      <c r="O23" s="26">
        <v>0</v>
      </c>
      <c r="P23" s="26">
        <v>12273664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416780127</v>
      </c>
      <c r="Y23" s="26">
        <v>3522362513</v>
      </c>
      <c r="Z23" s="26">
        <v>214477560.11614999</v>
      </c>
      <c r="AA23" s="26">
        <v>3116732200</v>
      </c>
      <c r="AB23" s="77">
        <v>2600000</v>
      </c>
      <c r="AC23" s="77">
        <v>7000000</v>
      </c>
      <c r="AD23" s="77">
        <v>159934</v>
      </c>
      <c r="AE23" s="77">
        <v>2194803</v>
      </c>
      <c r="AF23" s="77">
        <v>18381717</v>
      </c>
      <c r="AG23" s="26">
        <v>4314967894</v>
      </c>
      <c r="AH23" s="26">
        <v>4202886744</v>
      </c>
      <c r="AI23" s="26">
        <v>4486261436</v>
      </c>
      <c r="AJ23" s="26">
        <v>0</v>
      </c>
      <c r="AK23" s="28"/>
    </row>
    <row r="24" spans="1:37" ht="15.75" customHeight="1" x14ac:dyDescent="0.25">
      <c r="A24" s="25">
        <v>46057</v>
      </c>
      <c r="B24" s="77">
        <v>1444</v>
      </c>
      <c r="C24" s="26">
        <v>0</v>
      </c>
      <c r="D24" s="26">
        <v>256839729</v>
      </c>
      <c r="E24" s="26">
        <v>51206465</v>
      </c>
      <c r="F24" s="26">
        <v>0</v>
      </c>
      <c r="G24" s="26">
        <v>7177357</v>
      </c>
      <c r="H24" s="26">
        <v>1551000</v>
      </c>
      <c r="I24" s="26">
        <v>992210152</v>
      </c>
      <c r="J24" s="26">
        <v>5345000</v>
      </c>
      <c r="K24" s="26">
        <v>0</v>
      </c>
      <c r="L24" s="26">
        <v>33970959</v>
      </c>
      <c r="M24" s="26">
        <v>0</v>
      </c>
      <c r="N24" s="26">
        <v>0</v>
      </c>
      <c r="O24" s="26">
        <v>0</v>
      </c>
      <c r="P24" s="26">
        <v>0</v>
      </c>
      <c r="Q24" s="26">
        <v>26200000</v>
      </c>
      <c r="R24" s="26">
        <v>0</v>
      </c>
      <c r="S24" s="26">
        <v>0</v>
      </c>
      <c r="T24" s="26">
        <v>0</v>
      </c>
      <c r="U24" s="26">
        <v>160000000</v>
      </c>
      <c r="V24" s="26">
        <v>0</v>
      </c>
      <c r="W24" s="26">
        <v>0</v>
      </c>
      <c r="X24" s="26">
        <v>438934452</v>
      </c>
      <c r="Y24" s="26">
        <v>3447658413</v>
      </c>
      <c r="Z24" s="26">
        <v>214477560.11614999</v>
      </c>
      <c r="AA24" s="26">
        <v>3165176592</v>
      </c>
      <c r="AB24" s="77">
        <v>2600000</v>
      </c>
      <c r="AC24" s="77">
        <v>7000000</v>
      </c>
      <c r="AD24" s="77">
        <v>159934</v>
      </c>
      <c r="AE24" s="77">
        <v>2194803</v>
      </c>
      <c r="AF24" s="77">
        <v>15968160</v>
      </c>
      <c r="AG24" s="26">
        <v>4314967894</v>
      </c>
      <c r="AH24" s="26">
        <v>4914658332</v>
      </c>
      <c r="AI24" s="26">
        <v>4173773700</v>
      </c>
      <c r="AJ24" s="26">
        <v>0</v>
      </c>
      <c r="AK24" s="28"/>
    </row>
    <row r="25" spans="1:37" ht="15.75" customHeight="1" x14ac:dyDescent="0.25">
      <c r="A25" s="25">
        <v>46058</v>
      </c>
      <c r="B25" s="77">
        <v>1444.5</v>
      </c>
      <c r="C25" s="26">
        <v>0</v>
      </c>
      <c r="D25" s="26">
        <v>320945719.27999997</v>
      </c>
      <c r="E25" s="26">
        <v>11279310.41</v>
      </c>
      <c r="F25" s="26">
        <v>0</v>
      </c>
      <c r="G25" s="26">
        <v>7035000</v>
      </c>
      <c r="H25" s="26">
        <v>0</v>
      </c>
      <c r="I25" s="26">
        <v>927364812</v>
      </c>
      <c r="J25" s="26">
        <v>39500000</v>
      </c>
      <c r="K25" s="26">
        <v>0</v>
      </c>
      <c r="L25" s="26">
        <v>1370000</v>
      </c>
      <c r="M25" s="26">
        <v>0</v>
      </c>
      <c r="N25" s="26">
        <v>0</v>
      </c>
      <c r="O25" s="26">
        <v>0</v>
      </c>
      <c r="P25" s="26">
        <v>4485303</v>
      </c>
      <c r="Q25" s="26">
        <v>324204358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454796478</v>
      </c>
      <c r="Y25" s="26">
        <v>3020651934</v>
      </c>
      <c r="Z25" s="26">
        <v>214477560.11614999</v>
      </c>
      <c r="AA25" s="26">
        <v>3207730808.8299999</v>
      </c>
      <c r="AB25" s="77">
        <v>2600000</v>
      </c>
      <c r="AC25" s="77">
        <v>7000000</v>
      </c>
      <c r="AD25" s="77">
        <v>159934</v>
      </c>
      <c r="AE25" s="77">
        <v>2194803</v>
      </c>
      <c r="AF25" s="77">
        <v>17519790.008900002</v>
      </c>
      <c r="AG25" s="26">
        <v>4314967894</v>
      </c>
      <c r="AH25" s="26">
        <v>5096658066.6599998</v>
      </c>
      <c r="AI25" s="26">
        <v>4040751852</v>
      </c>
      <c r="AJ25" s="26">
        <v>0</v>
      </c>
      <c r="AK25" s="28"/>
    </row>
    <row r="26" spans="1:37" ht="15.75" customHeight="1" x14ac:dyDescent="0.25">
      <c r="A26" s="25">
        <v>46059</v>
      </c>
      <c r="B26" s="77">
        <v>1444.5</v>
      </c>
      <c r="C26" s="26">
        <v>0</v>
      </c>
      <c r="D26" s="26">
        <v>367721375</v>
      </c>
      <c r="E26" s="26">
        <v>91488275.230000004</v>
      </c>
      <c r="F26" s="26">
        <v>0</v>
      </c>
      <c r="G26" s="26">
        <v>5023000</v>
      </c>
      <c r="H26" s="26">
        <v>0</v>
      </c>
      <c r="I26" s="26">
        <v>936468481.95000005</v>
      </c>
      <c r="J26" s="26">
        <v>180790748.56</v>
      </c>
      <c r="K26" s="26">
        <v>0</v>
      </c>
      <c r="L26" s="26">
        <v>910000</v>
      </c>
      <c r="M26" s="26">
        <v>0</v>
      </c>
      <c r="N26" s="26">
        <v>0</v>
      </c>
      <c r="O26" s="26">
        <v>0</v>
      </c>
      <c r="P26" s="26">
        <v>0</v>
      </c>
      <c r="Q26" s="26">
        <v>234774657</v>
      </c>
      <c r="R26" s="26">
        <v>0</v>
      </c>
      <c r="S26" s="26">
        <v>820000</v>
      </c>
      <c r="T26" s="26">
        <v>0</v>
      </c>
      <c r="U26" s="26">
        <v>0</v>
      </c>
      <c r="V26" s="26">
        <v>0</v>
      </c>
      <c r="W26" s="26">
        <v>0</v>
      </c>
      <c r="X26" s="26">
        <v>674592454.94000006</v>
      </c>
      <c r="Y26" s="26">
        <v>2784376363</v>
      </c>
      <c r="Z26" s="26">
        <v>214477560.11614999</v>
      </c>
      <c r="AA26" s="26">
        <v>2925341786</v>
      </c>
      <c r="AB26" s="77">
        <v>2600000</v>
      </c>
      <c r="AC26" s="77">
        <v>7000000</v>
      </c>
      <c r="AD26" s="77">
        <v>159934</v>
      </c>
      <c r="AE26" s="77">
        <v>2194803</v>
      </c>
      <c r="AF26" s="77">
        <v>18502771.1349</v>
      </c>
      <c r="AG26" s="26">
        <v>4314967894</v>
      </c>
      <c r="AH26" s="26">
        <v>5435993073.0600004</v>
      </c>
      <c r="AI26" s="26">
        <v>4040751852</v>
      </c>
      <c r="AJ26" s="26">
        <v>0</v>
      </c>
      <c r="AK26" s="28"/>
    </row>
    <row r="27" spans="1:37" ht="15.75" customHeight="1" x14ac:dyDescent="0.25">
      <c r="A27" s="25">
        <v>46062</v>
      </c>
      <c r="B27" s="77">
        <v>1420</v>
      </c>
      <c r="C27" s="26">
        <v>0</v>
      </c>
      <c r="D27" s="26">
        <v>367721375.77999997</v>
      </c>
      <c r="E27" s="26">
        <v>131584000</v>
      </c>
      <c r="F27" s="26">
        <v>0</v>
      </c>
      <c r="G27" s="26">
        <v>7870000</v>
      </c>
      <c r="H27" s="26">
        <v>3162000</v>
      </c>
      <c r="I27" s="26">
        <v>936468481.95000005</v>
      </c>
      <c r="J27" s="26">
        <v>57538516.460000001</v>
      </c>
      <c r="K27" s="26">
        <v>0</v>
      </c>
      <c r="L27" s="26">
        <v>2011060</v>
      </c>
      <c r="M27" s="26">
        <v>0</v>
      </c>
      <c r="N27" s="26">
        <v>0</v>
      </c>
      <c r="O27" s="26">
        <v>5208938</v>
      </c>
      <c r="P27" s="26">
        <v>80444176</v>
      </c>
      <c r="Q27" s="26">
        <v>8740000</v>
      </c>
      <c r="R27" s="26">
        <v>0</v>
      </c>
      <c r="S27" s="26">
        <v>0</v>
      </c>
      <c r="T27" s="26">
        <v>0</v>
      </c>
      <c r="U27" s="26">
        <v>0</v>
      </c>
      <c r="V27" s="26">
        <v>0</v>
      </c>
      <c r="W27" s="26">
        <v>0</v>
      </c>
      <c r="X27" s="26">
        <v>721916440</v>
      </c>
      <c r="Y27" s="26">
        <v>2024911920</v>
      </c>
      <c r="Z27" s="26">
        <v>214477560.11614999</v>
      </c>
      <c r="AA27" s="26">
        <v>2876463440</v>
      </c>
      <c r="AB27" s="77">
        <v>2600000</v>
      </c>
      <c r="AC27" s="77">
        <v>7000000</v>
      </c>
      <c r="AD27" s="77">
        <v>159934</v>
      </c>
      <c r="AE27" s="77">
        <v>340000</v>
      </c>
      <c r="AF27" s="77">
        <v>17415153.775899999</v>
      </c>
      <c r="AG27" s="26">
        <v>4314967894</v>
      </c>
      <c r="AH27" s="26">
        <v>5576187293.1999998</v>
      </c>
      <c r="AI27" s="26">
        <v>4754093260</v>
      </c>
      <c r="AJ27" s="26">
        <v>0</v>
      </c>
      <c r="AK27" s="28"/>
    </row>
    <row r="28" spans="1:37" ht="15.75" customHeight="1" x14ac:dyDescent="0.25">
      <c r="A28" s="25">
        <v>46063</v>
      </c>
      <c r="B28" s="77">
        <v>1424</v>
      </c>
      <c r="C28" s="26">
        <v>0</v>
      </c>
      <c r="D28" s="26">
        <v>250860342.03</v>
      </c>
      <c r="E28" s="26">
        <v>148910080</v>
      </c>
      <c r="F28" s="26">
        <v>0</v>
      </c>
      <c r="G28" s="26">
        <v>7870000</v>
      </c>
      <c r="H28" s="26">
        <v>1837000</v>
      </c>
      <c r="I28" s="26">
        <v>1085878106</v>
      </c>
      <c r="J28" s="26">
        <v>53000000</v>
      </c>
      <c r="K28" s="26">
        <v>86098436</v>
      </c>
      <c r="L28" s="26">
        <v>10562189</v>
      </c>
      <c r="M28" s="26">
        <v>0</v>
      </c>
      <c r="N28" s="26">
        <v>0</v>
      </c>
      <c r="O28" s="26">
        <v>0</v>
      </c>
      <c r="P28" s="26">
        <v>39373808</v>
      </c>
      <c r="Q28" s="26">
        <v>144828097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0</v>
      </c>
      <c r="X28" s="26">
        <v>720500835</v>
      </c>
      <c r="Y28" s="26">
        <v>1737786590</v>
      </c>
      <c r="Z28" s="26">
        <v>214477560.11614999</v>
      </c>
      <c r="AA28" s="26">
        <v>2876463440</v>
      </c>
      <c r="AB28" s="77">
        <v>2600000</v>
      </c>
      <c r="AC28" s="77">
        <v>7000000</v>
      </c>
      <c r="AD28" s="77">
        <v>159934</v>
      </c>
      <c r="AE28" s="77">
        <v>340000</v>
      </c>
      <c r="AF28" s="77">
        <v>16586630.9059</v>
      </c>
      <c r="AG28" s="26">
        <v>4314967894</v>
      </c>
      <c r="AH28" s="26">
        <v>5145348427.5200005</v>
      </c>
      <c r="AI28" s="26">
        <v>4487293136</v>
      </c>
      <c r="AJ28" s="26">
        <v>0</v>
      </c>
      <c r="AK28" s="28"/>
    </row>
    <row r="29" spans="1:37" ht="15.75" customHeight="1" x14ac:dyDescent="0.25">
      <c r="A29" s="25">
        <v>46064</v>
      </c>
      <c r="B29" s="77">
        <v>1401</v>
      </c>
      <c r="C29" s="26">
        <v>0</v>
      </c>
      <c r="D29" s="26">
        <v>412962529.63</v>
      </c>
      <c r="E29" s="26">
        <v>75857335.900000006</v>
      </c>
      <c r="F29" s="26">
        <v>0</v>
      </c>
      <c r="G29" s="26">
        <v>25974420</v>
      </c>
      <c r="H29" s="26">
        <v>1837000</v>
      </c>
      <c r="I29" s="26">
        <v>1085878106</v>
      </c>
      <c r="J29" s="26">
        <v>36252671</v>
      </c>
      <c r="K29" s="26">
        <v>0</v>
      </c>
      <c r="L29" s="26">
        <v>0</v>
      </c>
      <c r="M29" s="26">
        <v>0</v>
      </c>
      <c r="N29" s="26">
        <v>0</v>
      </c>
      <c r="O29" s="26">
        <v>0</v>
      </c>
      <c r="P29" s="26">
        <v>0</v>
      </c>
      <c r="Q29" s="26">
        <v>303297684</v>
      </c>
      <c r="R29" s="26">
        <v>0</v>
      </c>
      <c r="S29" s="26">
        <v>0</v>
      </c>
      <c r="T29" s="26">
        <v>6357800</v>
      </c>
      <c r="U29" s="26">
        <v>0</v>
      </c>
      <c r="V29" s="26">
        <v>0</v>
      </c>
      <c r="W29" s="26">
        <v>0</v>
      </c>
      <c r="X29" s="26">
        <v>757496514</v>
      </c>
      <c r="Y29" s="26">
        <v>1431349255</v>
      </c>
      <c r="Z29" s="26">
        <v>214477560.11614999</v>
      </c>
      <c r="AA29" s="26">
        <v>2711962132.23</v>
      </c>
      <c r="AB29" s="77">
        <v>1891000</v>
      </c>
      <c r="AC29" s="77">
        <v>7000000</v>
      </c>
      <c r="AD29" s="77">
        <v>159934</v>
      </c>
      <c r="AE29" s="77">
        <v>340000</v>
      </c>
      <c r="AF29" s="77">
        <v>19341120.947900001</v>
      </c>
      <c r="AG29" s="26">
        <v>4314967894</v>
      </c>
      <c r="AH29" s="26">
        <v>5182685087.5799999</v>
      </c>
      <c r="AI29" s="26">
        <v>4414815789</v>
      </c>
      <c r="AJ29" s="26">
        <v>0</v>
      </c>
      <c r="AK29" s="28"/>
    </row>
    <row r="30" spans="1:37" ht="15.75" customHeight="1" x14ac:dyDescent="0.25">
      <c r="A30" s="25">
        <v>46065</v>
      </c>
      <c r="B30" s="77">
        <v>1397</v>
      </c>
      <c r="C30" s="26">
        <v>0</v>
      </c>
      <c r="D30" s="26">
        <v>293776490</v>
      </c>
      <c r="E30" s="26">
        <v>14988736.300000001</v>
      </c>
      <c r="F30" s="26">
        <v>0</v>
      </c>
      <c r="G30" s="26">
        <v>84253263</v>
      </c>
      <c r="H30" s="26">
        <v>3592000</v>
      </c>
      <c r="I30" s="26">
        <v>1044507436.3</v>
      </c>
      <c r="J30" s="26">
        <v>121070139</v>
      </c>
      <c r="K30" s="26">
        <v>0</v>
      </c>
      <c r="L30" s="26">
        <v>0</v>
      </c>
      <c r="M30" s="26">
        <v>0</v>
      </c>
      <c r="N30" s="26">
        <v>0</v>
      </c>
      <c r="O30" s="26">
        <v>0</v>
      </c>
      <c r="P30" s="26">
        <v>0</v>
      </c>
      <c r="Q30" s="26">
        <v>163646918</v>
      </c>
      <c r="R30" s="26">
        <v>196000</v>
      </c>
      <c r="S30" s="26">
        <v>0</v>
      </c>
      <c r="T30" s="26">
        <v>44183000</v>
      </c>
      <c r="U30" s="26">
        <v>217500000</v>
      </c>
      <c r="V30" s="26">
        <v>0</v>
      </c>
      <c r="W30" s="26">
        <v>0</v>
      </c>
      <c r="X30" s="26">
        <v>876190197</v>
      </c>
      <c r="Y30" s="26">
        <v>1326635250</v>
      </c>
      <c r="Z30" s="26">
        <v>214477560.11614999</v>
      </c>
      <c r="AA30" s="26">
        <v>3033457515</v>
      </c>
      <c r="AB30" s="77">
        <v>1891000</v>
      </c>
      <c r="AC30" s="77">
        <v>7000000</v>
      </c>
      <c r="AD30" s="77">
        <v>159934</v>
      </c>
      <c r="AE30" s="77">
        <v>340000</v>
      </c>
      <c r="AF30" s="77">
        <v>20968249.771899998</v>
      </c>
      <c r="AG30" s="26">
        <v>4314967894</v>
      </c>
      <c r="AH30" s="26">
        <v>5060995622.21</v>
      </c>
      <c r="AI30" s="26">
        <v>4871410247</v>
      </c>
      <c r="AJ30" s="26">
        <v>0</v>
      </c>
      <c r="AK30" s="28"/>
    </row>
    <row r="31" spans="1:37" ht="15.75" customHeight="1" x14ac:dyDescent="0.25">
      <c r="A31" s="25">
        <v>46066</v>
      </c>
      <c r="B31" s="77">
        <v>1390</v>
      </c>
      <c r="C31" s="26">
        <v>0</v>
      </c>
      <c r="D31" s="26">
        <v>370086639</v>
      </c>
      <c r="E31" s="26">
        <v>303102290.5</v>
      </c>
      <c r="F31" s="26">
        <v>0</v>
      </c>
      <c r="G31" s="26">
        <v>13209512</v>
      </c>
      <c r="H31" s="26">
        <v>3592000</v>
      </c>
      <c r="I31" s="26">
        <v>1029555798.8</v>
      </c>
      <c r="J31" s="26">
        <v>253863807</v>
      </c>
      <c r="K31" s="26">
        <v>0</v>
      </c>
      <c r="L31" s="26">
        <v>15597130</v>
      </c>
      <c r="M31" s="26">
        <v>0</v>
      </c>
      <c r="N31" s="26">
        <v>0</v>
      </c>
      <c r="O31" s="26">
        <v>0</v>
      </c>
      <c r="P31" s="26">
        <v>2695066</v>
      </c>
      <c r="Q31" s="26">
        <v>296267289</v>
      </c>
      <c r="R31" s="26">
        <v>0</v>
      </c>
      <c r="S31" s="26">
        <v>0</v>
      </c>
      <c r="T31" s="26">
        <v>3407600</v>
      </c>
      <c r="U31" s="26">
        <v>0</v>
      </c>
      <c r="V31" s="26">
        <v>0</v>
      </c>
      <c r="W31" s="26">
        <v>0</v>
      </c>
      <c r="X31" s="26">
        <v>619794022</v>
      </c>
      <c r="Y31" s="26">
        <v>890074006</v>
      </c>
      <c r="Z31" s="26">
        <v>214477560.11614999</v>
      </c>
      <c r="AA31" s="26">
        <v>3377991458</v>
      </c>
      <c r="AB31" s="77">
        <v>1891000</v>
      </c>
      <c r="AC31" s="77">
        <v>7000000</v>
      </c>
      <c r="AD31" s="77">
        <v>159934</v>
      </c>
      <c r="AE31" s="77">
        <v>340000</v>
      </c>
      <c r="AF31" s="77">
        <v>21569863.229899999</v>
      </c>
      <c r="AG31" s="26">
        <v>4314967894</v>
      </c>
      <c r="AH31" s="26">
        <v>4400949862.1999998</v>
      </c>
      <c r="AI31" s="26">
        <v>4847000890</v>
      </c>
      <c r="AJ31" s="26">
        <v>0</v>
      </c>
      <c r="AK31" s="28"/>
    </row>
    <row r="32" spans="1:37" ht="15.75" customHeight="1" x14ac:dyDescent="0.25">
      <c r="A32" s="25">
        <v>46071</v>
      </c>
      <c r="B32" s="77">
        <v>1392</v>
      </c>
      <c r="C32" s="26">
        <v>0</v>
      </c>
      <c r="D32" s="26">
        <v>199109312.43000001</v>
      </c>
      <c r="E32" s="26">
        <v>144835038</v>
      </c>
      <c r="F32" s="26">
        <v>0</v>
      </c>
      <c r="G32" s="26">
        <v>0</v>
      </c>
      <c r="H32" s="26">
        <v>8738000</v>
      </c>
      <c r="I32" s="26">
        <v>948986533</v>
      </c>
      <c r="J32" s="26">
        <v>186793349</v>
      </c>
      <c r="K32" s="26">
        <v>0</v>
      </c>
      <c r="L32" s="26">
        <v>86625124</v>
      </c>
      <c r="M32" s="26">
        <v>0</v>
      </c>
      <c r="N32" s="26">
        <v>0</v>
      </c>
      <c r="O32" s="26">
        <v>0</v>
      </c>
      <c r="P32" s="26">
        <v>161197972</v>
      </c>
      <c r="Q32" s="26">
        <v>33591907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835051875</v>
      </c>
      <c r="Y32" s="26">
        <v>867784665</v>
      </c>
      <c r="Z32" s="26">
        <v>214477560.11614999</v>
      </c>
      <c r="AA32" s="26">
        <v>3005364474</v>
      </c>
      <c r="AB32" s="77">
        <v>2069775.5603799999</v>
      </c>
      <c r="AC32" s="77">
        <v>7000000</v>
      </c>
      <c r="AD32" s="77">
        <v>159934</v>
      </c>
      <c r="AE32" s="77">
        <v>160000</v>
      </c>
      <c r="AF32" s="77">
        <v>25001268.1459</v>
      </c>
      <c r="AG32" s="26">
        <v>4314967894</v>
      </c>
      <c r="AH32" s="26">
        <v>4176337671.3600001</v>
      </c>
      <c r="AI32" s="26">
        <v>4780591536</v>
      </c>
      <c r="AJ32" s="26">
        <v>0</v>
      </c>
      <c r="AK32" s="28"/>
    </row>
    <row r="33" spans="1:37" ht="15.75" customHeight="1" x14ac:dyDescent="0.25">
      <c r="A33" s="25">
        <v>46072</v>
      </c>
      <c r="B33" s="77">
        <v>1400</v>
      </c>
      <c r="C33" s="26">
        <v>0</v>
      </c>
      <c r="D33" s="26">
        <v>199109312.43000001</v>
      </c>
      <c r="E33" s="26">
        <v>432170063.72000003</v>
      </c>
      <c r="F33" s="26">
        <v>0</v>
      </c>
      <c r="G33" s="26">
        <v>9203904</v>
      </c>
      <c r="H33" s="26">
        <v>8027000</v>
      </c>
      <c r="I33" s="26">
        <v>948986533</v>
      </c>
      <c r="J33" s="26">
        <v>206806634</v>
      </c>
      <c r="K33" s="26">
        <v>0</v>
      </c>
      <c r="L33" s="26">
        <v>0</v>
      </c>
      <c r="M33" s="26">
        <v>0</v>
      </c>
      <c r="N33" s="26">
        <v>0</v>
      </c>
      <c r="O33" s="26">
        <v>0</v>
      </c>
      <c r="P33" s="26">
        <v>2851083</v>
      </c>
      <c r="Q33" s="26">
        <v>169606421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680394629</v>
      </c>
      <c r="Y33" s="26">
        <v>828444868</v>
      </c>
      <c r="Z33" s="26">
        <v>214477560.11614999</v>
      </c>
      <c r="AA33" s="26">
        <v>3088402474</v>
      </c>
      <c r="AB33" s="77">
        <v>2069775.5603799999</v>
      </c>
      <c r="AC33" s="77">
        <v>7000000</v>
      </c>
      <c r="AD33" s="77">
        <v>159934</v>
      </c>
      <c r="AE33" s="77">
        <v>160000</v>
      </c>
      <c r="AF33" s="77">
        <v>24517322.505899999</v>
      </c>
      <c r="AG33" s="26">
        <v>4314967894</v>
      </c>
      <c r="AH33" s="26">
        <v>5044274592</v>
      </c>
      <c r="AI33" s="26">
        <v>4299401400</v>
      </c>
      <c r="AJ33" s="26">
        <v>0</v>
      </c>
      <c r="AK33" s="28"/>
    </row>
    <row r="34" spans="1:37" ht="15.75" customHeight="1" x14ac:dyDescent="0.25">
      <c r="A34" s="25">
        <v>46073</v>
      </c>
      <c r="B34" s="77">
        <v>1400</v>
      </c>
      <c r="C34" s="26">
        <v>0</v>
      </c>
      <c r="D34" s="26">
        <v>237801783</v>
      </c>
      <c r="E34" s="26">
        <v>100111404</v>
      </c>
      <c r="F34" s="26">
        <v>0</v>
      </c>
      <c r="G34" s="26">
        <v>9063066</v>
      </c>
      <c r="H34" s="26">
        <v>8027000</v>
      </c>
      <c r="I34" s="26">
        <v>1072996073</v>
      </c>
      <c r="J34" s="26">
        <v>311844291.68000001</v>
      </c>
      <c r="K34" s="26">
        <v>0</v>
      </c>
      <c r="L34" s="26">
        <v>3414402</v>
      </c>
      <c r="M34" s="26">
        <v>0</v>
      </c>
      <c r="N34" s="26">
        <v>0</v>
      </c>
      <c r="O34" s="26">
        <v>0</v>
      </c>
      <c r="P34" s="26">
        <v>31673245</v>
      </c>
      <c r="Q34" s="26">
        <v>225992533</v>
      </c>
      <c r="R34" s="26">
        <v>99212211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581961431.82000005</v>
      </c>
      <c r="Y34" s="26">
        <v>508533057</v>
      </c>
      <c r="Z34" s="26">
        <v>214477560.11614999</v>
      </c>
      <c r="AA34" s="26">
        <v>3164986661</v>
      </c>
      <c r="AB34" s="77">
        <v>2069775.5603799999</v>
      </c>
      <c r="AC34" s="77">
        <v>7000000</v>
      </c>
      <c r="AD34" s="77">
        <v>159934</v>
      </c>
      <c r="AE34" s="77">
        <v>160000</v>
      </c>
      <c r="AF34" s="77">
        <v>23952278.835900001</v>
      </c>
      <c r="AG34" s="26">
        <v>4314967894</v>
      </c>
      <c r="AH34" s="26">
        <v>5063733332</v>
      </c>
      <c r="AI34" s="26">
        <v>4299402800</v>
      </c>
      <c r="AJ34" s="26">
        <v>0</v>
      </c>
      <c r="AK34" s="28"/>
    </row>
    <row r="35" spans="1:37" ht="15.75" customHeight="1" x14ac:dyDescent="0.25">
      <c r="A35" s="25">
        <v>46076</v>
      </c>
      <c r="B35" s="77">
        <v>1381</v>
      </c>
      <c r="C35" s="26">
        <v>0</v>
      </c>
      <c r="D35" s="26">
        <v>271127724.37</v>
      </c>
      <c r="E35" s="26">
        <v>109253469</v>
      </c>
      <c r="F35" s="26">
        <v>0</v>
      </c>
      <c r="G35" s="26">
        <v>8330094.5599999996</v>
      </c>
      <c r="H35" s="26">
        <v>1789000</v>
      </c>
      <c r="I35" s="26">
        <v>969499641</v>
      </c>
      <c r="J35" s="26">
        <v>126135705.5</v>
      </c>
      <c r="K35" s="26">
        <v>0</v>
      </c>
      <c r="L35" s="26">
        <v>5088637</v>
      </c>
      <c r="M35" s="26">
        <v>0</v>
      </c>
      <c r="N35" s="26">
        <v>0</v>
      </c>
      <c r="O35" s="26">
        <v>74920045</v>
      </c>
      <c r="P35" s="26">
        <v>10247874</v>
      </c>
      <c r="Q35" s="26">
        <v>1001203</v>
      </c>
      <c r="R35" s="26">
        <v>169473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573391030</v>
      </c>
      <c r="Y35" s="26">
        <v>531590280</v>
      </c>
      <c r="Z35" s="26">
        <v>214477560.11614999</v>
      </c>
      <c r="AA35" s="26">
        <v>3108514290</v>
      </c>
      <c r="AB35" s="77">
        <v>2069775.5603799999</v>
      </c>
      <c r="AC35" s="77">
        <v>7000000</v>
      </c>
      <c r="AD35" s="77">
        <v>159934</v>
      </c>
      <c r="AE35" s="77">
        <v>160000</v>
      </c>
      <c r="AF35" s="77">
        <v>27925531.285399999</v>
      </c>
      <c r="AG35" s="26">
        <v>5449654020.2399998</v>
      </c>
      <c r="AH35" s="26">
        <v>4300010557.7799997</v>
      </c>
      <c r="AI35" s="26">
        <v>4241053762</v>
      </c>
      <c r="AJ35" s="26">
        <v>0</v>
      </c>
      <c r="AK35" s="28"/>
    </row>
    <row r="36" spans="1:37" ht="15.75" customHeight="1" x14ac:dyDescent="0.25">
      <c r="A36" s="25">
        <v>46077</v>
      </c>
      <c r="B36" s="77">
        <v>1360.5</v>
      </c>
      <c r="C36" s="26">
        <v>0</v>
      </c>
      <c r="D36" s="26">
        <v>327480214</v>
      </c>
      <c r="E36" s="26">
        <v>57330000</v>
      </c>
      <c r="F36" s="26">
        <v>0</v>
      </c>
      <c r="G36" s="26">
        <v>8189000</v>
      </c>
      <c r="H36" s="26">
        <v>20047000</v>
      </c>
      <c r="I36" s="26">
        <v>923362814</v>
      </c>
      <c r="J36" s="26">
        <v>137500000</v>
      </c>
      <c r="K36" s="26">
        <v>0</v>
      </c>
      <c r="L36" s="26">
        <v>0</v>
      </c>
      <c r="M36" s="26">
        <v>0</v>
      </c>
      <c r="N36" s="26">
        <v>0</v>
      </c>
      <c r="O36" s="26">
        <v>19226592</v>
      </c>
      <c r="P36" s="26">
        <v>0</v>
      </c>
      <c r="Q36" s="26">
        <v>47848812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676639022.63999999</v>
      </c>
      <c r="Y36" s="26">
        <v>673637824</v>
      </c>
      <c r="Z36" s="26">
        <v>214477560.11614999</v>
      </c>
      <c r="AA36" s="26">
        <v>3377260148</v>
      </c>
      <c r="AB36" s="77">
        <v>2069775.5603799999</v>
      </c>
      <c r="AC36" s="77">
        <v>7000000</v>
      </c>
      <c r="AD36" s="77">
        <v>91766.133942161294</v>
      </c>
      <c r="AE36" s="77">
        <v>160000</v>
      </c>
      <c r="AF36" s="77">
        <v>29064269.106400002</v>
      </c>
      <c r="AG36" s="26">
        <v>5449654020.2399998</v>
      </c>
      <c r="AH36" s="26">
        <v>4370822117</v>
      </c>
      <c r="AI36" s="26">
        <v>3971432697</v>
      </c>
      <c r="AJ36" s="26">
        <v>0</v>
      </c>
      <c r="AK36" s="28"/>
    </row>
    <row r="37" spans="1:37" ht="15.75" customHeight="1" x14ac:dyDescent="0.25">
      <c r="A37" s="25">
        <v>46078</v>
      </c>
      <c r="B37" s="77">
        <v>1373.5</v>
      </c>
      <c r="C37" s="26">
        <v>0</v>
      </c>
      <c r="D37" s="26">
        <v>334068220</v>
      </c>
      <c r="E37" s="26">
        <v>72223559</v>
      </c>
      <c r="F37" s="26">
        <v>0</v>
      </c>
      <c r="G37" s="26">
        <v>8330094</v>
      </c>
      <c r="H37" s="26">
        <v>18349000</v>
      </c>
      <c r="I37" s="26">
        <v>1085019063</v>
      </c>
      <c r="J37" s="26">
        <v>151271830.47999999</v>
      </c>
      <c r="K37" s="26">
        <v>0</v>
      </c>
      <c r="L37" s="26">
        <v>6906450</v>
      </c>
      <c r="M37" s="26">
        <v>0</v>
      </c>
      <c r="N37" s="26">
        <v>0</v>
      </c>
      <c r="O37" s="26">
        <v>0</v>
      </c>
      <c r="P37" s="26">
        <v>0</v>
      </c>
      <c r="Q37" s="26">
        <v>101005178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520316940.91000003</v>
      </c>
      <c r="Y37" s="26">
        <v>661826703</v>
      </c>
      <c r="Z37" s="26">
        <v>214477560.11614999</v>
      </c>
      <c r="AA37" s="26">
        <v>3423061266</v>
      </c>
      <c r="AB37" s="77">
        <v>2069775.5603799999</v>
      </c>
      <c r="AC37" s="77">
        <v>7000000</v>
      </c>
      <c r="AD37" s="77">
        <v>91766.133942161294</v>
      </c>
      <c r="AE37" s="77">
        <v>160000</v>
      </c>
      <c r="AF37" s="77">
        <v>23422686.356400002</v>
      </c>
      <c r="AG37" s="26">
        <v>5449654020.2399998</v>
      </c>
      <c r="AH37" s="26">
        <v>4254339169.1799998</v>
      </c>
      <c r="AI37" s="26">
        <v>3950371422.5</v>
      </c>
      <c r="AJ37" s="26">
        <v>0</v>
      </c>
      <c r="AK37" s="28"/>
    </row>
    <row r="38" spans="1:37" ht="15.75" customHeight="1" x14ac:dyDescent="0.25">
      <c r="A38" s="25">
        <v>46079</v>
      </c>
      <c r="B38" s="77">
        <v>1383.5</v>
      </c>
      <c r="C38" s="26">
        <v>0</v>
      </c>
      <c r="D38" s="26">
        <v>351573427</v>
      </c>
      <c r="E38" s="26">
        <v>71669169</v>
      </c>
      <c r="F38" s="26">
        <v>0</v>
      </c>
      <c r="G38" s="26">
        <v>7843397</v>
      </c>
      <c r="H38" s="26">
        <v>13132000</v>
      </c>
      <c r="I38" s="26">
        <v>1179025403</v>
      </c>
      <c r="J38" s="26">
        <v>204642170</v>
      </c>
      <c r="K38" s="26">
        <v>0</v>
      </c>
      <c r="L38" s="26">
        <v>76598976</v>
      </c>
      <c r="M38" s="26">
        <v>0</v>
      </c>
      <c r="N38" s="26">
        <v>0</v>
      </c>
      <c r="O38" s="26">
        <v>0</v>
      </c>
      <c r="P38" s="26">
        <v>0</v>
      </c>
      <c r="Q38" s="26">
        <v>89512252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483343000.49000001</v>
      </c>
      <c r="Y38" s="26">
        <v>576973938</v>
      </c>
      <c r="Z38" s="26">
        <v>214477560.11614999</v>
      </c>
      <c r="AA38" s="26">
        <v>3737477951</v>
      </c>
      <c r="AB38" s="77">
        <v>2069775.5603799999</v>
      </c>
      <c r="AC38" s="77">
        <v>7000000</v>
      </c>
      <c r="AD38" s="77">
        <v>91766.133942161294</v>
      </c>
      <c r="AE38" s="77">
        <v>160000</v>
      </c>
      <c r="AF38" s="77">
        <v>23733137.106400002</v>
      </c>
      <c r="AG38" s="26">
        <v>5449654020.2399998</v>
      </c>
      <c r="AH38" s="26">
        <v>4437541773.1800003</v>
      </c>
      <c r="AI38" s="26">
        <v>3979132772.5</v>
      </c>
      <c r="AJ38" s="26">
        <v>0</v>
      </c>
      <c r="AK38" s="28"/>
    </row>
    <row r="39" spans="1:37" ht="15.75" customHeight="1" x14ac:dyDescent="0.25">
      <c r="A39" s="25">
        <v>46080</v>
      </c>
      <c r="B39" s="77">
        <v>1401</v>
      </c>
      <c r="C39" s="26">
        <v>0</v>
      </c>
      <c r="D39" s="26">
        <v>183330106</v>
      </c>
      <c r="E39" s="26">
        <v>84920362.920000002</v>
      </c>
      <c r="F39" s="26">
        <v>0</v>
      </c>
      <c r="G39" s="26">
        <v>5730085</v>
      </c>
      <c r="H39" s="26">
        <v>13132000</v>
      </c>
      <c r="I39" s="26">
        <v>1179025403</v>
      </c>
      <c r="J39" s="26">
        <v>172297523</v>
      </c>
      <c r="K39" s="26">
        <v>0</v>
      </c>
      <c r="L39" s="26">
        <v>16268450</v>
      </c>
      <c r="M39" s="26">
        <v>0</v>
      </c>
      <c r="N39" s="26">
        <v>0</v>
      </c>
      <c r="O39" s="26">
        <v>2577030</v>
      </c>
      <c r="P39" s="26">
        <v>2105000</v>
      </c>
      <c r="Q39" s="26">
        <v>41967151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366919093</v>
      </c>
      <c r="Y39" s="26">
        <v>806671433</v>
      </c>
      <c r="Z39" s="26">
        <v>214477560.11614999</v>
      </c>
      <c r="AA39" s="26">
        <v>3339538712</v>
      </c>
      <c r="AB39" s="77">
        <v>2069775.5603799999</v>
      </c>
      <c r="AC39" s="77">
        <v>7000000</v>
      </c>
      <c r="AD39" s="77">
        <v>91766.133942161294</v>
      </c>
      <c r="AE39" s="77">
        <v>160000</v>
      </c>
      <c r="AF39" s="77">
        <v>19134326.856400002</v>
      </c>
      <c r="AG39" s="26">
        <v>5449654020.2399998</v>
      </c>
      <c r="AH39" s="26">
        <v>5427743020.0200005</v>
      </c>
      <c r="AI39" s="26">
        <v>4029465135</v>
      </c>
      <c r="AJ39" s="26">
        <v>0</v>
      </c>
      <c r="AK39" s="28"/>
    </row>
    <row r="40" spans="1:37" ht="15.75" customHeight="1" x14ac:dyDescent="0.25">
      <c r="A40" s="25">
        <v>46083</v>
      </c>
      <c r="B40" s="77">
        <v>1407</v>
      </c>
      <c r="C40" s="26">
        <v>0</v>
      </c>
      <c r="D40" s="26">
        <v>306435931</v>
      </c>
      <c r="E40" s="26">
        <v>150556000</v>
      </c>
      <c r="F40" s="26">
        <v>0</v>
      </c>
      <c r="G40" s="26">
        <v>2454000</v>
      </c>
      <c r="H40" s="26">
        <v>7836000</v>
      </c>
      <c r="I40" s="26">
        <v>884827301</v>
      </c>
      <c r="J40" s="26">
        <v>71036107</v>
      </c>
      <c r="K40" s="26">
        <v>0</v>
      </c>
      <c r="L40" s="26">
        <v>120145994</v>
      </c>
      <c r="M40" s="26">
        <v>0</v>
      </c>
      <c r="N40" s="26">
        <v>0</v>
      </c>
      <c r="O40" s="26">
        <v>0</v>
      </c>
      <c r="P40" s="26">
        <v>0</v>
      </c>
      <c r="Q40" s="26">
        <v>218398243</v>
      </c>
      <c r="R40" s="26">
        <v>0</v>
      </c>
      <c r="S40" s="26">
        <v>0</v>
      </c>
      <c r="T40" s="26">
        <v>0</v>
      </c>
      <c r="U40" s="26">
        <v>300000000</v>
      </c>
      <c r="V40" s="26">
        <v>0</v>
      </c>
      <c r="W40" s="26">
        <v>0</v>
      </c>
      <c r="X40" s="26">
        <v>835950369.23000002</v>
      </c>
      <c r="Y40" s="26">
        <v>4912915306</v>
      </c>
      <c r="Z40" s="26">
        <v>208603111.9149</v>
      </c>
      <c r="AA40" s="26">
        <v>3680992093</v>
      </c>
      <c r="AB40" s="77">
        <v>2069775.5603799999</v>
      </c>
      <c r="AC40" s="77">
        <v>8000000</v>
      </c>
      <c r="AD40" s="77">
        <v>121516.133942161</v>
      </c>
      <c r="AE40" s="77">
        <v>160000</v>
      </c>
      <c r="AF40" s="77">
        <v>20540711.7064</v>
      </c>
      <c r="AG40" s="26">
        <v>5449654020.2399998</v>
      </c>
      <c r="AH40" s="26">
        <v>6279791343</v>
      </c>
      <c r="AI40" s="26">
        <v>5798480562</v>
      </c>
      <c r="AJ40" s="26">
        <v>534521439.73000002</v>
      </c>
      <c r="AK40" s="28"/>
    </row>
    <row r="41" spans="1:37" ht="15.75" customHeight="1" x14ac:dyDescent="0.25">
      <c r="A41" s="25">
        <v>46084</v>
      </c>
      <c r="B41" s="77">
        <v>1403</v>
      </c>
      <c r="C41" s="26">
        <v>0</v>
      </c>
      <c r="D41" s="26">
        <v>356734583.68000001</v>
      </c>
      <c r="E41" s="26">
        <v>-19705000</v>
      </c>
      <c r="F41" s="26">
        <v>0</v>
      </c>
      <c r="G41" s="26">
        <v>5648339</v>
      </c>
      <c r="H41" s="26">
        <v>7836000</v>
      </c>
      <c r="I41" s="26">
        <v>834315279</v>
      </c>
      <c r="J41" s="26">
        <v>199849164</v>
      </c>
      <c r="K41" s="26">
        <v>0</v>
      </c>
      <c r="L41" s="26">
        <v>31790070</v>
      </c>
      <c r="M41" s="26">
        <v>0</v>
      </c>
      <c r="N41" s="26">
        <v>0</v>
      </c>
      <c r="O41" s="26">
        <v>0</v>
      </c>
      <c r="P41" s="26">
        <v>0</v>
      </c>
      <c r="Q41" s="26">
        <v>163566887</v>
      </c>
      <c r="R41" s="26">
        <v>0</v>
      </c>
      <c r="S41" s="26">
        <v>0</v>
      </c>
      <c r="T41" s="26">
        <v>0</v>
      </c>
      <c r="U41" s="26">
        <v>40000000</v>
      </c>
      <c r="V41" s="26">
        <v>0</v>
      </c>
      <c r="W41" s="26">
        <v>0</v>
      </c>
      <c r="X41" s="26">
        <v>585291899</v>
      </c>
      <c r="Y41" s="26">
        <v>4741020562</v>
      </c>
      <c r="Z41" s="26">
        <v>208603111.9149</v>
      </c>
      <c r="AA41" s="26">
        <v>3684822493</v>
      </c>
      <c r="AB41" s="77">
        <v>2069775.5603799999</v>
      </c>
      <c r="AC41" s="77">
        <v>8000000</v>
      </c>
      <c r="AD41" s="77">
        <v>121516.133942161</v>
      </c>
      <c r="AE41" s="77">
        <v>160000</v>
      </c>
      <c r="AF41" s="77">
        <v>20789326.056400001</v>
      </c>
      <c r="AG41" s="26">
        <v>5449654020.2399998</v>
      </c>
      <c r="AH41" s="26">
        <v>6199819175.1199999</v>
      </c>
      <c r="AI41" s="26">
        <v>5781995898</v>
      </c>
      <c r="AJ41" s="26">
        <v>39992216</v>
      </c>
      <c r="AK41" s="28"/>
    </row>
    <row r="42" spans="1:37" ht="15.75" customHeight="1" x14ac:dyDescent="0.25">
      <c r="A42" s="25">
        <v>46085</v>
      </c>
      <c r="B42" s="77">
        <v>1407</v>
      </c>
      <c r="C42" s="26">
        <v>0</v>
      </c>
      <c r="D42" s="26">
        <v>393222849.68000001</v>
      </c>
      <c r="E42" s="26">
        <v>90636589.129999995</v>
      </c>
      <c r="F42" s="26">
        <v>0</v>
      </c>
      <c r="G42" s="26">
        <v>5357000</v>
      </c>
      <c r="H42" s="26">
        <v>4507000</v>
      </c>
      <c r="I42" s="26">
        <v>872621589</v>
      </c>
      <c r="J42" s="26">
        <v>104843862</v>
      </c>
      <c r="K42" s="26">
        <v>0</v>
      </c>
      <c r="L42" s="26">
        <v>14678610</v>
      </c>
      <c r="M42" s="26">
        <v>0</v>
      </c>
      <c r="N42" s="26">
        <v>0</v>
      </c>
      <c r="O42" s="26">
        <v>0</v>
      </c>
      <c r="P42" s="26">
        <v>7753901</v>
      </c>
      <c r="Q42" s="26">
        <v>67696843</v>
      </c>
      <c r="R42" s="26">
        <v>0</v>
      </c>
      <c r="S42" s="26">
        <v>0</v>
      </c>
      <c r="T42" s="26">
        <v>0</v>
      </c>
      <c r="U42" s="26">
        <v>300000000</v>
      </c>
      <c r="V42" s="26">
        <v>0</v>
      </c>
      <c r="W42" s="26">
        <v>0</v>
      </c>
      <c r="X42" s="26">
        <v>1325376841.9200001</v>
      </c>
      <c r="Y42" s="26">
        <v>4648463632</v>
      </c>
      <c r="Z42" s="26">
        <v>208603111.9149</v>
      </c>
      <c r="AA42" s="26">
        <v>4651050912</v>
      </c>
      <c r="AB42" s="77">
        <v>2069775.5603799999</v>
      </c>
      <c r="AC42" s="77">
        <v>8000000</v>
      </c>
      <c r="AD42" s="77">
        <v>121516.133942161</v>
      </c>
      <c r="AE42" s="77">
        <v>160000</v>
      </c>
      <c r="AF42" s="77">
        <v>15795731.806399999</v>
      </c>
      <c r="AG42" s="26">
        <v>5449654020.2399998</v>
      </c>
      <c r="AH42" s="26">
        <v>5551402920</v>
      </c>
      <c r="AI42" s="26">
        <v>5685934632</v>
      </c>
      <c r="AJ42" s="26">
        <v>298040764</v>
      </c>
      <c r="AK42" s="28"/>
    </row>
    <row r="43" spans="1:37" ht="15.75" customHeight="1" x14ac:dyDescent="0.25">
      <c r="A43" s="25">
        <v>46086</v>
      </c>
      <c r="B43" s="77">
        <v>1400.5</v>
      </c>
      <c r="C43" s="26">
        <v>0</v>
      </c>
      <c r="D43" s="26">
        <v>412879299</v>
      </c>
      <c r="E43" s="26">
        <v>137297000</v>
      </c>
      <c r="F43" s="26">
        <v>0</v>
      </c>
      <c r="G43" s="26">
        <v>13802000</v>
      </c>
      <c r="H43" s="26">
        <v>2072000</v>
      </c>
      <c r="I43" s="26">
        <v>894699296</v>
      </c>
      <c r="J43" s="26">
        <v>69280210</v>
      </c>
      <c r="K43" s="26">
        <v>0</v>
      </c>
      <c r="L43" s="26">
        <v>8400000</v>
      </c>
      <c r="M43" s="26">
        <v>0</v>
      </c>
      <c r="N43" s="26">
        <v>0</v>
      </c>
      <c r="O43" s="26">
        <v>0</v>
      </c>
      <c r="P43" s="26">
        <v>0</v>
      </c>
      <c r="Q43" s="26">
        <v>496982362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0</v>
      </c>
      <c r="X43" s="26">
        <v>870700115</v>
      </c>
      <c r="Y43" s="26">
        <v>3956419857</v>
      </c>
      <c r="Z43" s="26">
        <v>208603111.9149</v>
      </c>
      <c r="AA43" s="26">
        <v>4662476319</v>
      </c>
      <c r="AB43" s="77">
        <v>2069775.5603799999</v>
      </c>
      <c r="AC43" s="77">
        <v>8000000</v>
      </c>
      <c r="AD43" s="77">
        <v>121807.80060882799</v>
      </c>
      <c r="AE43" s="77">
        <v>160000</v>
      </c>
      <c r="AF43" s="77">
        <v>15828196.7064</v>
      </c>
      <c r="AG43" s="26">
        <v>5449654020.2399998</v>
      </c>
      <c r="AH43" s="26">
        <v>5722690888.5</v>
      </c>
      <c r="AI43" s="26">
        <v>6727934776</v>
      </c>
      <c r="AJ43" s="26">
        <v>840</v>
      </c>
      <c r="AK43" s="28"/>
    </row>
    <row r="44" spans="1:37" ht="15.75" customHeight="1" x14ac:dyDescent="0.25">
      <c r="A44" s="25">
        <v>46087</v>
      </c>
      <c r="B44" s="77">
        <v>1405</v>
      </c>
      <c r="C44" s="26">
        <v>0</v>
      </c>
      <c r="D44" s="26">
        <v>412879299</v>
      </c>
      <c r="E44" s="26">
        <v>158495000</v>
      </c>
      <c r="F44" s="26">
        <v>0</v>
      </c>
      <c r="G44" s="26">
        <v>12795000</v>
      </c>
      <c r="H44" s="26">
        <v>8048000</v>
      </c>
      <c r="I44" s="26">
        <v>1105369336</v>
      </c>
      <c r="J44" s="26">
        <v>138205000</v>
      </c>
      <c r="K44" s="26">
        <v>0</v>
      </c>
      <c r="L44" s="26">
        <v>2644096</v>
      </c>
      <c r="M44" s="26">
        <v>0</v>
      </c>
      <c r="N44" s="26">
        <v>0</v>
      </c>
      <c r="O44" s="26">
        <v>0</v>
      </c>
      <c r="P44" s="26">
        <v>0</v>
      </c>
      <c r="Q44" s="26">
        <v>165132703</v>
      </c>
      <c r="R44" s="26">
        <v>0</v>
      </c>
      <c r="S44" s="26">
        <v>0</v>
      </c>
      <c r="T44" s="26">
        <v>0</v>
      </c>
      <c r="U44" s="26">
        <v>300000000</v>
      </c>
      <c r="V44" s="26">
        <v>0</v>
      </c>
      <c r="W44" s="26">
        <v>0</v>
      </c>
      <c r="X44" s="26">
        <v>547535196</v>
      </c>
      <c r="Y44" s="26">
        <v>3952725761</v>
      </c>
      <c r="Z44" s="26">
        <v>208603111.9149</v>
      </c>
      <c r="AA44" s="26">
        <v>4660238685</v>
      </c>
      <c r="AB44" s="77">
        <v>2069775.5603799999</v>
      </c>
      <c r="AC44" s="77">
        <v>8000000</v>
      </c>
      <c r="AD44" s="77">
        <v>121807.80060882799</v>
      </c>
      <c r="AE44" s="77">
        <v>160000</v>
      </c>
      <c r="AF44" s="77">
        <v>15828196.7064</v>
      </c>
      <c r="AG44" s="26">
        <v>5449654020.2399998</v>
      </c>
      <c r="AH44" s="26">
        <v>5669231298.3500004</v>
      </c>
      <c r="AI44" s="26">
        <v>5790238230</v>
      </c>
      <c r="AJ44" s="26">
        <v>840</v>
      </c>
      <c r="AK44" s="28"/>
    </row>
    <row r="45" spans="1:37" ht="15.75" customHeight="1" x14ac:dyDescent="0.25">
      <c r="A45" s="25">
        <v>46090</v>
      </c>
      <c r="B45" s="77">
        <v>1405</v>
      </c>
      <c r="C45" s="26">
        <v>0</v>
      </c>
      <c r="D45" s="26">
        <v>445688779.68000001</v>
      </c>
      <c r="E45" s="26">
        <v>107811032</v>
      </c>
      <c r="F45" s="26">
        <v>0</v>
      </c>
      <c r="G45" s="26">
        <v>18663717</v>
      </c>
      <c r="H45" s="26">
        <v>8048000</v>
      </c>
      <c r="I45" s="26">
        <v>1249156888</v>
      </c>
      <c r="J45" s="26">
        <v>844639.62</v>
      </c>
      <c r="K45" s="26">
        <v>0</v>
      </c>
      <c r="L45" s="26">
        <v>88098086</v>
      </c>
      <c r="M45" s="26">
        <v>0</v>
      </c>
      <c r="N45" s="26">
        <v>0</v>
      </c>
      <c r="O45" s="26">
        <v>2118950</v>
      </c>
      <c r="P45" s="26">
        <v>40110389</v>
      </c>
      <c r="Q45" s="26">
        <v>1356016293.2</v>
      </c>
      <c r="R45" s="26">
        <v>0</v>
      </c>
      <c r="S45" s="26">
        <v>0</v>
      </c>
      <c r="T45" s="26">
        <v>0</v>
      </c>
      <c r="U45" s="26">
        <v>0</v>
      </c>
      <c r="V45" s="26">
        <v>0</v>
      </c>
      <c r="W45" s="26">
        <v>0</v>
      </c>
      <c r="X45" s="26">
        <v>621207239</v>
      </c>
      <c r="Y45" s="26">
        <v>2772139921</v>
      </c>
      <c r="Z45" s="26">
        <v>208603111.9149</v>
      </c>
      <c r="AA45" s="26">
        <v>5451953419</v>
      </c>
      <c r="AB45" s="77">
        <v>2069775.5603799999</v>
      </c>
      <c r="AC45" s="77">
        <v>8000000</v>
      </c>
      <c r="AD45" s="77">
        <v>121807.80060882799</v>
      </c>
      <c r="AE45" s="77">
        <v>160000</v>
      </c>
      <c r="AF45" s="77">
        <v>16845041.739999998</v>
      </c>
      <c r="AG45" s="26">
        <v>5449654020.2399998</v>
      </c>
      <c r="AH45" s="26">
        <v>5713197710.4499998</v>
      </c>
      <c r="AI45" s="26">
        <v>8674829680</v>
      </c>
      <c r="AJ45" s="26">
        <v>840</v>
      </c>
      <c r="AK45" s="28"/>
    </row>
    <row r="46" spans="1:37" ht="15.75" customHeight="1" x14ac:dyDescent="0.25">
      <c r="A46" s="25">
        <v>46091</v>
      </c>
      <c r="B46" s="77">
        <v>1417</v>
      </c>
      <c r="C46" s="26">
        <v>0</v>
      </c>
      <c r="D46" s="26">
        <v>445688779</v>
      </c>
      <c r="E46" s="26">
        <v>-39984000</v>
      </c>
      <c r="F46" s="26">
        <v>0</v>
      </c>
      <c r="G46" s="26">
        <v>9298000</v>
      </c>
      <c r="H46" s="26">
        <v>8048000</v>
      </c>
      <c r="I46" s="26">
        <v>1595762118</v>
      </c>
      <c r="J46" s="26">
        <v>19280660</v>
      </c>
      <c r="K46" s="26">
        <v>86098436</v>
      </c>
      <c r="L46" s="26">
        <v>114305640</v>
      </c>
      <c r="M46" s="26">
        <v>0</v>
      </c>
      <c r="N46" s="26">
        <v>0</v>
      </c>
      <c r="O46" s="26">
        <v>0</v>
      </c>
      <c r="P46" s="26">
        <v>16800700</v>
      </c>
      <c r="Q46" s="26">
        <v>234494885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743364933</v>
      </c>
      <c r="Y46" s="26">
        <v>2278604381</v>
      </c>
      <c r="Z46" s="26">
        <v>208603111.9149</v>
      </c>
      <c r="AA46" s="26">
        <v>5438640665.6700001</v>
      </c>
      <c r="AB46" s="77">
        <v>2069775.5603799999</v>
      </c>
      <c r="AC46" s="77">
        <v>9000000</v>
      </c>
      <c r="AD46" s="77">
        <v>121807.80060882799</v>
      </c>
      <c r="AE46" s="77">
        <v>160000</v>
      </c>
      <c r="AF46" s="77">
        <v>14197400.124</v>
      </c>
      <c r="AG46" s="26">
        <v>5449654020.2399998</v>
      </c>
      <c r="AH46" s="26">
        <v>4859179616.5900002</v>
      </c>
      <c r="AI46" s="26">
        <v>8533988775</v>
      </c>
      <c r="AJ46" s="26">
        <v>1420000840</v>
      </c>
      <c r="AK46" s="28"/>
    </row>
    <row r="47" spans="1:37" ht="15.75" customHeight="1" x14ac:dyDescent="0.25">
      <c r="A47" s="25">
        <v>46092</v>
      </c>
      <c r="B47" s="77">
        <v>1401</v>
      </c>
      <c r="C47" s="26">
        <v>0</v>
      </c>
      <c r="D47" s="26">
        <v>496406750.56</v>
      </c>
      <c r="E47" s="26">
        <v>59736452</v>
      </c>
      <c r="F47" s="26">
        <v>0</v>
      </c>
      <c r="G47" s="26">
        <v>9298113</v>
      </c>
      <c r="H47" s="26">
        <v>7867000</v>
      </c>
      <c r="I47" s="26">
        <v>1579975629</v>
      </c>
      <c r="J47" s="26">
        <v>84800000</v>
      </c>
      <c r="K47" s="26">
        <v>0</v>
      </c>
      <c r="L47" s="26">
        <v>12400000</v>
      </c>
      <c r="M47" s="26">
        <v>0</v>
      </c>
      <c r="N47" s="26">
        <v>0</v>
      </c>
      <c r="O47" s="26">
        <v>0</v>
      </c>
      <c r="P47" s="26">
        <v>2195000</v>
      </c>
      <c r="Q47" s="26">
        <v>278397543</v>
      </c>
      <c r="R47" s="26">
        <v>0</v>
      </c>
      <c r="S47" s="26">
        <v>0</v>
      </c>
      <c r="T47" s="26">
        <v>0</v>
      </c>
      <c r="U47" s="26">
        <v>235000000</v>
      </c>
      <c r="V47" s="26">
        <v>0</v>
      </c>
      <c r="W47" s="26">
        <v>0</v>
      </c>
      <c r="X47" s="26">
        <v>2295766389.98</v>
      </c>
      <c r="Y47" s="26">
        <v>2142458235</v>
      </c>
      <c r="Z47" s="26">
        <v>208603111.9149</v>
      </c>
      <c r="AA47" s="26">
        <v>5136570401</v>
      </c>
      <c r="AB47" s="77">
        <v>2069775.5603799999</v>
      </c>
      <c r="AC47" s="77">
        <v>9000000</v>
      </c>
      <c r="AD47" s="77">
        <v>141199.467275495</v>
      </c>
      <c r="AE47" s="77">
        <v>160000</v>
      </c>
      <c r="AF47" s="77">
        <v>14246092.524</v>
      </c>
      <c r="AG47" s="26">
        <v>5449654020.2399998</v>
      </c>
      <c r="AH47" s="26">
        <v>4426491442.8000002</v>
      </c>
      <c r="AI47" s="26">
        <v>8437627575</v>
      </c>
      <c r="AJ47" s="26">
        <v>1653153603</v>
      </c>
      <c r="AK47" s="28"/>
    </row>
    <row r="48" spans="1:37" ht="15.75" customHeight="1" x14ac:dyDescent="0.25">
      <c r="A48" s="25">
        <v>46093</v>
      </c>
      <c r="B48" s="77">
        <v>1393</v>
      </c>
      <c r="C48" s="26">
        <v>0</v>
      </c>
      <c r="D48" s="26">
        <v>494096752</v>
      </c>
      <c r="E48" s="26">
        <v>64814000</v>
      </c>
      <c r="F48" s="26">
        <v>17746000</v>
      </c>
      <c r="G48" s="26">
        <v>16790000</v>
      </c>
      <c r="H48" s="26">
        <v>6108000</v>
      </c>
      <c r="I48" s="26">
        <v>1458063964</v>
      </c>
      <c r="J48" s="26">
        <v>176366449</v>
      </c>
      <c r="K48" s="26">
        <v>0</v>
      </c>
      <c r="L48" s="26">
        <v>6629023</v>
      </c>
      <c r="M48" s="26">
        <v>0</v>
      </c>
      <c r="N48" s="26">
        <v>0</v>
      </c>
      <c r="O48" s="26">
        <v>0</v>
      </c>
      <c r="P48" s="26">
        <v>0</v>
      </c>
      <c r="Q48" s="26">
        <v>469916271</v>
      </c>
      <c r="R48" s="26">
        <v>0</v>
      </c>
      <c r="S48" s="26">
        <v>0</v>
      </c>
      <c r="T48" s="26">
        <v>0</v>
      </c>
      <c r="U48" s="26">
        <v>200000000</v>
      </c>
      <c r="V48" s="26">
        <v>0</v>
      </c>
      <c r="W48" s="26">
        <v>0</v>
      </c>
      <c r="X48" s="26">
        <v>1638571298</v>
      </c>
      <c r="Y48" s="26">
        <v>1738903689</v>
      </c>
      <c r="Z48" s="26">
        <v>208603111.9149</v>
      </c>
      <c r="AA48" s="26">
        <v>5135688097</v>
      </c>
      <c r="AB48" s="77">
        <v>2069775.5603799999</v>
      </c>
      <c r="AC48" s="77">
        <v>9000000</v>
      </c>
      <c r="AD48" s="77">
        <v>141199.467275495</v>
      </c>
      <c r="AE48" s="77">
        <v>160000</v>
      </c>
      <c r="AF48" s="77">
        <v>13740489.874</v>
      </c>
      <c r="AG48" s="26">
        <v>5449654020.2399998</v>
      </c>
      <c r="AH48" s="26">
        <v>4651580822</v>
      </c>
      <c r="AI48" s="26">
        <v>8624032354</v>
      </c>
      <c r="AJ48" s="26">
        <v>1619790359.95</v>
      </c>
      <c r="AK48" s="28"/>
    </row>
    <row r="49" spans="1:37" ht="15.75" customHeight="1" x14ac:dyDescent="0.25">
      <c r="A49" s="25">
        <v>46094</v>
      </c>
      <c r="B49" s="77">
        <v>1397</v>
      </c>
      <c r="C49" s="26">
        <v>0</v>
      </c>
      <c r="D49" s="26">
        <v>776624900</v>
      </c>
      <c r="E49" s="26">
        <v>48288000</v>
      </c>
      <c r="F49" s="26">
        <v>21849000</v>
      </c>
      <c r="G49" s="26">
        <v>7750000</v>
      </c>
      <c r="H49" s="26">
        <v>2381000</v>
      </c>
      <c r="I49" s="26">
        <v>1171499857</v>
      </c>
      <c r="J49" s="26">
        <v>284416095</v>
      </c>
      <c r="K49" s="26">
        <v>0</v>
      </c>
      <c r="L49" s="26">
        <v>0</v>
      </c>
      <c r="M49" s="26">
        <v>0</v>
      </c>
      <c r="N49" s="26">
        <v>0</v>
      </c>
      <c r="O49" s="26">
        <v>5192799</v>
      </c>
      <c r="P49" s="26">
        <v>2899508</v>
      </c>
      <c r="Q49" s="26">
        <v>64291510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0</v>
      </c>
      <c r="X49" s="26">
        <v>1297943637</v>
      </c>
      <c r="Y49" s="26">
        <v>1632533382</v>
      </c>
      <c r="Z49" s="26">
        <v>208603111.9149</v>
      </c>
      <c r="AA49" s="26">
        <v>5165195285</v>
      </c>
      <c r="AB49" s="77">
        <v>1250975</v>
      </c>
      <c r="AC49" s="77">
        <v>9000000</v>
      </c>
      <c r="AD49" s="77">
        <v>141199.467275495</v>
      </c>
      <c r="AE49" s="77">
        <v>160000</v>
      </c>
      <c r="AF49" s="77">
        <v>12820143.101</v>
      </c>
      <c r="AG49" s="26">
        <v>5449654020.2399998</v>
      </c>
      <c r="AH49" s="26">
        <v>4006602985</v>
      </c>
      <c r="AI49" s="26">
        <v>8648796266</v>
      </c>
      <c r="AJ49" s="26">
        <v>1620034443.6600001</v>
      </c>
      <c r="AK49" s="28"/>
    </row>
    <row r="50" spans="1:37" ht="15.75" customHeight="1" x14ac:dyDescent="0.25">
      <c r="A50" s="25">
        <v>46097</v>
      </c>
      <c r="B50" s="77">
        <v>1386</v>
      </c>
      <c r="C50" s="26">
        <v>0</v>
      </c>
      <c r="D50" s="26">
        <v>496041968.31</v>
      </c>
      <c r="E50" s="26">
        <v>78696000</v>
      </c>
      <c r="F50" s="26">
        <v>3849000</v>
      </c>
      <c r="G50" s="26">
        <v>4113000</v>
      </c>
      <c r="H50" s="26">
        <v>2381000</v>
      </c>
      <c r="I50" s="26">
        <v>1313630359</v>
      </c>
      <c r="J50" s="26">
        <v>175013626</v>
      </c>
      <c r="K50" s="26">
        <v>0</v>
      </c>
      <c r="L50" s="26">
        <v>93376144</v>
      </c>
      <c r="M50" s="26">
        <v>0</v>
      </c>
      <c r="N50" s="26">
        <v>0</v>
      </c>
      <c r="O50" s="26">
        <v>0</v>
      </c>
      <c r="P50" s="26">
        <v>7115202</v>
      </c>
      <c r="Q50" s="26">
        <v>7999270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0</v>
      </c>
      <c r="X50" s="26">
        <v>1059874987</v>
      </c>
      <c r="Y50" s="26">
        <v>1751061941</v>
      </c>
      <c r="Z50" s="26">
        <v>208603111.9149</v>
      </c>
      <c r="AA50" s="26">
        <v>4945026674</v>
      </c>
      <c r="AB50" s="77">
        <v>1250975</v>
      </c>
      <c r="AC50" s="77">
        <v>9000000</v>
      </c>
      <c r="AD50" s="77">
        <v>141199.467275495</v>
      </c>
      <c r="AE50" s="77">
        <v>160000</v>
      </c>
      <c r="AF50" s="77">
        <v>14290777.001</v>
      </c>
      <c r="AG50" s="26">
        <v>5449654020.2399998</v>
      </c>
      <c r="AH50" s="26">
        <v>3440491694.6399999</v>
      </c>
      <c r="AI50" s="26">
        <v>9209146716</v>
      </c>
      <c r="AJ50" s="26">
        <v>1425244303.3499999</v>
      </c>
      <c r="AK50" s="28"/>
    </row>
    <row r="51" spans="1:37" ht="15.75" customHeight="1" x14ac:dyDescent="0.25">
      <c r="A51" s="25">
        <v>46098</v>
      </c>
      <c r="B51" s="77">
        <v>1390</v>
      </c>
      <c r="C51" s="26">
        <v>0</v>
      </c>
      <c r="D51" s="26">
        <v>475044247</v>
      </c>
      <c r="E51" s="26">
        <v>116518922</v>
      </c>
      <c r="F51" s="26">
        <v>5205905</v>
      </c>
      <c r="G51" s="26">
        <v>10432992.640000001</v>
      </c>
      <c r="H51" s="26">
        <v>2381000</v>
      </c>
      <c r="I51" s="26">
        <v>1469409002</v>
      </c>
      <c r="J51" s="26">
        <v>174057809</v>
      </c>
      <c r="K51" s="26">
        <v>0</v>
      </c>
      <c r="L51" s="26">
        <v>0</v>
      </c>
      <c r="M51" s="26">
        <v>0</v>
      </c>
      <c r="N51" s="26">
        <v>0</v>
      </c>
      <c r="O51" s="26">
        <v>0</v>
      </c>
      <c r="P51" s="26">
        <v>10492117</v>
      </c>
      <c r="Q51" s="26">
        <v>97995171</v>
      </c>
      <c r="R51" s="26">
        <v>141034158</v>
      </c>
      <c r="S51" s="26">
        <v>0</v>
      </c>
      <c r="T51" s="26">
        <v>0</v>
      </c>
      <c r="U51" s="26">
        <v>0</v>
      </c>
      <c r="V51" s="26">
        <v>0</v>
      </c>
      <c r="W51" s="26">
        <v>0</v>
      </c>
      <c r="X51" s="26">
        <v>861327456</v>
      </c>
      <c r="Y51" s="26">
        <v>1731117568</v>
      </c>
      <c r="Z51" s="26">
        <v>208603111.9149</v>
      </c>
      <c r="AA51" s="26">
        <v>5259320043</v>
      </c>
      <c r="AB51" s="77">
        <v>1228556.9603800001</v>
      </c>
      <c r="AC51" s="77">
        <v>9000000</v>
      </c>
      <c r="AD51" s="77">
        <v>141199.467275495</v>
      </c>
      <c r="AE51" s="77">
        <v>160000</v>
      </c>
      <c r="AF51" s="77">
        <v>14867224.501</v>
      </c>
      <c r="AG51" s="26">
        <v>5449654020.2399998</v>
      </c>
      <c r="AH51" s="26">
        <v>2938927373.5999999</v>
      </c>
      <c r="AI51" s="26">
        <v>9189021730</v>
      </c>
      <c r="AJ51" s="26">
        <v>1574225880.5799999</v>
      </c>
      <c r="AK51" s="28"/>
    </row>
    <row r="52" spans="1:37" ht="15.75" customHeight="1" x14ac:dyDescent="0.25">
      <c r="A52" s="25">
        <v>46099</v>
      </c>
      <c r="B52" s="77">
        <v>1394</v>
      </c>
      <c r="C52" s="26">
        <v>0</v>
      </c>
      <c r="D52" s="26">
        <v>538099582</v>
      </c>
      <c r="E52" s="26">
        <v>201265012</v>
      </c>
      <c r="F52" s="26">
        <v>4500000</v>
      </c>
      <c r="G52" s="26">
        <v>10432696</v>
      </c>
      <c r="H52" s="26">
        <v>3800000</v>
      </c>
      <c r="I52" s="26">
        <v>1590332187</v>
      </c>
      <c r="J52" s="26">
        <v>188091983</v>
      </c>
      <c r="K52" s="26">
        <v>0</v>
      </c>
      <c r="L52" s="26">
        <v>38908506</v>
      </c>
      <c r="M52" s="26">
        <v>0</v>
      </c>
      <c r="N52" s="26">
        <v>0</v>
      </c>
      <c r="O52" s="26">
        <v>0</v>
      </c>
      <c r="P52" s="26">
        <v>0</v>
      </c>
      <c r="Q52" s="26">
        <v>117971240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0</v>
      </c>
      <c r="X52" s="26">
        <v>751509509</v>
      </c>
      <c r="Y52" s="26">
        <v>1693875769</v>
      </c>
      <c r="Z52" s="26">
        <v>208603111.9149</v>
      </c>
      <c r="AA52" s="26">
        <v>5461024896</v>
      </c>
      <c r="AB52" s="77">
        <v>1228556.9603800001</v>
      </c>
      <c r="AC52" s="77">
        <v>9000000</v>
      </c>
      <c r="AD52" s="77">
        <v>141199.467275495</v>
      </c>
      <c r="AE52" s="77">
        <v>160000</v>
      </c>
      <c r="AF52" s="77">
        <v>14554407.215</v>
      </c>
      <c r="AG52" s="26">
        <v>5449654020.2399998</v>
      </c>
      <c r="AH52" s="26">
        <v>2669906230.5599999</v>
      </c>
      <c r="AI52" s="26">
        <v>9211918622</v>
      </c>
      <c r="AJ52" s="26">
        <v>1691358076</v>
      </c>
      <c r="AK52" s="28"/>
    </row>
    <row r="53" spans="1:37" ht="15.75" customHeight="1" x14ac:dyDescent="0.25">
      <c r="A53" s="25">
        <v>46100</v>
      </c>
      <c r="B53" s="77">
        <v>1397</v>
      </c>
      <c r="C53" s="26">
        <v>0</v>
      </c>
      <c r="D53" s="26">
        <v>542935582</v>
      </c>
      <c r="E53" s="26">
        <v>60469000</v>
      </c>
      <c r="F53" s="26">
        <v>5164000</v>
      </c>
      <c r="G53" s="26">
        <v>9993772.9100000001</v>
      </c>
      <c r="H53" s="26">
        <v>3800000</v>
      </c>
      <c r="I53" s="26">
        <v>1660165654</v>
      </c>
      <c r="J53" s="26">
        <v>133869939</v>
      </c>
      <c r="K53" s="26">
        <v>0</v>
      </c>
      <c r="L53" s="26">
        <v>9156035</v>
      </c>
      <c r="M53" s="26">
        <v>0</v>
      </c>
      <c r="N53" s="26">
        <v>0</v>
      </c>
      <c r="O53" s="26">
        <v>0</v>
      </c>
      <c r="P53" s="26">
        <v>0</v>
      </c>
      <c r="Q53" s="26">
        <v>47379354</v>
      </c>
      <c r="R53" s="26">
        <v>0</v>
      </c>
      <c r="S53" s="26">
        <v>0</v>
      </c>
      <c r="T53" s="26">
        <v>0</v>
      </c>
      <c r="U53" s="26">
        <v>0</v>
      </c>
      <c r="V53" s="26">
        <v>0</v>
      </c>
      <c r="W53" s="26">
        <v>0</v>
      </c>
      <c r="X53" s="26">
        <v>1638081318</v>
      </c>
      <c r="Y53" s="26">
        <v>1601091447</v>
      </c>
      <c r="Z53" s="26">
        <v>208603111.9149</v>
      </c>
      <c r="AA53" s="26">
        <v>4607813786.4399996</v>
      </c>
      <c r="AB53" s="77">
        <v>1228556.9603800001</v>
      </c>
      <c r="AC53" s="77">
        <v>9000000</v>
      </c>
      <c r="AD53" s="77">
        <v>141199.467275495</v>
      </c>
      <c r="AE53" s="77">
        <v>160000</v>
      </c>
      <c r="AF53" s="77">
        <v>13902830.249</v>
      </c>
      <c r="AG53" s="26">
        <v>5449654020.2399998</v>
      </c>
      <c r="AH53" s="26">
        <v>2382337963.2800002</v>
      </c>
      <c r="AI53" s="26">
        <v>9231743411</v>
      </c>
      <c r="AJ53" s="26">
        <v>1691358076</v>
      </c>
      <c r="AK53" s="28"/>
    </row>
    <row r="54" spans="1:37" ht="15.75" customHeight="1" x14ac:dyDescent="0.25">
      <c r="A54" s="25">
        <v>46101</v>
      </c>
      <c r="B54" s="77">
        <v>1391</v>
      </c>
      <c r="C54" s="26">
        <v>0</v>
      </c>
      <c r="D54" s="26">
        <v>657838152</v>
      </c>
      <c r="E54" s="26">
        <v>225017000</v>
      </c>
      <c r="F54" s="26">
        <v>2600000</v>
      </c>
      <c r="G54" s="26">
        <v>9993772.9100000001</v>
      </c>
      <c r="H54" s="26">
        <v>3800000</v>
      </c>
      <c r="I54" s="26">
        <v>1658651333</v>
      </c>
      <c r="J54" s="26">
        <v>211047561</v>
      </c>
      <c r="K54" s="26">
        <v>0</v>
      </c>
      <c r="L54" s="26">
        <v>178622803</v>
      </c>
      <c r="M54" s="26">
        <v>0</v>
      </c>
      <c r="N54" s="26">
        <v>0</v>
      </c>
      <c r="O54" s="26">
        <v>336600</v>
      </c>
      <c r="P54" s="26">
        <v>0</v>
      </c>
      <c r="Q54" s="26">
        <v>91189797</v>
      </c>
      <c r="R54" s="26">
        <v>0</v>
      </c>
      <c r="S54" s="26">
        <v>0</v>
      </c>
      <c r="T54" s="26">
        <v>0</v>
      </c>
      <c r="U54" s="26">
        <v>0</v>
      </c>
      <c r="V54" s="26">
        <v>0</v>
      </c>
      <c r="W54" s="26">
        <v>0</v>
      </c>
      <c r="X54" s="26">
        <v>1448972679</v>
      </c>
      <c r="Y54" s="26">
        <v>1357212772</v>
      </c>
      <c r="Z54" s="26">
        <v>208603111.9149</v>
      </c>
      <c r="AA54" s="26">
        <v>5127082976</v>
      </c>
      <c r="AB54" s="77">
        <v>1228556.9603800001</v>
      </c>
      <c r="AC54" s="77">
        <v>9000000</v>
      </c>
      <c r="AD54" s="77">
        <v>141199.467275495</v>
      </c>
      <c r="AE54" s="77">
        <v>160000</v>
      </c>
      <c r="AF54" s="77">
        <v>14578331.668</v>
      </c>
      <c r="AG54" s="26">
        <v>5449654020.2399998</v>
      </c>
      <c r="AH54" s="26">
        <v>2981715106.2399998</v>
      </c>
      <c r="AI54" s="26">
        <v>9192093833</v>
      </c>
      <c r="AJ54" s="26">
        <v>1691358076</v>
      </c>
      <c r="AK54" s="28"/>
    </row>
    <row r="55" spans="1:37" ht="15.75" customHeight="1" x14ac:dyDescent="0.25">
      <c r="A55" s="25">
        <v>46106</v>
      </c>
      <c r="B55" s="77">
        <v>1392</v>
      </c>
      <c r="C55" s="26">
        <v>0</v>
      </c>
      <c r="D55" s="26">
        <v>752903080</v>
      </c>
      <c r="E55" s="26">
        <v>26119000</v>
      </c>
      <c r="F55" s="26">
        <v>2162000</v>
      </c>
      <c r="G55" s="26">
        <v>15791000</v>
      </c>
      <c r="H55" s="26">
        <v>3207000</v>
      </c>
      <c r="I55" s="26">
        <v>1610115708</v>
      </c>
      <c r="J55" s="26">
        <v>135527709</v>
      </c>
      <c r="K55" s="26">
        <v>0</v>
      </c>
      <c r="L55" s="26">
        <v>69163617</v>
      </c>
      <c r="M55" s="26">
        <v>0</v>
      </c>
      <c r="N55" s="26">
        <v>0</v>
      </c>
      <c r="O55" s="26">
        <v>1009800</v>
      </c>
      <c r="P55" s="26">
        <v>200629151</v>
      </c>
      <c r="Q55" s="26">
        <v>47630937</v>
      </c>
      <c r="R55" s="26">
        <v>0</v>
      </c>
      <c r="S55" s="26">
        <v>0</v>
      </c>
      <c r="T55" s="26">
        <v>0</v>
      </c>
      <c r="U55" s="26">
        <v>0</v>
      </c>
      <c r="V55" s="26">
        <v>0</v>
      </c>
      <c r="W55" s="26">
        <v>0</v>
      </c>
      <c r="X55" s="26">
        <v>1180253141</v>
      </c>
      <c r="Y55" s="26">
        <v>710103092</v>
      </c>
      <c r="Z55" s="26">
        <v>208603111.9149</v>
      </c>
      <c r="AA55" s="26">
        <v>5481497772</v>
      </c>
      <c r="AB55" s="77">
        <v>1228556.9603800001</v>
      </c>
      <c r="AC55" s="77">
        <v>9000000</v>
      </c>
      <c r="AD55" s="77">
        <v>141199.467275495</v>
      </c>
      <c r="AE55" s="77">
        <v>160000</v>
      </c>
      <c r="AF55" s="77">
        <v>14669820.595000001</v>
      </c>
      <c r="AG55" s="26">
        <v>5449654020.2399998</v>
      </c>
      <c r="AH55" s="26">
        <v>3126846816</v>
      </c>
      <c r="AI55" s="26">
        <v>10956290016</v>
      </c>
      <c r="AJ55" s="26">
        <v>1692912381</v>
      </c>
      <c r="AK55" s="28"/>
    </row>
    <row r="56" spans="1:37" ht="15.75" customHeight="1" x14ac:dyDescent="0.25">
      <c r="A56" s="25">
        <v>46107</v>
      </c>
      <c r="B56" s="77">
        <v>1375</v>
      </c>
      <c r="C56" s="26">
        <v>0</v>
      </c>
      <c r="D56" s="26">
        <v>941322312</v>
      </c>
      <c r="E56" s="26">
        <v>-34900000</v>
      </c>
      <c r="F56" s="26">
        <v>90520000</v>
      </c>
      <c r="G56" s="26">
        <v>15791000</v>
      </c>
      <c r="H56" s="26">
        <v>3207000</v>
      </c>
      <c r="I56" s="26">
        <v>1560973000</v>
      </c>
      <c r="J56" s="26">
        <v>218255439</v>
      </c>
      <c r="K56" s="26">
        <v>0</v>
      </c>
      <c r="L56" s="26">
        <v>64598704</v>
      </c>
      <c r="M56" s="26">
        <v>0</v>
      </c>
      <c r="N56" s="26">
        <v>0</v>
      </c>
      <c r="O56" s="26">
        <v>4634982</v>
      </c>
      <c r="P56" s="26">
        <v>0</v>
      </c>
      <c r="Q56" s="26">
        <v>67600000</v>
      </c>
      <c r="R56" s="26">
        <v>0</v>
      </c>
      <c r="S56" s="26">
        <v>0</v>
      </c>
      <c r="T56" s="26">
        <v>0</v>
      </c>
      <c r="U56" s="26">
        <v>150000000</v>
      </c>
      <c r="V56" s="26">
        <v>0</v>
      </c>
      <c r="W56" s="26">
        <v>0</v>
      </c>
      <c r="X56" s="26">
        <v>1264387796</v>
      </c>
      <c r="Y56" s="26">
        <v>773190886</v>
      </c>
      <c r="Z56" s="26">
        <v>208603111.9149</v>
      </c>
      <c r="AA56" s="26">
        <v>5381776094</v>
      </c>
      <c r="AB56" s="77">
        <v>1186423.85038</v>
      </c>
      <c r="AC56" s="77">
        <v>9000000</v>
      </c>
      <c r="AD56" s="77">
        <v>141199.467275495</v>
      </c>
      <c r="AE56" s="77">
        <v>160000</v>
      </c>
      <c r="AF56" s="77">
        <v>14618622.710999999</v>
      </c>
      <c r="AG56" s="26">
        <v>5449654020.2399998</v>
      </c>
      <c r="AH56" s="26">
        <v>3368501207.5</v>
      </c>
      <c r="AI56" s="26">
        <v>10308834250</v>
      </c>
      <c r="AJ56" s="26">
        <v>1692912381</v>
      </c>
      <c r="AK56" s="28"/>
    </row>
    <row r="57" spans="1:37" ht="15.75" customHeight="1" x14ac:dyDescent="0.25">
      <c r="A57" s="25">
        <v>46108</v>
      </c>
      <c r="B57" s="77">
        <v>1366</v>
      </c>
      <c r="C57" s="26">
        <v>0</v>
      </c>
      <c r="D57" s="26">
        <v>827701000</v>
      </c>
      <c r="E57" s="26">
        <v>44961000</v>
      </c>
      <c r="F57" s="26">
        <v>181000000</v>
      </c>
      <c r="G57" s="26">
        <v>13532000</v>
      </c>
      <c r="H57" s="26">
        <v>3207000</v>
      </c>
      <c r="I57" s="26">
        <v>1511985003</v>
      </c>
      <c r="J57" s="26">
        <v>141809269</v>
      </c>
      <c r="K57" s="26">
        <v>0</v>
      </c>
      <c r="L57" s="26">
        <v>111489207</v>
      </c>
      <c r="M57" s="26">
        <v>0</v>
      </c>
      <c r="N57" s="26">
        <v>0</v>
      </c>
      <c r="O57" s="26">
        <v>104346000</v>
      </c>
      <c r="P57" s="26">
        <v>0</v>
      </c>
      <c r="Q57" s="26">
        <v>32757200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0</v>
      </c>
      <c r="X57" s="26">
        <v>1212579961</v>
      </c>
      <c r="Y57" s="26">
        <v>764659987</v>
      </c>
      <c r="Z57" s="26">
        <v>208603111.9149</v>
      </c>
      <c r="AA57" s="26">
        <v>5314929980</v>
      </c>
      <c r="AB57" s="77">
        <v>1186423.85038</v>
      </c>
      <c r="AC57" s="77">
        <v>9000000</v>
      </c>
      <c r="AD57" s="77">
        <v>141199.467275495</v>
      </c>
      <c r="AE57" s="77">
        <v>160000</v>
      </c>
      <c r="AF57" s="77">
        <v>14554143.091</v>
      </c>
      <c r="AG57" s="26">
        <v>5449654020.2399998</v>
      </c>
      <c r="AH57" s="26">
        <v>3605178563.3600001</v>
      </c>
      <c r="AI57" s="26">
        <v>9881450028</v>
      </c>
      <c r="AJ57" s="26">
        <v>1657306981</v>
      </c>
      <c r="AK57" s="28"/>
    </row>
    <row r="58" spans="1:37" ht="15.75" customHeight="1" x14ac:dyDescent="0.25">
      <c r="A58" s="25">
        <v>46111</v>
      </c>
      <c r="B58" s="77">
        <v>1371.5</v>
      </c>
      <c r="C58" s="26">
        <v>0</v>
      </c>
      <c r="D58" s="26">
        <v>832701000</v>
      </c>
      <c r="E58" s="26">
        <v>975542000</v>
      </c>
      <c r="F58" s="26">
        <v>1442000</v>
      </c>
      <c r="G58" s="26">
        <v>14842000</v>
      </c>
      <c r="H58" s="26">
        <v>2800000</v>
      </c>
      <c r="I58" s="26">
        <v>935692970</v>
      </c>
      <c r="J58" s="26">
        <v>336145864</v>
      </c>
      <c r="K58" s="26">
        <v>0</v>
      </c>
      <c r="L58" s="26">
        <v>86897738</v>
      </c>
      <c r="M58" s="26">
        <v>0</v>
      </c>
      <c r="N58" s="26">
        <v>0</v>
      </c>
      <c r="O58" s="26">
        <v>0</v>
      </c>
      <c r="P58" s="26">
        <v>445000</v>
      </c>
      <c r="Q58" s="26">
        <v>25600000</v>
      </c>
      <c r="R58" s="26">
        <v>0</v>
      </c>
      <c r="S58" s="26">
        <v>0</v>
      </c>
      <c r="T58" s="26">
        <v>0</v>
      </c>
      <c r="U58" s="26">
        <v>300000000</v>
      </c>
      <c r="V58" s="26">
        <v>0</v>
      </c>
      <c r="W58" s="26">
        <v>0</v>
      </c>
      <c r="X58" s="26">
        <v>1016347490</v>
      </c>
      <c r="Y58" s="26">
        <v>962035178</v>
      </c>
      <c r="Z58" s="26">
        <v>208603111.9149</v>
      </c>
      <c r="AA58" s="26">
        <v>5546363032</v>
      </c>
      <c r="AB58" s="77">
        <v>1261501.4325300001</v>
      </c>
      <c r="AC58" s="77">
        <v>9000000</v>
      </c>
      <c r="AD58" s="77">
        <v>141199.467275495</v>
      </c>
      <c r="AE58" s="77">
        <v>160000</v>
      </c>
      <c r="AF58" s="77">
        <v>14623486.5525</v>
      </c>
      <c r="AG58" s="26">
        <v>5449654020.2399998</v>
      </c>
      <c r="AH58" s="26">
        <v>3282208636</v>
      </c>
      <c r="AI58" s="26">
        <v>10251360411.5</v>
      </c>
      <c r="AJ58" s="26">
        <v>1678236596</v>
      </c>
      <c r="AK58" s="28"/>
    </row>
    <row r="59" spans="1:37" ht="15.75" customHeight="1" x14ac:dyDescent="0.25">
      <c r="A59" s="25">
        <v>46112</v>
      </c>
      <c r="B59" s="77">
        <v>1371.5</v>
      </c>
      <c r="C59" s="26">
        <v>0</v>
      </c>
      <c r="D59" s="26">
        <v>1020478576.9299999</v>
      </c>
      <c r="E59" s="26">
        <v>96180000</v>
      </c>
      <c r="F59" s="26">
        <v>56816000</v>
      </c>
      <c r="G59" s="26">
        <v>10024326</v>
      </c>
      <c r="H59" s="26">
        <v>2800000</v>
      </c>
      <c r="I59" s="26">
        <v>1225007012</v>
      </c>
      <c r="J59" s="26">
        <v>485176000</v>
      </c>
      <c r="K59" s="26">
        <v>0</v>
      </c>
      <c r="L59" s="26">
        <v>655000</v>
      </c>
      <c r="M59" s="26">
        <v>0</v>
      </c>
      <c r="N59" s="26">
        <v>0</v>
      </c>
      <c r="O59" s="26">
        <v>14591610</v>
      </c>
      <c r="P59" s="26">
        <v>0</v>
      </c>
      <c r="Q59" s="26">
        <v>127954559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0</v>
      </c>
      <c r="X59" s="26">
        <v>1001318794</v>
      </c>
      <c r="Y59" s="26">
        <v>873946433</v>
      </c>
      <c r="Z59" s="26">
        <v>208603111.9149</v>
      </c>
      <c r="AA59" s="26">
        <v>5009764245</v>
      </c>
      <c r="AB59" s="77">
        <v>1173173.7125299999</v>
      </c>
      <c r="AC59" s="77">
        <v>9000000</v>
      </c>
      <c r="AD59" s="77">
        <v>141199.467275495</v>
      </c>
      <c r="AE59" s="77">
        <v>160000</v>
      </c>
      <c r="AF59" s="77">
        <v>10642274.986</v>
      </c>
      <c r="AG59" s="26">
        <v>5582721359</v>
      </c>
      <c r="AH59" s="26">
        <v>3998648215.5100002</v>
      </c>
      <c r="AI59" s="26">
        <v>10251360411.5</v>
      </c>
      <c r="AJ59" s="26">
        <v>1678236596</v>
      </c>
      <c r="AK59" s="28"/>
    </row>
    <row r="60" spans="1:37" ht="15.75" customHeight="1" x14ac:dyDescent="0.25">
      <c r="A60" s="25">
        <v>46118</v>
      </c>
      <c r="B60" s="77">
        <v>1383</v>
      </c>
      <c r="C60" s="26">
        <v>0</v>
      </c>
      <c r="D60" s="26">
        <v>906680076</v>
      </c>
      <c r="E60" s="26">
        <v>87527408</v>
      </c>
      <c r="F60" s="26">
        <v>164533000</v>
      </c>
      <c r="G60" s="26">
        <v>9691000</v>
      </c>
      <c r="H60" s="26">
        <v>2500000</v>
      </c>
      <c r="I60" s="26">
        <v>1424949749</v>
      </c>
      <c r="J60" s="26">
        <v>168305085</v>
      </c>
      <c r="K60" s="26">
        <v>0</v>
      </c>
      <c r="L60" s="26">
        <v>0</v>
      </c>
      <c r="M60" s="26">
        <v>0</v>
      </c>
      <c r="N60" s="26">
        <v>0</v>
      </c>
      <c r="O60" s="26">
        <v>0</v>
      </c>
      <c r="P60" s="26">
        <v>66378278</v>
      </c>
      <c r="Q60" s="26">
        <v>244819590</v>
      </c>
      <c r="R60" s="26">
        <v>0</v>
      </c>
      <c r="S60" s="26">
        <v>0</v>
      </c>
      <c r="T60" s="26">
        <v>0</v>
      </c>
      <c r="U60" s="26">
        <v>0</v>
      </c>
      <c r="V60" s="26">
        <v>0</v>
      </c>
      <c r="W60" s="26">
        <v>0</v>
      </c>
      <c r="X60" s="26">
        <v>1217405688</v>
      </c>
      <c r="Y60" s="26">
        <v>4192506916</v>
      </c>
      <c r="Z60" s="26">
        <v>202734656.16865</v>
      </c>
      <c r="AA60" s="26">
        <v>5070299230</v>
      </c>
      <c r="AB60" s="77">
        <v>1043837.65169</v>
      </c>
      <c r="AC60" s="77">
        <v>9000000</v>
      </c>
      <c r="AD60" s="77">
        <v>141199.467275495</v>
      </c>
      <c r="AE60" s="77">
        <v>160000</v>
      </c>
      <c r="AF60" s="77">
        <v>11964450.0055</v>
      </c>
      <c r="AG60" s="26">
        <v>5582721359</v>
      </c>
      <c r="AH60" s="26">
        <v>4335886957.9200001</v>
      </c>
      <c r="AI60" s="26">
        <v>10537028595</v>
      </c>
      <c r="AJ60" s="26">
        <v>1639971486</v>
      </c>
      <c r="AK60" s="28"/>
    </row>
    <row r="61" spans="1:37" ht="15.75" customHeight="1" x14ac:dyDescent="0.25">
      <c r="A61" s="25">
        <v>46119</v>
      </c>
      <c r="B61" s="77">
        <v>1382</v>
      </c>
      <c r="C61" s="26">
        <v>0</v>
      </c>
      <c r="D61" s="26">
        <v>976450190</v>
      </c>
      <c r="E61" s="26">
        <v>-276711000</v>
      </c>
      <c r="F61" s="26">
        <v>114129000</v>
      </c>
      <c r="G61" s="26">
        <v>9690000</v>
      </c>
      <c r="H61" s="26">
        <v>2500000</v>
      </c>
      <c r="I61" s="26">
        <v>1550678134</v>
      </c>
      <c r="J61" s="26">
        <v>228205027</v>
      </c>
      <c r="K61" s="26">
        <v>0</v>
      </c>
      <c r="L61" s="26">
        <v>13908000</v>
      </c>
      <c r="M61" s="26">
        <v>0</v>
      </c>
      <c r="N61" s="26">
        <v>0</v>
      </c>
      <c r="O61" s="26">
        <v>0</v>
      </c>
      <c r="P61" s="26">
        <v>1099000</v>
      </c>
      <c r="Q61" s="26">
        <v>448716641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0</v>
      </c>
      <c r="X61" s="26">
        <v>1570067713</v>
      </c>
      <c r="Y61" s="26">
        <v>3719608294</v>
      </c>
      <c r="Z61" s="26">
        <v>202734656.16865</v>
      </c>
      <c r="AA61" s="26">
        <v>5205859918</v>
      </c>
      <c r="AB61" s="77">
        <v>1043837.65169</v>
      </c>
      <c r="AC61" s="77">
        <v>9000000</v>
      </c>
      <c r="AD61" s="77">
        <v>141199.467275495</v>
      </c>
      <c r="AE61" s="77">
        <v>160000</v>
      </c>
      <c r="AF61" s="77">
        <v>11612685.6785</v>
      </c>
      <c r="AG61" s="26">
        <v>5582721359</v>
      </c>
      <c r="AH61" s="26">
        <v>4809318318.8800001</v>
      </c>
      <c r="AI61" s="26">
        <v>10529409630</v>
      </c>
      <c r="AJ61" s="26">
        <v>1674297146</v>
      </c>
      <c r="AK61" s="28"/>
    </row>
    <row r="62" spans="1:37" ht="15.75" customHeight="1" x14ac:dyDescent="0.25">
      <c r="A62" s="25">
        <v>46120</v>
      </c>
      <c r="B62" s="77">
        <v>1382.5</v>
      </c>
      <c r="C62" s="26">
        <v>0</v>
      </c>
      <c r="D62" s="26">
        <v>1017149904</v>
      </c>
      <c r="E62" s="26">
        <v>12670000</v>
      </c>
      <c r="F62" s="26">
        <v>120419000</v>
      </c>
      <c r="G62" s="26">
        <v>314757</v>
      </c>
      <c r="H62" s="26">
        <v>2500000</v>
      </c>
      <c r="I62" s="26">
        <v>1601244716</v>
      </c>
      <c r="J62" s="26">
        <v>398655000</v>
      </c>
      <c r="K62" s="26">
        <v>0</v>
      </c>
      <c r="L62" s="26">
        <v>23306385</v>
      </c>
      <c r="M62" s="26">
        <v>0</v>
      </c>
      <c r="N62" s="26">
        <v>0</v>
      </c>
      <c r="O62" s="26">
        <v>0</v>
      </c>
      <c r="P62" s="26">
        <v>0</v>
      </c>
      <c r="Q62" s="26">
        <v>199614538</v>
      </c>
      <c r="R62" s="26">
        <v>0</v>
      </c>
      <c r="S62" s="26">
        <v>0</v>
      </c>
      <c r="T62" s="26">
        <v>0</v>
      </c>
      <c r="U62" s="26">
        <v>0</v>
      </c>
      <c r="V62" s="26">
        <v>0</v>
      </c>
      <c r="W62" s="26">
        <v>0</v>
      </c>
      <c r="X62" s="26">
        <v>1287374179</v>
      </c>
      <c r="Y62" s="26">
        <v>3746628000</v>
      </c>
      <c r="Z62" s="26">
        <v>202734656.16865</v>
      </c>
      <c r="AA62" s="26">
        <v>5443486561</v>
      </c>
      <c r="AB62" s="77">
        <v>1043837.65169</v>
      </c>
      <c r="AC62" s="77">
        <v>9000000</v>
      </c>
      <c r="AD62" s="77">
        <v>141199.467275495</v>
      </c>
      <c r="AE62" s="77">
        <v>160000</v>
      </c>
      <c r="AF62" s="77">
        <v>11790325.294500001</v>
      </c>
      <c r="AG62" s="26">
        <v>5582721359</v>
      </c>
      <c r="AH62" s="26">
        <v>4140256031.8000002</v>
      </c>
      <c r="AI62" s="26">
        <v>10533219112.5</v>
      </c>
      <c r="AJ62" s="26">
        <v>1674902898</v>
      </c>
      <c r="AK62" s="28"/>
    </row>
    <row r="63" spans="1:37" ht="15.75" customHeight="1" x14ac:dyDescent="0.25">
      <c r="A63" s="25">
        <v>46121</v>
      </c>
      <c r="B63" s="77">
        <v>1382.5</v>
      </c>
      <c r="C63" s="26">
        <v>0</v>
      </c>
      <c r="D63" s="26">
        <v>1175631886</v>
      </c>
      <c r="E63" s="26">
        <v>123676000</v>
      </c>
      <c r="F63" s="26">
        <v>65535000</v>
      </c>
      <c r="G63" s="26">
        <v>1601901</v>
      </c>
      <c r="H63" s="26">
        <v>2500000</v>
      </c>
      <c r="I63" s="26">
        <v>1576163559</v>
      </c>
      <c r="J63" s="26">
        <v>42810000</v>
      </c>
      <c r="K63" s="26">
        <v>0</v>
      </c>
      <c r="L63" s="26">
        <v>0</v>
      </c>
      <c r="M63" s="26">
        <v>0</v>
      </c>
      <c r="N63" s="26">
        <v>0</v>
      </c>
      <c r="O63" s="26">
        <v>0</v>
      </c>
      <c r="P63" s="26">
        <v>0</v>
      </c>
      <c r="Q63" s="26">
        <v>1134776419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0</v>
      </c>
      <c r="X63" s="26">
        <v>1686304226</v>
      </c>
      <c r="Y63" s="26">
        <v>2366743698</v>
      </c>
      <c r="Z63" s="26">
        <v>202734656.16865</v>
      </c>
      <c r="AA63" s="26">
        <v>5260055414</v>
      </c>
      <c r="AB63" s="77">
        <v>1043837.65169</v>
      </c>
      <c r="AC63" s="77">
        <v>9000000</v>
      </c>
      <c r="AD63" s="77">
        <v>141199.467275495</v>
      </c>
      <c r="AE63" s="77">
        <v>160000</v>
      </c>
      <c r="AF63" s="77">
        <v>12461597.5765</v>
      </c>
      <c r="AG63" s="26">
        <v>5582721359</v>
      </c>
      <c r="AH63" s="26">
        <v>5314070090</v>
      </c>
      <c r="AI63" s="26">
        <v>10533219112.5</v>
      </c>
      <c r="AJ63" s="26">
        <v>1674902898</v>
      </c>
      <c r="AK63" s="28"/>
    </row>
    <row r="64" spans="1:37" ht="15.75" customHeight="1" x14ac:dyDescent="0.25">
      <c r="A64" s="25">
        <v>46122</v>
      </c>
      <c r="B64" s="77">
        <v>1382</v>
      </c>
      <c r="C64" s="26">
        <v>0</v>
      </c>
      <c r="D64" s="26">
        <v>1094067815</v>
      </c>
      <c r="E64" s="26">
        <v>-24741000</v>
      </c>
      <c r="F64" s="26">
        <v>50432000</v>
      </c>
      <c r="G64" s="26">
        <v>-47296000</v>
      </c>
      <c r="H64" s="26">
        <v>-12432000</v>
      </c>
      <c r="I64" s="26">
        <v>1608021539</v>
      </c>
      <c r="J64" s="26">
        <v>151448140</v>
      </c>
      <c r="K64" s="26">
        <v>0</v>
      </c>
      <c r="L64" s="26">
        <v>280819495</v>
      </c>
      <c r="M64" s="26">
        <v>0</v>
      </c>
      <c r="N64" s="26">
        <v>0</v>
      </c>
      <c r="O64" s="26">
        <v>0</v>
      </c>
      <c r="P64" s="26">
        <v>121038032</v>
      </c>
      <c r="Q64" s="26">
        <v>348167135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0</v>
      </c>
      <c r="X64" s="26">
        <v>2103842933</v>
      </c>
      <c r="Y64" s="26">
        <v>2027049642</v>
      </c>
      <c r="Z64" s="26">
        <v>202734656.16865</v>
      </c>
      <c r="AA64" s="26">
        <v>5682562836</v>
      </c>
      <c r="AB64" s="77">
        <v>1043837.65169</v>
      </c>
      <c r="AC64" s="77">
        <v>9000000</v>
      </c>
      <c r="AD64" s="77">
        <v>141199.467275495</v>
      </c>
      <c r="AE64" s="77">
        <v>160000</v>
      </c>
      <c r="AF64" s="77">
        <v>14538528.596999999</v>
      </c>
      <c r="AG64" s="26">
        <v>5582721359</v>
      </c>
      <c r="AH64" s="26">
        <v>5504015514.3800001</v>
      </c>
      <c r="AI64" s="26">
        <v>10529409630</v>
      </c>
      <c r="AJ64" s="26">
        <v>1674902898</v>
      </c>
      <c r="AK64" s="28"/>
    </row>
    <row r="65" spans="1:37" ht="15.75" customHeight="1" x14ac:dyDescent="0.25">
      <c r="A65" s="25">
        <v>46125</v>
      </c>
      <c r="B65" s="77">
        <v>1371.5</v>
      </c>
      <c r="C65" s="26">
        <v>0</v>
      </c>
      <c r="D65" s="26">
        <v>1175319480</v>
      </c>
      <c r="E65" s="26">
        <v>-14800000</v>
      </c>
      <c r="F65" s="26">
        <v>80000000</v>
      </c>
      <c r="G65" s="26">
        <v>-47296000</v>
      </c>
      <c r="H65" s="26">
        <v>2500000</v>
      </c>
      <c r="I65" s="26">
        <v>1542847285</v>
      </c>
      <c r="J65" s="26">
        <v>351202908</v>
      </c>
      <c r="K65" s="26">
        <v>0</v>
      </c>
      <c r="L65" s="26">
        <v>218300000</v>
      </c>
      <c r="M65" s="26">
        <v>0</v>
      </c>
      <c r="N65" s="26">
        <v>0</v>
      </c>
      <c r="O65" s="26">
        <v>0</v>
      </c>
      <c r="P65" s="26">
        <v>6971504</v>
      </c>
      <c r="Q65" s="26">
        <v>111568478</v>
      </c>
      <c r="R65" s="26">
        <v>0</v>
      </c>
      <c r="S65" s="26">
        <v>0</v>
      </c>
      <c r="T65" s="26">
        <v>0</v>
      </c>
      <c r="U65" s="26">
        <v>0</v>
      </c>
      <c r="V65" s="26">
        <v>0</v>
      </c>
      <c r="W65" s="26">
        <v>0</v>
      </c>
      <c r="X65" s="26">
        <v>1932169958</v>
      </c>
      <c r="Y65" s="26">
        <v>1746864264</v>
      </c>
      <c r="Z65" s="26">
        <v>202734656.16865</v>
      </c>
      <c r="AA65" s="26">
        <v>5567248779</v>
      </c>
      <c r="AB65" s="77">
        <v>1043837.65169</v>
      </c>
      <c r="AC65" s="77">
        <v>9000000</v>
      </c>
      <c r="AD65" s="77">
        <v>141199.467275495</v>
      </c>
      <c r="AE65" s="77">
        <v>160000</v>
      </c>
      <c r="AF65" s="77">
        <v>15414085.287</v>
      </c>
      <c r="AG65" s="26">
        <v>5582721359</v>
      </c>
      <c r="AH65" s="26">
        <v>4662286275.335</v>
      </c>
      <c r="AI65" s="26">
        <v>8655009844</v>
      </c>
      <c r="AJ65" s="26">
        <v>1525590577</v>
      </c>
      <c r="AK65" s="28"/>
    </row>
    <row r="66" spans="1:37" ht="15.75" customHeight="1" x14ac:dyDescent="0.25">
      <c r="A66" s="25">
        <v>46126</v>
      </c>
      <c r="B66" s="77">
        <v>1360</v>
      </c>
      <c r="C66" s="26">
        <v>0</v>
      </c>
      <c r="D66" s="26">
        <v>1403445482</v>
      </c>
      <c r="E66" s="26">
        <v>101354000</v>
      </c>
      <c r="F66" s="26">
        <v>85648232</v>
      </c>
      <c r="G66" s="26">
        <v>2698000</v>
      </c>
      <c r="H66" s="26">
        <v>3456000</v>
      </c>
      <c r="I66" s="26">
        <v>1310322293</v>
      </c>
      <c r="J66" s="26">
        <v>369655847</v>
      </c>
      <c r="K66" s="26">
        <v>0</v>
      </c>
      <c r="L66" s="26">
        <v>11005220</v>
      </c>
      <c r="M66" s="26">
        <v>0</v>
      </c>
      <c r="N66" s="26">
        <v>0</v>
      </c>
      <c r="O66" s="26">
        <v>0</v>
      </c>
      <c r="P66" s="26">
        <v>170686877</v>
      </c>
      <c r="Q66" s="26">
        <v>194410416</v>
      </c>
      <c r="R66" s="26">
        <v>0</v>
      </c>
      <c r="S66" s="26">
        <v>0</v>
      </c>
      <c r="T66" s="26">
        <v>0</v>
      </c>
      <c r="U66" s="26">
        <v>0</v>
      </c>
      <c r="V66" s="26">
        <v>0</v>
      </c>
      <c r="W66" s="26">
        <v>0</v>
      </c>
      <c r="X66" s="26">
        <v>2839096283</v>
      </c>
      <c r="Y66" s="26">
        <v>1459313632</v>
      </c>
      <c r="Z66" s="26">
        <v>202734656.16865</v>
      </c>
      <c r="AA66" s="77">
        <v>5323936474</v>
      </c>
      <c r="AB66" s="77">
        <v>1043837.65169</v>
      </c>
      <c r="AC66" s="77">
        <v>9000000</v>
      </c>
      <c r="AD66" s="77">
        <v>141199.467275495</v>
      </c>
      <c r="AE66" s="77">
        <v>160000</v>
      </c>
      <c r="AF66" s="77">
        <v>15805699.747</v>
      </c>
      <c r="AG66" s="77">
        <v>5582721359</v>
      </c>
      <c r="AH66" s="26">
        <v>3817389440</v>
      </c>
      <c r="AI66" s="26">
        <v>8988796240</v>
      </c>
      <c r="AJ66" s="26">
        <v>0</v>
      </c>
      <c r="AK66" s="28"/>
    </row>
    <row r="67" spans="1:37" ht="15.75" customHeight="1" x14ac:dyDescent="0.25">
      <c r="A67" s="25">
        <v>46127</v>
      </c>
      <c r="B67" s="77">
        <v>1352</v>
      </c>
      <c r="C67" s="26">
        <v>0</v>
      </c>
      <c r="D67" s="26">
        <v>1403445482</v>
      </c>
      <c r="E67" s="26">
        <v>206593000</v>
      </c>
      <c r="F67" s="26">
        <v>85648232</v>
      </c>
      <c r="G67" s="26">
        <v>2611000</v>
      </c>
      <c r="H67" s="26">
        <v>3456000</v>
      </c>
      <c r="I67" s="26">
        <v>1310322293</v>
      </c>
      <c r="J67" s="26">
        <v>337214711</v>
      </c>
      <c r="K67" s="26">
        <v>0</v>
      </c>
      <c r="L67" s="26">
        <v>17878000</v>
      </c>
      <c r="M67" s="26">
        <v>0</v>
      </c>
      <c r="N67" s="26">
        <v>0</v>
      </c>
      <c r="O67" s="26">
        <v>0</v>
      </c>
      <c r="P67" s="26">
        <v>10914176</v>
      </c>
      <c r="Q67" s="26">
        <v>135510630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0</v>
      </c>
      <c r="X67" s="26">
        <v>2495481224</v>
      </c>
      <c r="Y67" s="26">
        <v>1377700645</v>
      </c>
      <c r="Z67" s="26">
        <v>202734656.16865</v>
      </c>
      <c r="AA67" s="77">
        <v>5326477214</v>
      </c>
      <c r="AB67" s="77">
        <v>1043837.65169</v>
      </c>
      <c r="AC67" s="77">
        <v>9000000</v>
      </c>
      <c r="AD67" s="77">
        <v>141199.467275495</v>
      </c>
      <c r="AE67" s="77">
        <v>160000</v>
      </c>
      <c r="AF67" s="77">
        <v>14987064.137</v>
      </c>
      <c r="AG67" s="77">
        <v>5582721359</v>
      </c>
      <c r="AH67" s="26">
        <v>3567315544</v>
      </c>
      <c r="AI67" s="26">
        <v>8935920968</v>
      </c>
      <c r="AJ67" s="26">
        <v>0</v>
      </c>
      <c r="AK67" s="28"/>
    </row>
    <row r="68" spans="1:37" ht="15.75" customHeight="1" x14ac:dyDescent="0.25">
      <c r="A68" s="25">
        <v>46128</v>
      </c>
      <c r="B68" s="77">
        <v>1360</v>
      </c>
      <c r="C68" s="26">
        <v>0</v>
      </c>
      <c r="D68" s="26">
        <v>1210218285</v>
      </c>
      <c r="E68" s="26">
        <v>154506000</v>
      </c>
      <c r="F68" s="26">
        <v>206414000</v>
      </c>
      <c r="G68" s="26">
        <v>2669000</v>
      </c>
      <c r="H68" s="26">
        <v>3456000</v>
      </c>
      <c r="I68" s="26">
        <v>1265122000</v>
      </c>
      <c r="J68" s="26">
        <v>192956961</v>
      </c>
      <c r="K68" s="26">
        <v>0</v>
      </c>
      <c r="L68" s="26">
        <v>3652167</v>
      </c>
      <c r="M68" s="26">
        <v>0</v>
      </c>
      <c r="N68" s="26">
        <v>0</v>
      </c>
      <c r="O68" s="26">
        <v>0</v>
      </c>
      <c r="P68" s="26">
        <v>0</v>
      </c>
      <c r="Q68" s="26">
        <v>5532358</v>
      </c>
      <c r="R68" s="26">
        <v>0</v>
      </c>
      <c r="S68" s="26">
        <v>0</v>
      </c>
      <c r="T68" s="26">
        <v>27315764</v>
      </c>
      <c r="U68" s="26">
        <v>60000000</v>
      </c>
      <c r="V68" s="26">
        <v>0</v>
      </c>
      <c r="W68" s="26">
        <v>0</v>
      </c>
      <c r="X68" s="26">
        <v>2893419877</v>
      </c>
      <c r="Y68" s="26">
        <v>1329325329</v>
      </c>
      <c r="Z68" s="26">
        <v>202734656.16865</v>
      </c>
      <c r="AA68" s="77">
        <v>5326477214</v>
      </c>
      <c r="AB68" s="77">
        <v>1073356.5716899999</v>
      </c>
      <c r="AC68" s="77">
        <v>9000000</v>
      </c>
      <c r="AD68" s="77">
        <v>141199.467275495</v>
      </c>
      <c r="AE68" s="77">
        <v>160000</v>
      </c>
      <c r="AF68" s="77">
        <v>15105321.484999999</v>
      </c>
      <c r="AG68" s="77">
        <v>5582721359</v>
      </c>
      <c r="AH68" s="26">
        <v>3627743288</v>
      </c>
      <c r="AI68" s="26">
        <v>8756902640</v>
      </c>
      <c r="AJ68" s="26">
        <v>0</v>
      </c>
      <c r="AK68" s="28"/>
    </row>
    <row r="69" spans="1:37" ht="15.75" customHeight="1" x14ac:dyDescent="0.25">
      <c r="A69" s="25">
        <v>46129</v>
      </c>
      <c r="B69" s="77">
        <v>1350.5</v>
      </c>
      <c r="C69" s="26">
        <v>0</v>
      </c>
      <c r="D69" s="26">
        <v>1267593265</v>
      </c>
      <c r="E69" s="26">
        <v>76372453</v>
      </c>
      <c r="F69" s="26">
        <v>74285000</v>
      </c>
      <c r="G69" s="26">
        <v>9854000</v>
      </c>
      <c r="H69" s="26">
        <v>5000000</v>
      </c>
      <c r="I69" s="26">
        <v>1123224296</v>
      </c>
      <c r="J69" s="26">
        <v>469448182</v>
      </c>
      <c r="K69" s="26">
        <v>0</v>
      </c>
      <c r="L69" s="26">
        <v>29391431</v>
      </c>
      <c r="M69" s="26">
        <v>0</v>
      </c>
      <c r="N69" s="26">
        <v>0</v>
      </c>
      <c r="O69" s="26">
        <v>0</v>
      </c>
      <c r="P69" s="26">
        <v>0</v>
      </c>
      <c r="Q69" s="26">
        <v>5316363</v>
      </c>
      <c r="R69" s="26">
        <v>0</v>
      </c>
      <c r="S69" s="26">
        <v>0</v>
      </c>
      <c r="T69" s="26">
        <v>0</v>
      </c>
      <c r="U69" s="26">
        <v>0</v>
      </c>
      <c r="V69" s="26">
        <v>0</v>
      </c>
      <c r="W69" s="26">
        <v>0</v>
      </c>
      <c r="X69" s="26">
        <v>2690024375</v>
      </c>
      <c r="Y69" s="26">
        <v>1324212687</v>
      </c>
      <c r="Z69" s="26">
        <v>202734656.16865</v>
      </c>
      <c r="AA69" s="77">
        <v>4452570427</v>
      </c>
      <c r="AB69" s="77">
        <v>1073356.5716899999</v>
      </c>
      <c r="AC69" s="77">
        <v>9000000</v>
      </c>
      <c r="AD69" s="77">
        <v>141199.467275495</v>
      </c>
      <c r="AE69" s="77">
        <v>160000</v>
      </c>
      <c r="AF69" s="77">
        <v>15276296.839</v>
      </c>
      <c r="AG69" s="77">
        <v>5582721359</v>
      </c>
      <c r="AH69" s="26">
        <v>3303933250.4349999</v>
      </c>
      <c r="AI69" s="26">
        <v>8165952205</v>
      </c>
      <c r="AJ69" s="26">
        <v>0</v>
      </c>
      <c r="AK69" s="28"/>
    </row>
    <row r="70" spans="1:37" ht="15.75" customHeight="1" x14ac:dyDescent="0.25">
      <c r="A70" s="25">
        <v>46132</v>
      </c>
      <c r="B70" s="77">
        <v>1355.5</v>
      </c>
      <c r="C70" s="26">
        <v>0</v>
      </c>
      <c r="D70" s="26">
        <v>1267593265</v>
      </c>
      <c r="E70" s="26">
        <v>-116067000</v>
      </c>
      <c r="F70" s="26">
        <v>52600000</v>
      </c>
      <c r="G70" s="26">
        <v>4790000</v>
      </c>
      <c r="H70" s="26">
        <v>5000000</v>
      </c>
      <c r="I70" s="26">
        <v>1240572794</v>
      </c>
      <c r="J70" s="26">
        <v>300914150</v>
      </c>
      <c r="K70" s="26">
        <v>0</v>
      </c>
      <c r="L70" s="26">
        <v>77682307</v>
      </c>
      <c r="M70" s="26">
        <v>0</v>
      </c>
      <c r="N70" s="26">
        <v>0</v>
      </c>
      <c r="O70" s="26">
        <v>0</v>
      </c>
      <c r="P70" s="26">
        <v>14964634</v>
      </c>
      <c r="Q70" s="26">
        <v>158411799</v>
      </c>
      <c r="R70" s="26">
        <v>0</v>
      </c>
      <c r="S70" s="26">
        <v>0</v>
      </c>
      <c r="T70" s="26">
        <v>0</v>
      </c>
      <c r="U70" s="26">
        <v>0</v>
      </c>
      <c r="V70" s="26">
        <v>0</v>
      </c>
      <c r="W70" s="26">
        <v>0</v>
      </c>
      <c r="X70" s="26">
        <v>2626877814</v>
      </c>
      <c r="Y70" s="26">
        <v>1210621552</v>
      </c>
      <c r="Z70" s="26">
        <v>202734656.16865</v>
      </c>
      <c r="AA70" s="77">
        <v>4251587803</v>
      </c>
      <c r="AB70" s="77">
        <v>1073356.5716899999</v>
      </c>
      <c r="AC70" s="77">
        <v>9000000</v>
      </c>
      <c r="AD70" s="77">
        <v>141199.467275495</v>
      </c>
      <c r="AE70" s="77">
        <v>160000</v>
      </c>
      <c r="AF70" s="77">
        <v>15276296.839</v>
      </c>
      <c r="AG70" s="77">
        <v>5582721359</v>
      </c>
      <c r="AH70" s="26">
        <v>2711482923.9850001</v>
      </c>
      <c r="AI70" s="26">
        <v>9988148144</v>
      </c>
      <c r="AJ70" s="26">
        <v>80200000</v>
      </c>
      <c r="AK70" s="28"/>
    </row>
    <row r="71" spans="1:37" ht="15.75" customHeight="1" x14ac:dyDescent="0.25">
      <c r="A71" s="25">
        <v>46133</v>
      </c>
      <c r="B71" s="77">
        <v>1372</v>
      </c>
      <c r="C71" s="26">
        <v>0</v>
      </c>
      <c r="D71" s="26">
        <v>1338654892</v>
      </c>
      <c r="E71" s="26">
        <v>-35371000</v>
      </c>
      <c r="F71" s="26">
        <v>163000000</v>
      </c>
      <c r="G71" s="26">
        <v>4790000</v>
      </c>
      <c r="H71" s="26">
        <v>5000000</v>
      </c>
      <c r="I71" s="26">
        <v>1110138054</v>
      </c>
      <c r="J71" s="26">
        <v>292098764</v>
      </c>
      <c r="K71" s="26">
        <v>0</v>
      </c>
      <c r="L71" s="26">
        <v>0</v>
      </c>
      <c r="M71" s="26">
        <v>0</v>
      </c>
      <c r="N71" s="26">
        <v>0</v>
      </c>
      <c r="O71" s="26">
        <v>0</v>
      </c>
      <c r="P71" s="26">
        <v>201453922</v>
      </c>
      <c r="Q71" s="26">
        <v>133001436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0</v>
      </c>
      <c r="X71" s="26">
        <v>2169131172</v>
      </c>
      <c r="Y71" s="26">
        <v>765562959</v>
      </c>
      <c r="Z71" s="26">
        <v>202734656.16865</v>
      </c>
      <c r="AA71" s="77">
        <v>4290166643</v>
      </c>
      <c r="AB71" s="77">
        <v>1146353.5376899999</v>
      </c>
      <c r="AC71" s="77">
        <v>9000000</v>
      </c>
      <c r="AD71" s="77">
        <v>141199.467275495</v>
      </c>
      <c r="AE71" s="77">
        <v>160000</v>
      </c>
      <c r="AF71" s="77">
        <v>16078914.694499999</v>
      </c>
      <c r="AG71" s="77">
        <v>5582721359</v>
      </c>
      <c r="AH71" s="26">
        <v>2560829452.4400001</v>
      </c>
      <c r="AI71" s="26">
        <v>10109730176</v>
      </c>
      <c r="AJ71" s="26">
        <v>80265000</v>
      </c>
      <c r="AK71" s="28"/>
    </row>
    <row r="72" spans="1:37" ht="15.75" customHeight="1" x14ac:dyDescent="0.25">
      <c r="A72" s="25">
        <v>46134</v>
      </c>
      <c r="B72" s="77">
        <v>1377</v>
      </c>
      <c r="C72" s="26">
        <v>0</v>
      </c>
      <c r="D72" s="26">
        <v>1391899942</v>
      </c>
      <c r="E72" s="26">
        <v>295000000</v>
      </c>
      <c r="F72" s="26">
        <v>143000000</v>
      </c>
      <c r="G72" s="26">
        <v>9743000</v>
      </c>
      <c r="H72" s="26">
        <v>5000000</v>
      </c>
      <c r="I72" s="26">
        <v>1055697748</v>
      </c>
      <c r="J72" s="26">
        <v>211947173</v>
      </c>
      <c r="K72" s="26">
        <v>0</v>
      </c>
      <c r="L72" s="26">
        <v>842000</v>
      </c>
      <c r="M72" s="26">
        <v>0</v>
      </c>
      <c r="N72" s="26">
        <v>0</v>
      </c>
      <c r="O72" s="26">
        <v>141952080</v>
      </c>
      <c r="P72" s="26">
        <v>0</v>
      </c>
      <c r="Q72" s="26">
        <v>89500000</v>
      </c>
      <c r="R72" s="26">
        <v>0</v>
      </c>
      <c r="S72" s="26">
        <v>0</v>
      </c>
      <c r="T72" s="26">
        <v>0</v>
      </c>
      <c r="U72" s="26">
        <v>80000000</v>
      </c>
      <c r="V72" s="26">
        <v>0</v>
      </c>
      <c r="W72" s="26">
        <v>0</v>
      </c>
      <c r="X72" s="26">
        <v>1992139178</v>
      </c>
      <c r="Y72" s="26">
        <v>560117810</v>
      </c>
      <c r="Z72" s="26">
        <v>202734656.16865</v>
      </c>
      <c r="AA72" s="77">
        <v>4379298833</v>
      </c>
      <c r="AB72" s="77">
        <v>1146353.5376899999</v>
      </c>
      <c r="AC72" s="77">
        <v>9000000</v>
      </c>
      <c r="AD72" s="77">
        <v>141199.467275495</v>
      </c>
      <c r="AE72" s="77">
        <v>160000</v>
      </c>
      <c r="AF72" s="77">
        <v>16224100.4625</v>
      </c>
      <c r="AG72" s="77">
        <v>5582721359</v>
      </c>
      <c r="AH72" s="26">
        <v>2313985529.79</v>
      </c>
      <c r="AI72" s="26">
        <v>9900817272</v>
      </c>
      <c r="AJ72" s="26">
        <v>80300000</v>
      </c>
      <c r="AK72" s="28"/>
    </row>
    <row r="73" spans="1:37" ht="15.75" customHeight="1" x14ac:dyDescent="0.25">
      <c r="A73" s="25">
        <v>46135</v>
      </c>
      <c r="B73" s="77">
        <v>1373.5</v>
      </c>
      <c r="C73" s="26">
        <v>0</v>
      </c>
      <c r="D73" s="26">
        <v>1414433742</v>
      </c>
      <c r="E73" s="26">
        <v>27566000</v>
      </c>
      <c r="F73" s="26">
        <v>17046000</v>
      </c>
      <c r="G73" s="26">
        <v>2895000</v>
      </c>
      <c r="H73" s="26">
        <v>5000000</v>
      </c>
      <c r="I73" s="26">
        <v>1206468829</v>
      </c>
      <c r="J73" s="26">
        <v>255556200</v>
      </c>
      <c r="K73" s="26">
        <v>0</v>
      </c>
      <c r="L73" s="26">
        <v>33242998</v>
      </c>
      <c r="M73" s="26">
        <v>0</v>
      </c>
      <c r="N73" s="26">
        <v>0</v>
      </c>
      <c r="O73" s="26">
        <v>0</v>
      </c>
      <c r="P73" s="26">
        <v>21014869</v>
      </c>
      <c r="Q73" s="26">
        <v>15400000</v>
      </c>
      <c r="R73" s="26">
        <v>0</v>
      </c>
      <c r="S73" s="26">
        <v>0</v>
      </c>
      <c r="T73" s="26">
        <v>22900000</v>
      </c>
      <c r="U73" s="26">
        <v>0</v>
      </c>
      <c r="V73" s="26">
        <v>0</v>
      </c>
      <c r="W73" s="26">
        <v>0</v>
      </c>
      <c r="X73" s="26">
        <v>1519394912</v>
      </c>
      <c r="Y73" s="26">
        <v>551752466</v>
      </c>
      <c r="Z73" s="26">
        <v>202734656.16865</v>
      </c>
      <c r="AA73" s="77">
        <v>4712030319</v>
      </c>
      <c r="AB73" s="77">
        <v>1146353.5376899999</v>
      </c>
      <c r="AC73" s="77">
        <v>9000000</v>
      </c>
      <c r="AD73" s="77">
        <v>141199.467275495</v>
      </c>
      <c r="AE73" s="77">
        <v>160000</v>
      </c>
      <c r="AF73" s="77">
        <v>16778257.956500001</v>
      </c>
      <c r="AG73" s="77">
        <v>5582721359</v>
      </c>
      <c r="AH73" s="26">
        <v>1753393164.7449999</v>
      </c>
      <c r="AI73" s="26">
        <v>9875651796</v>
      </c>
      <c r="AJ73" s="26">
        <v>15309000</v>
      </c>
      <c r="AK73" s="28"/>
    </row>
    <row r="74" spans="1:37" ht="15.75" customHeight="1" x14ac:dyDescent="0.25">
      <c r="A74" s="25">
        <v>46136</v>
      </c>
      <c r="B74" s="77">
        <v>1382</v>
      </c>
      <c r="C74" s="26">
        <v>0</v>
      </c>
      <c r="D74" s="26">
        <v>1597175171</v>
      </c>
      <c r="E74" s="26">
        <v>75000000</v>
      </c>
      <c r="F74" s="26">
        <v>43802000</v>
      </c>
      <c r="G74" s="26">
        <v>9793000</v>
      </c>
      <c r="H74" s="26">
        <v>5000000</v>
      </c>
      <c r="I74" s="26">
        <v>1077543013</v>
      </c>
      <c r="J74" s="26">
        <v>234611000</v>
      </c>
      <c r="K74" s="26">
        <v>0</v>
      </c>
      <c r="L74" s="26">
        <v>5400000</v>
      </c>
      <c r="M74" s="26">
        <v>0</v>
      </c>
      <c r="N74" s="26">
        <v>0</v>
      </c>
      <c r="O74" s="26">
        <v>2056026</v>
      </c>
      <c r="P74" s="26">
        <v>0</v>
      </c>
      <c r="Q74" s="26">
        <v>15684872</v>
      </c>
      <c r="R74" s="26">
        <v>0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1585276144</v>
      </c>
      <c r="Y74" s="26">
        <v>881125903</v>
      </c>
      <c r="Z74" s="26">
        <v>202734656.16865</v>
      </c>
      <c r="AA74" s="77">
        <v>4694734694</v>
      </c>
      <c r="AB74" s="77">
        <v>1197403.0916899999</v>
      </c>
      <c r="AC74" s="77">
        <v>9000000</v>
      </c>
      <c r="AD74" s="77">
        <v>141199.467275495</v>
      </c>
      <c r="AE74" s="77">
        <v>160000</v>
      </c>
      <c r="AF74" s="77">
        <v>17866546.067499999</v>
      </c>
      <c r="AG74" s="77">
        <v>5582721359</v>
      </c>
      <c r="AH74" s="26">
        <v>1415845622.24</v>
      </c>
      <c r="AI74" s="26">
        <v>9936767952</v>
      </c>
      <c r="AJ74" s="26">
        <v>15316000</v>
      </c>
      <c r="AK74" s="28"/>
    </row>
    <row r="75" spans="1:37" ht="15.75" customHeight="1" x14ac:dyDescent="0.25">
      <c r="A75" s="25">
        <v>46139</v>
      </c>
      <c r="B75" s="77">
        <v>1392</v>
      </c>
      <c r="C75" s="26">
        <v>0</v>
      </c>
      <c r="D75" s="26">
        <v>1175405558</v>
      </c>
      <c r="E75" s="26">
        <v>60784000</v>
      </c>
      <c r="F75" s="26">
        <v>52904000</v>
      </c>
      <c r="G75" s="26">
        <v>-850000</v>
      </c>
      <c r="H75" s="26">
        <v>5000000</v>
      </c>
      <c r="I75" s="26">
        <v>1508308609</v>
      </c>
      <c r="J75" s="26">
        <v>252767155</v>
      </c>
      <c r="K75" s="26">
        <v>0</v>
      </c>
      <c r="L75" s="26">
        <v>4233335</v>
      </c>
      <c r="M75" s="26">
        <v>0</v>
      </c>
      <c r="N75" s="26">
        <v>0</v>
      </c>
      <c r="O75" s="26">
        <v>13501112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0</v>
      </c>
      <c r="X75" s="26">
        <v>1343741521</v>
      </c>
      <c r="Y75" s="26">
        <v>864331855</v>
      </c>
      <c r="Z75" s="26">
        <v>202734656.16865</v>
      </c>
      <c r="AA75" s="77">
        <v>5547195047</v>
      </c>
      <c r="AB75" s="77">
        <v>1197403.0916899999</v>
      </c>
      <c r="AC75" s="77">
        <v>9000000</v>
      </c>
      <c r="AD75" s="77">
        <v>141199.467275495</v>
      </c>
      <c r="AE75" s="77">
        <v>160000</v>
      </c>
      <c r="AF75" s="77">
        <v>19735952.995499998</v>
      </c>
      <c r="AG75" s="77">
        <v>5582721359</v>
      </c>
      <c r="AH75" s="26">
        <v>1255812844.8</v>
      </c>
      <c r="AI75" s="26">
        <v>10846823136</v>
      </c>
      <c r="AJ75" s="26">
        <v>15337000</v>
      </c>
      <c r="AK75" s="28"/>
    </row>
    <row r="76" spans="1:37" ht="15.75" customHeight="1" x14ac:dyDescent="0.25">
      <c r="A76" s="25">
        <v>46140</v>
      </c>
      <c r="B76" s="77">
        <v>1406</v>
      </c>
      <c r="C76" s="26">
        <v>0</v>
      </c>
      <c r="D76" s="26">
        <v>1246590848</v>
      </c>
      <c r="E76" s="26">
        <v>155954000</v>
      </c>
      <c r="F76" s="26">
        <v>168196000</v>
      </c>
      <c r="G76" s="26">
        <v>1889000</v>
      </c>
      <c r="H76" s="26">
        <v>2000000</v>
      </c>
      <c r="I76" s="26">
        <v>988265645</v>
      </c>
      <c r="J76" s="26">
        <v>253969477</v>
      </c>
      <c r="K76" s="26">
        <v>0</v>
      </c>
      <c r="L76" s="26">
        <v>2400000</v>
      </c>
      <c r="M76" s="26">
        <v>0</v>
      </c>
      <c r="N76" s="26">
        <v>0</v>
      </c>
      <c r="O76" s="26">
        <v>0</v>
      </c>
      <c r="P76" s="26">
        <v>0</v>
      </c>
      <c r="Q76" s="26">
        <v>29500000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1095625975</v>
      </c>
      <c r="Y76" s="26">
        <v>847059423</v>
      </c>
      <c r="Z76" s="26">
        <v>202734656.16865</v>
      </c>
      <c r="AA76" s="77">
        <v>5696016937</v>
      </c>
      <c r="AB76" s="77">
        <v>1197403.0916899999</v>
      </c>
      <c r="AC76" s="77">
        <v>9000000</v>
      </c>
      <c r="AD76" s="77">
        <v>141199.467275495</v>
      </c>
      <c r="AE76" s="77">
        <v>160000</v>
      </c>
      <c r="AF76" s="77">
        <v>20113367.468499999</v>
      </c>
      <c r="AG76" s="77">
        <v>5582721359</v>
      </c>
      <c r="AH76" s="26">
        <v>1000314869</v>
      </c>
      <c r="AI76" s="26">
        <v>10886710022</v>
      </c>
      <c r="AJ76" s="26">
        <v>15344000</v>
      </c>
      <c r="AK76" s="28"/>
    </row>
    <row r="77" spans="1:37" ht="15.75" customHeight="1" x14ac:dyDescent="0.25">
      <c r="A77" s="25">
        <v>46141</v>
      </c>
      <c r="B77" s="77">
        <v>1400</v>
      </c>
      <c r="C77" s="26">
        <v>0</v>
      </c>
      <c r="D77" s="26">
        <v>957101202</v>
      </c>
      <c r="E77" s="26">
        <v>-105615000</v>
      </c>
      <c r="F77" s="26">
        <v>183500000</v>
      </c>
      <c r="G77" s="26">
        <v>1946000</v>
      </c>
      <c r="H77" s="26">
        <v>2000000</v>
      </c>
      <c r="I77" s="26">
        <v>955153045</v>
      </c>
      <c r="J77" s="26">
        <v>387161334</v>
      </c>
      <c r="K77" s="26">
        <v>0</v>
      </c>
      <c r="L77" s="26">
        <v>4086149</v>
      </c>
      <c r="M77" s="26">
        <v>0</v>
      </c>
      <c r="N77" s="26">
        <v>0</v>
      </c>
      <c r="O77" s="26">
        <v>7328761</v>
      </c>
      <c r="P77" s="26">
        <v>0</v>
      </c>
      <c r="Q77" s="26">
        <v>0</v>
      </c>
      <c r="R77" s="26">
        <v>0</v>
      </c>
      <c r="S77" s="26">
        <v>0</v>
      </c>
      <c r="T77" s="26">
        <v>0</v>
      </c>
      <c r="U77" s="26">
        <v>0</v>
      </c>
      <c r="V77" s="26">
        <v>0</v>
      </c>
      <c r="W77" s="26">
        <v>0</v>
      </c>
      <c r="X77" s="26">
        <v>870640000</v>
      </c>
      <c r="Y77" s="26">
        <v>1020219535</v>
      </c>
      <c r="Z77" s="26">
        <v>202734656.16865</v>
      </c>
      <c r="AA77" s="77">
        <v>6059237792</v>
      </c>
      <c r="AB77" s="77">
        <v>1197403.0916899999</v>
      </c>
      <c r="AC77" s="77">
        <v>9000000</v>
      </c>
      <c r="AD77" s="77">
        <v>141199.467275495</v>
      </c>
      <c r="AE77" s="77">
        <v>160000</v>
      </c>
      <c r="AF77" s="77">
        <v>20113367.468499999</v>
      </c>
      <c r="AG77" s="77">
        <v>5582721359</v>
      </c>
      <c r="AH77" s="26">
        <v>1440833100</v>
      </c>
      <c r="AI77" s="26">
        <v>10870927200</v>
      </c>
      <c r="AJ77" s="26">
        <v>15351000</v>
      </c>
      <c r="AK77" s="28"/>
    </row>
    <row r="78" spans="1:37" ht="15.75" customHeight="1" x14ac:dyDescent="0.25">
      <c r="A78" s="25">
        <v>46142</v>
      </c>
      <c r="B78" s="77">
        <v>1400</v>
      </c>
      <c r="C78" s="26">
        <v>0</v>
      </c>
      <c r="D78" s="26">
        <v>1116981335</v>
      </c>
      <c r="E78" s="26">
        <v>21500000</v>
      </c>
      <c r="F78" s="26">
        <v>324500000</v>
      </c>
      <c r="G78" s="26">
        <v>1946000</v>
      </c>
      <c r="H78" s="26">
        <v>2000000</v>
      </c>
      <c r="I78" s="26">
        <v>1013495558</v>
      </c>
      <c r="J78" s="26">
        <v>419782337</v>
      </c>
      <c r="K78" s="26">
        <v>0</v>
      </c>
      <c r="L78" s="26">
        <v>115404377</v>
      </c>
      <c r="M78" s="26">
        <v>0</v>
      </c>
      <c r="N78" s="26">
        <v>0</v>
      </c>
      <c r="O78" s="26">
        <v>0</v>
      </c>
      <c r="P78" s="26">
        <v>0</v>
      </c>
      <c r="Q78" s="26">
        <v>4527200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0</v>
      </c>
      <c r="X78" s="26">
        <v>949484713</v>
      </c>
      <c r="Y78" s="26">
        <v>1574004295</v>
      </c>
      <c r="Z78" s="26">
        <v>202734656.16865</v>
      </c>
      <c r="AA78" s="77">
        <v>6734890193</v>
      </c>
      <c r="AB78" s="77">
        <v>1197403.0916899999</v>
      </c>
      <c r="AC78" s="77">
        <v>9000000</v>
      </c>
      <c r="AD78" s="77">
        <v>141199.467275495</v>
      </c>
      <c r="AE78" s="77">
        <v>160000</v>
      </c>
      <c r="AF78" s="77">
        <v>10799849.478499999</v>
      </c>
      <c r="AG78" s="77">
        <v>5582721359</v>
      </c>
      <c r="AH78" s="26">
        <v>2504740980</v>
      </c>
      <c r="AI78" s="26">
        <v>10664858400</v>
      </c>
      <c r="AJ78" s="26">
        <v>15375000</v>
      </c>
      <c r="AK78" s="28"/>
    </row>
    <row r="79" spans="1:37" ht="15.75" customHeight="1" x14ac:dyDescent="0.25">
      <c r="A79" s="25">
        <v>46146</v>
      </c>
      <c r="B79" s="77">
        <v>1375</v>
      </c>
      <c r="C79" s="26">
        <v>0</v>
      </c>
      <c r="D79" s="26">
        <v>1131935735</v>
      </c>
      <c r="E79" s="26">
        <v>166033000</v>
      </c>
      <c r="F79" s="26">
        <v>28500000</v>
      </c>
      <c r="G79" s="26">
        <v>8048000</v>
      </c>
      <c r="H79" s="26">
        <v>2000000</v>
      </c>
      <c r="I79" s="26">
        <v>903817018</v>
      </c>
      <c r="J79" s="26">
        <v>229734851</v>
      </c>
      <c r="K79" s="26">
        <v>0</v>
      </c>
      <c r="L79" s="26">
        <v>150337439</v>
      </c>
      <c r="M79" s="26">
        <v>0</v>
      </c>
      <c r="N79" s="26">
        <v>0</v>
      </c>
      <c r="O79" s="26">
        <v>0</v>
      </c>
      <c r="P79" s="26">
        <v>0</v>
      </c>
      <c r="Q79" s="26">
        <v>219029189</v>
      </c>
      <c r="R79" s="26">
        <v>0</v>
      </c>
      <c r="S79" s="26">
        <v>0</v>
      </c>
      <c r="T79" s="26">
        <v>0</v>
      </c>
      <c r="U79" s="26">
        <v>0</v>
      </c>
      <c r="V79" s="26">
        <v>0</v>
      </c>
      <c r="W79" s="26">
        <v>0</v>
      </c>
      <c r="X79" s="26">
        <v>761417437</v>
      </c>
      <c r="Y79" s="26">
        <v>1204637667</v>
      </c>
      <c r="Z79" s="26">
        <v>202734656.16865</v>
      </c>
      <c r="AA79" s="77">
        <v>6714755409</v>
      </c>
      <c r="AB79" s="77">
        <v>1197403.0916899999</v>
      </c>
      <c r="AC79" s="77">
        <v>9000000</v>
      </c>
      <c r="AD79" s="77">
        <v>141199.467275495</v>
      </c>
      <c r="AE79" s="77">
        <v>280000</v>
      </c>
      <c r="AF79" s="77">
        <v>11061867.478499999</v>
      </c>
      <c r="AG79" s="77">
        <v>5582721359</v>
      </c>
      <c r="AH79" s="26">
        <v>2267595962.5</v>
      </c>
      <c r="AI79" s="26">
        <v>10000689875</v>
      </c>
      <c r="AJ79" s="26">
        <v>15387507</v>
      </c>
      <c r="AK79" s="28"/>
    </row>
    <row r="80" spans="1:37" ht="15.75" customHeight="1" x14ac:dyDescent="0.25">
      <c r="A80" s="25">
        <v>46147</v>
      </c>
      <c r="B80" s="77">
        <v>1396.5</v>
      </c>
      <c r="C80" s="26">
        <v>0</v>
      </c>
      <c r="D80" s="26">
        <v>915176645</v>
      </c>
      <c r="E80" s="26">
        <v>148789000</v>
      </c>
      <c r="F80" s="26">
        <v>56350000</v>
      </c>
      <c r="G80" s="26">
        <v>7900000</v>
      </c>
      <c r="H80" s="26">
        <v>2000000</v>
      </c>
      <c r="I80" s="26">
        <v>1234633053</v>
      </c>
      <c r="J80" s="26">
        <v>78748672</v>
      </c>
      <c r="K80" s="26">
        <v>0</v>
      </c>
      <c r="L80" s="26">
        <v>0</v>
      </c>
      <c r="M80" s="26">
        <v>0</v>
      </c>
      <c r="N80" s="26">
        <v>0</v>
      </c>
      <c r="O80" s="26">
        <v>0</v>
      </c>
      <c r="P80" s="26">
        <v>22222231</v>
      </c>
      <c r="Q80" s="26">
        <v>371180743</v>
      </c>
      <c r="R80" s="26">
        <v>0</v>
      </c>
      <c r="S80" s="26">
        <v>0</v>
      </c>
      <c r="T80" s="26">
        <v>0</v>
      </c>
      <c r="U80" s="26">
        <v>100000000</v>
      </c>
      <c r="V80" s="26">
        <v>0</v>
      </c>
      <c r="W80" s="26">
        <v>0</v>
      </c>
      <c r="X80" s="26">
        <v>841723050</v>
      </c>
      <c r="Y80" s="26">
        <v>3021797600</v>
      </c>
      <c r="Z80" s="26">
        <v>202734656.16865</v>
      </c>
      <c r="AA80" s="77">
        <v>6871897895</v>
      </c>
      <c r="AB80" s="77">
        <v>1196248.61769</v>
      </c>
      <c r="AC80" s="77">
        <v>9000000</v>
      </c>
      <c r="AD80" s="77">
        <v>141199.467275495</v>
      </c>
      <c r="AE80" s="77">
        <v>280000</v>
      </c>
      <c r="AF80" s="77">
        <v>11210473.578500001</v>
      </c>
      <c r="AG80" s="77">
        <v>5582721359</v>
      </c>
      <c r="AH80" s="26">
        <v>3108364389.0599999</v>
      </c>
      <c r="AI80" s="26">
        <v>9693476572.5</v>
      </c>
      <c r="AJ80" s="26">
        <v>15392000</v>
      </c>
      <c r="AK80" s="28"/>
    </row>
    <row r="81" spans="1:37" ht="15.75" customHeight="1" x14ac:dyDescent="0.25">
      <c r="A81" s="25">
        <v>46148</v>
      </c>
      <c r="B81" s="77">
        <v>1394</v>
      </c>
      <c r="C81" s="26">
        <v>0</v>
      </c>
      <c r="D81" s="26">
        <v>1004100985</v>
      </c>
      <c r="E81" s="26">
        <v>169968000</v>
      </c>
      <c r="F81" s="26">
        <v>154116000</v>
      </c>
      <c r="G81" s="26">
        <v>5631000</v>
      </c>
      <c r="H81" s="26">
        <v>2000000</v>
      </c>
      <c r="I81" s="26">
        <v>1157142384</v>
      </c>
      <c r="J81" s="26">
        <v>164021678</v>
      </c>
      <c r="K81" s="26">
        <v>0</v>
      </c>
      <c r="L81" s="26">
        <v>8902350</v>
      </c>
      <c r="M81" s="26">
        <v>0</v>
      </c>
      <c r="N81" s="26">
        <v>0</v>
      </c>
      <c r="O81" s="26">
        <v>0</v>
      </c>
      <c r="P81" s="26">
        <v>15369453</v>
      </c>
      <c r="Q81" s="26">
        <v>196498507</v>
      </c>
      <c r="R81" s="26">
        <v>0</v>
      </c>
      <c r="S81" s="26">
        <v>0</v>
      </c>
      <c r="T81" s="26">
        <v>0</v>
      </c>
      <c r="U81" s="26">
        <v>180000000</v>
      </c>
      <c r="V81" s="26">
        <v>0</v>
      </c>
      <c r="W81" s="26">
        <v>0</v>
      </c>
      <c r="X81" s="26">
        <v>1105183352</v>
      </c>
      <c r="Y81" s="26">
        <v>3123849992</v>
      </c>
      <c r="Z81" s="26">
        <v>202734656.16865</v>
      </c>
      <c r="AA81" s="77">
        <v>7025155800</v>
      </c>
      <c r="AB81" s="77">
        <v>1196248.61769</v>
      </c>
      <c r="AC81" s="77">
        <v>9000000</v>
      </c>
      <c r="AD81" s="77">
        <v>141199.467275495</v>
      </c>
      <c r="AE81" s="77">
        <v>280000</v>
      </c>
      <c r="AF81" s="77">
        <v>12797567.936000001</v>
      </c>
      <c r="AG81" s="77">
        <v>5582721359</v>
      </c>
      <c r="AH81" s="26">
        <v>2680599046.96</v>
      </c>
      <c r="AI81" s="26">
        <v>8928795828</v>
      </c>
      <c r="AJ81" s="26">
        <v>67392000</v>
      </c>
      <c r="AK81" s="28"/>
    </row>
    <row r="82" spans="1:37" ht="15.75" customHeight="1" x14ac:dyDescent="0.25">
      <c r="A82" s="25">
        <v>46149</v>
      </c>
      <c r="B82" s="77">
        <v>1383</v>
      </c>
      <c r="C82" s="26">
        <v>0</v>
      </c>
      <c r="D82" s="26">
        <v>1004100985</v>
      </c>
      <c r="E82" s="26">
        <v>56178000</v>
      </c>
      <c r="F82" s="26">
        <v>13243000</v>
      </c>
      <c r="G82" s="26">
        <v>4270000</v>
      </c>
      <c r="H82" s="26">
        <v>2000000</v>
      </c>
      <c r="I82" s="26">
        <v>1586995953</v>
      </c>
      <c r="J82" s="26">
        <v>0</v>
      </c>
      <c r="K82" s="26">
        <v>0</v>
      </c>
      <c r="L82" s="26">
        <v>0</v>
      </c>
      <c r="M82" s="26">
        <v>0</v>
      </c>
      <c r="N82" s="26">
        <v>0</v>
      </c>
      <c r="O82" s="26">
        <v>0</v>
      </c>
      <c r="P82" s="26">
        <v>0</v>
      </c>
      <c r="Q82" s="26">
        <v>0</v>
      </c>
      <c r="R82" s="26">
        <v>0</v>
      </c>
      <c r="S82" s="26">
        <v>0</v>
      </c>
      <c r="T82" s="26">
        <v>0</v>
      </c>
      <c r="U82" s="26">
        <v>0</v>
      </c>
      <c r="V82" s="26">
        <v>0</v>
      </c>
      <c r="W82" s="26">
        <v>0</v>
      </c>
      <c r="X82" s="26">
        <v>1237302832.29</v>
      </c>
      <c r="Y82" s="26">
        <v>2896014463</v>
      </c>
      <c r="Z82" s="26">
        <v>202734656.16865</v>
      </c>
      <c r="AA82" s="77">
        <v>7174765725</v>
      </c>
      <c r="AB82" s="77">
        <v>1196248.61769</v>
      </c>
      <c r="AC82" s="77">
        <v>9000000</v>
      </c>
      <c r="AD82" s="77">
        <v>141199.467275495</v>
      </c>
      <c r="AE82" s="77">
        <v>280000</v>
      </c>
      <c r="AF82" s="77">
        <v>12657303.614</v>
      </c>
      <c r="AG82" s="77">
        <v>5582721359</v>
      </c>
      <c r="AH82" s="26">
        <v>2731278746</v>
      </c>
      <c r="AI82" s="26">
        <v>8858339046</v>
      </c>
      <c r="AJ82" s="26">
        <v>102471144</v>
      </c>
      <c r="AK82" s="28"/>
    </row>
    <row r="83" spans="1:37" ht="15.75" customHeight="1" x14ac:dyDescent="0.25">
      <c r="A83" s="25">
        <v>46150</v>
      </c>
      <c r="B83" s="77">
        <v>1388</v>
      </c>
      <c r="C83" s="26"/>
      <c r="D83" s="26">
        <v>1026676615</v>
      </c>
      <c r="E83" s="26">
        <v>160451000</v>
      </c>
      <c r="F83" s="26">
        <v>50895000</v>
      </c>
      <c r="G83" s="26">
        <v>2169000</v>
      </c>
      <c r="H83" s="26">
        <v>1428000</v>
      </c>
      <c r="I83" s="26">
        <v>1617879590</v>
      </c>
      <c r="J83" s="26">
        <v>284346273</v>
      </c>
      <c r="K83" s="26"/>
      <c r="L83" s="26">
        <v>204023840</v>
      </c>
      <c r="M83" s="26"/>
      <c r="N83" s="26"/>
      <c r="O83" s="26"/>
      <c r="P83" s="26">
        <v>2425645</v>
      </c>
      <c r="Q83" s="26">
        <v>13418493</v>
      </c>
      <c r="R83" s="26"/>
      <c r="S83" s="26"/>
      <c r="T83" s="26"/>
      <c r="U83" s="26"/>
      <c r="V83" s="26"/>
      <c r="W83" s="26"/>
      <c r="X83" s="26">
        <v>1738503267</v>
      </c>
      <c r="Y83" s="26">
        <v>2698378718</v>
      </c>
      <c r="Z83" s="26">
        <v>202734656.16865012</v>
      </c>
      <c r="AA83" s="77">
        <v>6689223249</v>
      </c>
      <c r="AB83" s="77">
        <v>1196248.61769</v>
      </c>
      <c r="AC83" s="77">
        <v>9000000</v>
      </c>
      <c r="AD83" s="77">
        <v>141199.47</v>
      </c>
      <c r="AE83" s="77">
        <v>280000</v>
      </c>
      <c r="AF83" s="77">
        <v>12737370.011500001</v>
      </c>
      <c r="AG83" s="77">
        <v>5582721359</v>
      </c>
      <c r="AH83" s="26">
        <v>2088518048</v>
      </c>
      <c r="AI83" s="26">
        <v>8890364856</v>
      </c>
      <c r="AJ83" s="26">
        <v>90511582</v>
      </c>
      <c r="AK83" s="28"/>
    </row>
    <row r="84" spans="1:37" ht="15.75" customHeight="1" x14ac:dyDescent="0.25">
      <c r="A84" s="25">
        <v>46153</v>
      </c>
      <c r="B84" s="77">
        <v>1389</v>
      </c>
      <c r="C84" s="26"/>
      <c r="D84" s="26">
        <v>1026676615</v>
      </c>
      <c r="E84" s="26">
        <v>177905205</v>
      </c>
      <c r="F84" s="26">
        <v>26207670</v>
      </c>
      <c r="G84" s="26">
        <v>-42250000</v>
      </c>
      <c r="H84" s="26">
        <v>2000000</v>
      </c>
      <c r="I84" s="26">
        <v>1897154988</v>
      </c>
      <c r="J84" s="26">
        <v>60206933</v>
      </c>
      <c r="K84" s="26">
        <v>86098436</v>
      </c>
      <c r="L84" s="26">
        <v>46609610</v>
      </c>
      <c r="M84" s="26"/>
      <c r="N84" s="26"/>
      <c r="O84" s="26"/>
      <c r="P84" s="26">
        <v>49239273</v>
      </c>
      <c r="Q84" s="26">
        <v>1226584509</v>
      </c>
      <c r="R84" s="26">
        <v>4462000</v>
      </c>
      <c r="S84" s="26"/>
      <c r="T84" s="26"/>
      <c r="U84" s="26"/>
      <c r="V84" s="26"/>
      <c r="W84" s="26"/>
      <c r="X84" s="26">
        <v>1697009243</v>
      </c>
      <c r="Y84" s="26">
        <v>1215298412</v>
      </c>
      <c r="Z84" s="26">
        <v>202734656.16865012</v>
      </c>
      <c r="AA84" s="77">
        <v>6649944967</v>
      </c>
      <c r="AB84" s="77">
        <v>1196248.61769</v>
      </c>
      <c r="AC84" s="77">
        <v>10000000</v>
      </c>
      <c r="AD84" s="77">
        <v>141199.47</v>
      </c>
      <c r="AE84" s="77">
        <v>280000</v>
      </c>
      <c r="AF84" s="77">
        <v>12946008.067500001</v>
      </c>
      <c r="AG84" s="77">
        <v>5582721359</v>
      </c>
      <c r="AH84" s="26">
        <v>2272274354</v>
      </c>
      <c r="AI84" s="26">
        <v>9463757040</v>
      </c>
      <c r="AJ84" s="26">
        <v>90663001</v>
      </c>
      <c r="AK84" s="28"/>
    </row>
    <row r="85" spans="1:37" ht="15.75" customHeight="1" x14ac:dyDescent="0.25">
      <c r="A85" s="25">
        <v>46154</v>
      </c>
      <c r="B85" s="77">
        <v>1391</v>
      </c>
      <c r="C85" s="26"/>
      <c r="D85" s="26">
        <v>1026676615</v>
      </c>
      <c r="E85" s="26">
        <v>-39733000</v>
      </c>
      <c r="F85" s="26">
        <v>54938000</v>
      </c>
      <c r="G85" s="26">
        <v>7516000</v>
      </c>
      <c r="H85" s="26">
        <v>2000000</v>
      </c>
      <c r="I85" s="26">
        <v>1897154988</v>
      </c>
      <c r="J85" s="26">
        <v>350881600</v>
      </c>
      <c r="K85" s="26"/>
      <c r="L85" s="26"/>
      <c r="M85" s="26"/>
      <c r="N85" s="26"/>
      <c r="O85" s="26">
        <v>4687440</v>
      </c>
      <c r="P85" s="26"/>
      <c r="Q85" s="26">
        <v>119797908</v>
      </c>
      <c r="R85" s="26"/>
      <c r="S85" s="26"/>
      <c r="T85" s="26"/>
      <c r="U85" s="26"/>
      <c r="V85" s="26"/>
      <c r="W85" s="26"/>
      <c r="X85" s="26">
        <v>2193914554</v>
      </c>
      <c r="Y85" s="26">
        <v>1224485195</v>
      </c>
      <c r="Z85" s="26">
        <v>202734656.16865012</v>
      </c>
      <c r="AA85" s="77">
        <v>5996923699</v>
      </c>
      <c r="AB85" s="77">
        <v>1100365.03789</v>
      </c>
      <c r="AC85" s="77">
        <v>10000000</v>
      </c>
      <c r="AD85" s="77">
        <v>141199.47</v>
      </c>
      <c r="AE85" s="77">
        <v>280000</v>
      </c>
      <c r="AF85" s="77">
        <v>12953741.867500002</v>
      </c>
      <c r="AG85" s="77">
        <v>5582721359</v>
      </c>
      <c r="AH85" s="26">
        <v>2527054056.4099998</v>
      </c>
      <c r="AI85" s="26">
        <v>9477383760</v>
      </c>
      <c r="AJ85" s="26">
        <v>90673439</v>
      </c>
      <c r="AK85" s="28"/>
    </row>
    <row r="86" spans="1:37" ht="15.75" customHeight="1" x14ac:dyDescent="0.25">
      <c r="A86" s="25">
        <v>46155</v>
      </c>
      <c r="B86" s="77">
        <v>1382.5</v>
      </c>
      <c r="C86" s="26"/>
      <c r="D86" s="26">
        <v>1049061340</v>
      </c>
      <c r="E86" s="26">
        <v>82398000</v>
      </c>
      <c r="F86" s="26">
        <v>238635000</v>
      </c>
      <c r="G86" s="26">
        <v>5524000</v>
      </c>
      <c r="H86" s="26">
        <v>2000000</v>
      </c>
      <c r="I86" s="26">
        <v>1871991100</v>
      </c>
      <c r="J86" s="26">
        <v>194004331</v>
      </c>
      <c r="K86" s="26"/>
      <c r="L86" s="26">
        <v>6881904</v>
      </c>
      <c r="M86" s="26"/>
      <c r="N86" s="26"/>
      <c r="O86" s="26"/>
      <c r="P86" s="26">
        <v>4499179</v>
      </c>
      <c r="Q86" s="26">
        <v>298337009</v>
      </c>
      <c r="R86" s="26"/>
      <c r="S86" s="26"/>
      <c r="T86" s="26"/>
      <c r="U86" s="26">
        <v>120000000</v>
      </c>
      <c r="V86" s="26"/>
      <c r="W86" s="26"/>
      <c r="X86" s="26">
        <v>1951558798</v>
      </c>
      <c r="Y86" s="26">
        <v>991611113</v>
      </c>
      <c r="Z86" s="26">
        <v>202734656.16865012</v>
      </c>
      <c r="AA86" s="77">
        <v>6063339939</v>
      </c>
      <c r="AB86" s="77">
        <v>1100365.03789</v>
      </c>
      <c r="AC86" s="77">
        <v>10000000</v>
      </c>
      <c r="AD86" s="77">
        <v>141199.47</v>
      </c>
      <c r="AE86" s="77">
        <v>280000</v>
      </c>
      <c r="AF86" s="77">
        <v>12416677.031000001</v>
      </c>
      <c r="AG86" s="77">
        <v>5582721359</v>
      </c>
      <c r="AH86" s="26">
        <v>2339462905.5</v>
      </c>
      <c r="AI86" s="26">
        <v>9419470200</v>
      </c>
      <c r="AJ86" s="26">
        <v>140735000</v>
      </c>
      <c r="AK86" s="28"/>
    </row>
    <row r="87" spans="1:37" ht="15.75" customHeight="1" x14ac:dyDescent="0.25">
      <c r="A87" s="25">
        <v>46156</v>
      </c>
      <c r="B87" s="77">
        <v>1386</v>
      </c>
      <c r="C87" s="26"/>
      <c r="D87" s="26">
        <f>+'[1]CF Dia V1'!$CJ$10</f>
        <v>837432835</v>
      </c>
      <c r="E87" s="26">
        <f>+'[1]CF Dia V1'!$CJ$13</f>
        <v>78949000</v>
      </c>
      <c r="F87" s="26">
        <f>+'[1]CF Dia V1'!$CJ$16</f>
        <v>45656000</v>
      </c>
      <c r="G87" s="26">
        <f>+'[1]CF Dia V1'!$CJ$14</f>
        <v>5783000</v>
      </c>
      <c r="H87" s="26">
        <f>+'[1]CF Dia V1'!$CJ$15</f>
        <v>2000000</v>
      </c>
      <c r="I87" s="26">
        <f>+'[1]CF Dia V1'!$CJ$22</f>
        <v>1740123570</v>
      </c>
      <c r="J87" s="26">
        <f>+'[1]CF Dia V1'!$CJ$43</f>
        <v>458483114</v>
      </c>
      <c r="K87" s="26">
        <f>+'[1]CF Dia V1'!$CJ$45</f>
        <v>0</v>
      </c>
      <c r="L87" s="26">
        <f>+'[1]CF Dia V1'!$CJ$46</f>
        <v>14376000</v>
      </c>
      <c r="M87" s="26">
        <f>+'[1]CF Dia V1'!$CJ$47</f>
        <v>0</v>
      </c>
      <c r="N87" s="26">
        <f>+'[1]CF Dia V1'!$CJ$48</f>
        <v>0</v>
      </c>
      <c r="O87" s="26">
        <f>+'[1]CF Dia V1'!$CJ$49</f>
        <v>0</v>
      </c>
      <c r="P87" s="26">
        <f>+'[1]CF Dia V1'!$CJ$50</f>
        <v>0</v>
      </c>
      <c r="Q87" s="26">
        <f>+'[1]CF Dia V1'!$CJ$51</f>
        <v>6873443</v>
      </c>
      <c r="R87" s="26">
        <f>+'[1]CF Dia V1'!$CJ$53</f>
        <v>0</v>
      </c>
      <c r="S87" s="26">
        <f>+'[1]CF Dia V1'!$CJ$56</f>
        <v>0</v>
      </c>
      <c r="T87" s="26">
        <f>+'[1]CF Dia V1'!$CJ$59</f>
        <v>0</v>
      </c>
      <c r="U87" s="26">
        <f>+'[1]CF Dia V1'!$CJ$60</f>
        <v>30000000</v>
      </c>
      <c r="V87" s="26">
        <f>+'[1]CF Dia V1'!$CJ$68</f>
        <v>0</v>
      </c>
      <c r="W87" s="26">
        <f>+'[1]CF Dia V1'!$CJ$61</f>
        <v>0</v>
      </c>
      <c r="X87" s="26">
        <f>+'[1]CF Dia V1'!$CJ$100</f>
        <v>1689393489</v>
      </c>
      <c r="Y87" s="26">
        <f>+'[1]CF Dia V1'!$CJ$101</f>
        <v>990744710</v>
      </c>
      <c r="Z87" s="26">
        <f>+'[1]CF Dia V1'!$CJ$104</f>
        <v>202734656.16865012</v>
      </c>
      <c r="AA87" s="77">
        <f>+'[1]CF Dia V1'!$CJ$102</f>
        <v>6063777655</v>
      </c>
      <c r="AB87" s="77">
        <f>+'[1]CF Dia V1'!$CJ$103</f>
        <v>1100365.03789</v>
      </c>
      <c r="AC87" s="77">
        <f>+'[1]CF Dia V1'!$CJ$105</f>
        <v>10000000</v>
      </c>
      <c r="AD87" s="77">
        <f>+'[1]CF Dia V1'!$CJ$106</f>
        <v>141199.46727549468</v>
      </c>
      <c r="AE87" s="77">
        <f>+'[1]CF Dia V1'!$CJ$107</f>
        <v>280000</v>
      </c>
      <c r="AF87" s="77">
        <f>+'[1]CF Dia V1'!$CJ$97</f>
        <v>12457096.382999999</v>
      </c>
      <c r="AG87" s="77">
        <f>+'[1]CF Dia V1'!$CJ$98</f>
        <v>5582721359</v>
      </c>
      <c r="AH87" s="26">
        <f>+'[1]CF Dia V1'!$CJ$24+'[1]CF Dia V1'!$CJ$25</f>
        <v>3564895672.7999997</v>
      </c>
      <c r="AI87" s="26">
        <f>+'[1]CF Dia V1'!$CJ$29</f>
        <v>8574762042</v>
      </c>
      <c r="AJ87" s="26">
        <f>+'[1]CF Dia V1'!$CJ$31</f>
        <v>140297925.61000001</v>
      </c>
      <c r="AK87" s="28"/>
    </row>
    <row r="88" spans="1:37" ht="15.75" customHeight="1" x14ac:dyDescent="0.25">
      <c r="A88" s="25">
        <v>46157</v>
      </c>
      <c r="B88" s="77">
        <v>1392</v>
      </c>
      <c r="C88" s="26"/>
      <c r="D88" s="26">
        <f>+'[1]CF Dia V1'!$CK$10</f>
        <v>850726335</v>
      </c>
      <c r="E88" s="26">
        <f>+'[1]CF Dia V1'!$CK$13</f>
        <v>55135000</v>
      </c>
      <c r="F88" s="26">
        <f>+'[1]CF Dia V1'!$CK$16</f>
        <v>35083000</v>
      </c>
      <c r="G88" s="26">
        <f>+'[1]CF Dia V1'!$CK$14</f>
        <v>6687413</v>
      </c>
      <c r="H88" s="26">
        <f>+'[1]CF Dia V1'!$CK$15</f>
        <v>2000000</v>
      </c>
      <c r="I88" s="26">
        <f>+'[1]CF Dia V1'!$CK$22</f>
        <v>1726830070</v>
      </c>
      <c r="J88" s="26">
        <f>+'[1]CF Dia V1'!$CK$43</f>
        <v>661233493</v>
      </c>
      <c r="K88" s="26"/>
      <c r="L88" s="26">
        <f>+'[1]CF Dia V1'!$CK$46</f>
        <v>9499387</v>
      </c>
      <c r="M88" s="26"/>
      <c r="N88" s="26"/>
      <c r="O88" s="26"/>
      <c r="P88" s="26">
        <f>+'[1]CF Dia V1'!$CK$50</f>
        <v>9401592</v>
      </c>
      <c r="Q88" s="26">
        <f>+'[1]CF Dia V1'!$CK$51</f>
        <v>10840885</v>
      </c>
      <c r="R88" s="26"/>
      <c r="S88" s="26"/>
      <c r="T88" s="26"/>
      <c r="U88" s="26"/>
      <c r="V88" s="26"/>
      <c r="W88" s="26"/>
      <c r="X88" s="26">
        <f>+'[1]CF Dia V1'!$CK$100</f>
        <v>1583396236</v>
      </c>
      <c r="Y88" s="26">
        <f>+'[1]CF Dia V1'!$CK$101</f>
        <v>771360669</v>
      </c>
      <c r="Z88" s="26">
        <f>+'[1]CF Dia V1'!$CK$104</f>
        <v>202734656.16865012</v>
      </c>
      <c r="AA88" s="77">
        <f>+'[1]CF Dia V1'!$CK$102</f>
        <v>5851473775</v>
      </c>
      <c r="AB88" s="77">
        <f>+'[1]CF Dia V1'!$CK$103</f>
        <v>1100365.03789</v>
      </c>
      <c r="AC88" s="77">
        <f>+'[1]CF Dia V1'!$CK$105</f>
        <v>10000000</v>
      </c>
      <c r="AD88" s="77">
        <f>+'[1]CF Dia V1'!$CK$106</f>
        <v>141199.46727549468</v>
      </c>
      <c r="AE88" s="77">
        <f>+'[1]CF Dia V1'!$CK$107</f>
        <v>280000</v>
      </c>
      <c r="AF88" s="77">
        <f>+'[1]CF Dia V1'!$CK$97</f>
        <v>13310282.683</v>
      </c>
      <c r="AG88" s="77">
        <f>+'[1]CF Dia V1'!$CK$98</f>
        <v>5582721359</v>
      </c>
      <c r="AH88" s="26">
        <f>+'[1]CF Dia V1'!$CK$24+'[1]CF Dia V1'!$CK$25</f>
        <v>3321669340.3200002</v>
      </c>
      <c r="AI88" s="26">
        <f>+'[1]CF Dia V1'!$CK$29</f>
        <v>8569053168</v>
      </c>
      <c r="AJ88" s="26">
        <f>+'[1]CF Dia V1'!$CK$31</f>
        <v>170372226</v>
      </c>
      <c r="AK88" s="28"/>
    </row>
    <row r="89" spans="1:37" ht="15.75" customHeight="1" x14ac:dyDescent="0.25">
      <c r="A89" s="25"/>
      <c r="B89" s="29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30"/>
      <c r="AB89" s="30"/>
      <c r="AC89" s="30"/>
      <c r="AD89" s="30"/>
      <c r="AE89" s="30"/>
      <c r="AF89" s="27"/>
      <c r="AG89" s="27"/>
      <c r="AH89" s="27"/>
      <c r="AI89" s="27"/>
      <c r="AJ89" s="27"/>
      <c r="AK89" s="28"/>
    </row>
    <row r="90" spans="1:37" ht="15.75" customHeight="1" x14ac:dyDescent="0.25">
      <c r="A90" s="25"/>
      <c r="B90" s="29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30"/>
      <c r="AB90" s="30"/>
      <c r="AC90" s="30"/>
      <c r="AD90" s="30"/>
      <c r="AE90" s="30"/>
      <c r="AF90" s="27"/>
      <c r="AG90" s="27"/>
      <c r="AH90" s="27"/>
      <c r="AI90" s="27"/>
      <c r="AJ90" s="27"/>
      <c r="AK90" s="28"/>
    </row>
    <row r="91" spans="1:37" ht="15.75" customHeight="1" x14ac:dyDescent="0.25">
      <c r="A91" s="25"/>
      <c r="B91" s="29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30"/>
      <c r="AB91" s="30"/>
      <c r="AC91" s="30"/>
      <c r="AD91" s="30"/>
      <c r="AE91" s="30"/>
      <c r="AF91" s="27"/>
      <c r="AG91" s="27"/>
      <c r="AH91" s="27"/>
      <c r="AI91" s="27"/>
      <c r="AJ91" s="27"/>
      <c r="AK91" s="28"/>
    </row>
    <row r="92" spans="1:37" ht="15.75" customHeight="1" x14ac:dyDescent="0.25">
      <c r="A92" s="25"/>
      <c r="B92" s="29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30"/>
      <c r="AB92" s="30"/>
      <c r="AC92" s="30"/>
      <c r="AD92" s="30"/>
      <c r="AE92" s="30"/>
      <c r="AF92" s="27"/>
      <c r="AG92" s="27"/>
      <c r="AH92" s="27"/>
      <c r="AI92" s="27"/>
      <c r="AJ92" s="27"/>
      <c r="AK92" s="28"/>
    </row>
    <row r="93" spans="1:37" ht="15.75" customHeight="1" x14ac:dyDescent="0.25">
      <c r="A93" s="25"/>
      <c r="B93" s="29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30"/>
      <c r="AB93" s="30"/>
      <c r="AC93" s="30"/>
      <c r="AD93" s="30"/>
      <c r="AE93" s="30"/>
      <c r="AF93" s="27"/>
      <c r="AG93" s="27"/>
      <c r="AH93" s="27"/>
      <c r="AI93" s="27"/>
      <c r="AJ93" s="27"/>
      <c r="AK93" s="28"/>
    </row>
    <row r="94" spans="1:37" ht="15.75" customHeight="1" x14ac:dyDescent="0.25">
      <c r="A94" s="25"/>
      <c r="B94" s="29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30"/>
      <c r="AB94" s="30"/>
      <c r="AC94" s="30"/>
      <c r="AD94" s="30"/>
      <c r="AE94" s="30"/>
      <c r="AF94" s="27"/>
      <c r="AG94" s="27"/>
      <c r="AH94" s="27"/>
      <c r="AI94" s="27"/>
      <c r="AJ94" s="27"/>
      <c r="AK94" s="28"/>
    </row>
    <row r="95" spans="1:37" ht="15.75" customHeight="1" x14ac:dyDescent="0.25">
      <c r="A95" s="25"/>
      <c r="B95" s="29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30"/>
      <c r="AB95" s="30"/>
      <c r="AC95" s="30"/>
      <c r="AD95" s="30"/>
      <c r="AE95" s="30"/>
      <c r="AF95" s="27"/>
      <c r="AG95" s="27"/>
      <c r="AH95" s="27"/>
      <c r="AI95" s="27"/>
      <c r="AJ95" s="27"/>
      <c r="AK95" s="28"/>
    </row>
    <row r="96" spans="1:37" ht="15.75" customHeight="1" x14ac:dyDescent="0.25">
      <c r="A96" s="25"/>
      <c r="B96" s="29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30"/>
      <c r="AB96" s="30"/>
      <c r="AC96" s="30"/>
      <c r="AD96" s="30"/>
      <c r="AE96" s="30"/>
      <c r="AF96" s="27"/>
      <c r="AG96" s="27"/>
      <c r="AH96" s="27"/>
      <c r="AI96" s="27"/>
      <c r="AJ96" s="27"/>
      <c r="AK96" s="28"/>
    </row>
    <row r="97" spans="1:37" ht="15.75" customHeight="1" x14ac:dyDescent="0.25">
      <c r="A97" s="25"/>
      <c r="B97" s="29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30"/>
      <c r="AB97" s="30"/>
      <c r="AC97" s="30"/>
      <c r="AD97" s="30"/>
      <c r="AE97" s="30"/>
      <c r="AF97" s="27"/>
      <c r="AG97" s="27"/>
      <c r="AH97" s="27"/>
      <c r="AI97" s="27"/>
      <c r="AJ97" s="27"/>
      <c r="AK97" s="28"/>
    </row>
    <row r="98" spans="1:37" ht="15.75" customHeight="1" x14ac:dyDescent="0.25">
      <c r="A98" s="25"/>
      <c r="B98" s="29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30"/>
      <c r="AB98" s="30"/>
      <c r="AC98" s="30"/>
      <c r="AD98" s="30"/>
      <c r="AE98" s="30"/>
      <c r="AF98" s="27"/>
      <c r="AG98" s="27"/>
      <c r="AH98" s="27"/>
      <c r="AI98" s="27"/>
      <c r="AJ98" s="27"/>
      <c r="AK98" s="28"/>
    </row>
    <row r="99" spans="1:37" ht="15.75" customHeight="1" x14ac:dyDescent="0.25">
      <c r="A99" s="25"/>
      <c r="B99" s="29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30"/>
      <c r="AB99" s="30"/>
      <c r="AC99" s="30"/>
      <c r="AD99" s="30"/>
      <c r="AE99" s="30"/>
      <c r="AF99" s="27"/>
      <c r="AG99" s="27"/>
      <c r="AH99" s="27"/>
      <c r="AI99" s="27"/>
      <c r="AJ99" s="27"/>
      <c r="AK99" s="28"/>
    </row>
    <row r="100" spans="1:37" ht="15.75" customHeight="1" x14ac:dyDescent="0.25">
      <c r="A100" s="25"/>
      <c r="B100" s="29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30"/>
      <c r="AB100" s="30"/>
      <c r="AC100" s="30"/>
      <c r="AD100" s="30"/>
      <c r="AE100" s="30"/>
      <c r="AF100" s="27"/>
      <c r="AG100" s="27"/>
      <c r="AH100" s="27"/>
      <c r="AI100" s="27"/>
      <c r="AJ100" s="27"/>
      <c r="AK100" s="28"/>
    </row>
    <row r="101" spans="1:37" ht="15.75" customHeight="1" x14ac:dyDescent="0.25">
      <c r="A101" s="25"/>
      <c r="B101" s="29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30"/>
      <c r="AB101" s="30"/>
      <c r="AC101" s="30"/>
      <c r="AD101" s="30"/>
      <c r="AE101" s="30"/>
      <c r="AF101" s="27"/>
      <c r="AG101" s="27"/>
      <c r="AH101" s="27"/>
      <c r="AI101" s="27"/>
      <c r="AJ101" s="27"/>
      <c r="AK101" s="28"/>
    </row>
    <row r="102" spans="1:37" ht="15.75" customHeight="1" x14ac:dyDescent="0.25">
      <c r="A102" s="25"/>
      <c r="B102" s="29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30"/>
      <c r="AB102" s="30"/>
      <c r="AC102" s="30"/>
      <c r="AD102" s="30"/>
      <c r="AE102" s="30"/>
      <c r="AF102" s="27"/>
      <c r="AG102" s="27"/>
      <c r="AH102" s="27"/>
      <c r="AI102" s="27"/>
      <c r="AJ102" s="27"/>
      <c r="AK102" s="28"/>
    </row>
    <row r="103" spans="1:37" ht="15.75" customHeight="1" x14ac:dyDescent="0.25">
      <c r="A103" s="25"/>
      <c r="B103" s="29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30"/>
      <c r="AB103" s="30"/>
      <c r="AC103" s="30"/>
      <c r="AD103" s="30"/>
      <c r="AE103" s="30"/>
      <c r="AF103" s="27"/>
      <c r="AG103" s="27"/>
      <c r="AH103" s="27"/>
      <c r="AI103" s="27"/>
      <c r="AJ103" s="27"/>
      <c r="AK103" s="28"/>
    </row>
    <row r="104" spans="1:37" ht="15.75" customHeight="1" x14ac:dyDescent="0.25">
      <c r="A104" s="25"/>
      <c r="B104" s="29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30"/>
      <c r="AB104" s="30"/>
      <c r="AC104" s="30"/>
      <c r="AD104" s="30"/>
      <c r="AE104" s="30"/>
      <c r="AF104" s="27"/>
      <c r="AG104" s="27"/>
      <c r="AH104" s="27"/>
      <c r="AI104" s="27"/>
      <c r="AJ104" s="27"/>
      <c r="AK104" s="28"/>
    </row>
    <row r="105" spans="1:37" ht="15.75" customHeight="1" x14ac:dyDescent="0.25">
      <c r="A105" s="25"/>
      <c r="B105" s="29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30"/>
      <c r="AB105" s="30"/>
      <c r="AC105" s="30"/>
      <c r="AD105" s="30"/>
      <c r="AE105" s="30"/>
      <c r="AF105" s="27"/>
      <c r="AG105" s="27"/>
      <c r="AH105" s="27"/>
      <c r="AI105" s="27"/>
      <c r="AJ105" s="27"/>
      <c r="AK105" s="28"/>
    </row>
    <row r="106" spans="1:37" ht="15.75" customHeight="1" x14ac:dyDescent="0.25">
      <c r="A106" s="25"/>
      <c r="B106" s="29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30"/>
      <c r="AB106" s="30"/>
      <c r="AC106" s="30"/>
      <c r="AD106" s="30"/>
      <c r="AE106" s="30"/>
      <c r="AF106" s="27"/>
      <c r="AG106" s="27"/>
      <c r="AH106" s="27"/>
      <c r="AI106" s="27"/>
      <c r="AJ106" s="27"/>
      <c r="AK106" s="28"/>
    </row>
    <row r="107" spans="1:37" ht="15.75" customHeight="1" x14ac:dyDescent="0.25">
      <c r="A107" s="25"/>
      <c r="B107" s="29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30"/>
      <c r="AB107" s="30"/>
      <c r="AC107" s="30"/>
      <c r="AD107" s="30"/>
      <c r="AE107" s="30"/>
      <c r="AF107" s="27"/>
      <c r="AG107" s="27"/>
      <c r="AH107" s="27"/>
      <c r="AI107" s="27"/>
      <c r="AJ107" s="27"/>
      <c r="AK107" s="28"/>
    </row>
    <row r="108" spans="1:37" ht="15.75" customHeight="1" x14ac:dyDescent="0.25">
      <c r="A108" s="25"/>
      <c r="B108" s="29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30"/>
      <c r="AB108" s="30"/>
      <c r="AC108" s="30"/>
      <c r="AD108" s="30"/>
      <c r="AE108" s="30"/>
      <c r="AF108" s="27"/>
      <c r="AG108" s="27"/>
      <c r="AH108" s="27"/>
      <c r="AI108" s="27"/>
      <c r="AJ108" s="27"/>
      <c r="AK108" s="28"/>
    </row>
    <row r="109" spans="1:37" ht="15.75" customHeight="1" x14ac:dyDescent="0.25">
      <c r="A109" s="25"/>
      <c r="B109" s="29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30"/>
      <c r="AB109" s="30"/>
      <c r="AC109" s="30"/>
      <c r="AD109" s="30"/>
      <c r="AE109" s="30"/>
      <c r="AF109" s="27"/>
      <c r="AG109" s="27"/>
      <c r="AH109" s="27"/>
      <c r="AI109" s="27"/>
      <c r="AJ109" s="27"/>
      <c r="AK109" s="28"/>
    </row>
    <row r="110" spans="1:37" ht="15.75" customHeight="1" x14ac:dyDescent="0.25">
      <c r="A110" s="25"/>
      <c r="B110" s="29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30"/>
      <c r="AB110" s="30"/>
      <c r="AC110" s="30"/>
      <c r="AD110" s="30"/>
      <c r="AE110" s="30"/>
      <c r="AF110" s="27"/>
      <c r="AG110" s="27"/>
      <c r="AH110" s="27"/>
      <c r="AI110" s="27"/>
      <c r="AJ110" s="27"/>
      <c r="AK110" s="28"/>
    </row>
    <row r="111" spans="1:37" ht="15.75" customHeight="1" x14ac:dyDescent="0.25">
      <c r="A111" s="25"/>
      <c r="B111" s="29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30"/>
      <c r="AB111" s="30"/>
      <c r="AC111" s="30"/>
      <c r="AD111" s="30"/>
      <c r="AE111" s="30"/>
      <c r="AF111" s="27"/>
      <c r="AG111" s="27"/>
      <c r="AH111" s="27"/>
      <c r="AI111" s="27"/>
      <c r="AJ111" s="27"/>
      <c r="AK111" s="28"/>
    </row>
    <row r="112" spans="1:37" ht="15.75" customHeight="1" x14ac:dyDescent="0.25">
      <c r="A112" s="25"/>
      <c r="B112" s="29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30"/>
      <c r="AB112" s="30"/>
      <c r="AC112" s="30"/>
      <c r="AD112" s="30"/>
      <c r="AE112" s="30"/>
      <c r="AF112" s="27"/>
      <c r="AG112" s="27"/>
      <c r="AH112" s="27"/>
      <c r="AI112" s="27"/>
      <c r="AJ112" s="27"/>
      <c r="AK112" s="28"/>
    </row>
    <row r="113" spans="1:37" ht="15.75" customHeight="1" x14ac:dyDescent="0.25">
      <c r="A113" s="25"/>
      <c r="B113" s="29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30"/>
      <c r="AB113" s="30"/>
      <c r="AC113" s="30"/>
      <c r="AD113" s="30"/>
      <c r="AE113" s="30"/>
      <c r="AF113" s="27"/>
      <c r="AG113" s="27"/>
      <c r="AH113" s="27"/>
      <c r="AI113" s="27"/>
      <c r="AJ113" s="27"/>
      <c r="AK113" s="28"/>
    </row>
    <row r="114" spans="1:37" ht="15.75" customHeight="1" x14ac:dyDescent="0.25">
      <c r="A114" s="25"/>
      <c r="B114" s="29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30"/>
      <c r="AB114" s="30"/>
      <c r="AC114" s="30"/>
      <c r="AD114" s="30"/>
      <c r="AE114" s="30"/>
      <c r="AF114" s="27"/>
      <c r="AG114" s="27"/>
      <c r="AH114" s="27"/>
      <c r="AI114" s="27"/>
      <c r="AJ114" s="27"/>
      <c r="AK114" s="28"/>
    </row>
    <row r="115" spans="1:37" ht="15.75" customHeight="1" x14ac:dyDescent="0.25">
      <c r="A115" s="25"/>
      <c r="B115" s="29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30"/>
      <c r="AB115" s="30"/>
      <c r="AC115" s="30"/>
      <c r="AD115" s="30"/>
      <c r="AE115" s="30"/>
      <c r="AF115" s="27"/>
      <c r="AG115" s="27"/>
      <c r="AH115" s="27"/>
      <c r="AI115" s="27"/>
      <c r="AJ115" s="27"/>
      <c r="AK115" s="28"/>
    </row>
    <row r="116" spans="1:37" ht="15.75" customHeight="1" x14ac:dyDescent="0.25">
      <c r="A116" s="25"/>
      <c r="B116" s="29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30"/>
      <c r="AB116" s="30"/>
      <c r="AC116" s="30"/>
      <c r="AD116" s="30"/>
      <c r="AE116" s="30"/>
      <c r="AF116" s="27"/>
      <c r="AG116" s="27"/>
      <c r="AH116" s="27"/>
      <c r="AI116" s="27"/>
      <c r="AJ116" s="27"/>
      <c r="AK116" s="28"/>
    </row>
    <row r="117" spans="1:37" ht="15.75" customHeight="1" x14ac:dyDescent="0.25">
      <c r="A117" s="25"/>
      <c r="B117" s="29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30"/>
      <c r="AB117" s="30"/>
      <c r="AC117" s="30"/>
      <c r="AD117" s="30"/>
      <c r="AE117" s="30"/>
      <c r="AF117" s="27"/>
      <c r="AG117" s="27"/>
      <c r="AH117" s="27"/>
      <c r="AI117" s="27"/>
      <c r="AJ117" s="27"/>
      <c r="AK117" s="28"/>
    </row>
    <row r="118" spans="1:37" ht="15.75" customHeight="1" x14ac:dyDescent="0.25">
      <c r="A118" s="25"/>
      <c r="B118" s="29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30"/>
      <c r="AB118" s="30"/>
      <c r="AC118" s="30"/>
      <c r="AD118" s="30"/>
      <c r="AE118" s="30"/>
      <c r="AF118" s="27"/>
      <c r="AG118" s="27"/>
      <c r="AH118" s="27"/>
      <c r="AI118" s="27"/>
      <c r="AJ118" s="27"/>
      <c r="AK118" s="28"/>
    </row>
    <row r="119" spans="1:37" ht="15.75" customHeight="1" x14ac:dyDescent="0.25">
      <c r="A119" s="25"/>
      <c r="B119" s="29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30"/>
      <c r="AB119" s="30"/>
      <c r="AC119" s="30"/>
      <c r="AD119" s="30"/>
      <c r="AE119" s="30"/>
      <c r="AF119" s="27"/>
      <c r="AG119" s="27"/>
      <c r="AH119" s="27"/>
      <c r="AI119" s="27"/>
      <c r="AJ119" s="27"/>
      <c r="AK119" s="28"/>
    </row>
    <row r="120" spans="1:37" ht="15.75" customHeight="1" x14ac:dyDescent="0.25">
      <c r="A120" s="25"/>
      <c r="B120" s="29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30"/>
      <c r="AB120" s="30"/>
      <c r="AC120" s="30"/>
      <c r="AD120" s="30"/>
      <c r="AE120" s="30"/>
      <c r="AF120" s="27"/>
      <c r="AG120" s="27"/>
      <c r="AH120" s="27"/>
      <c r="AI120" s="27"/>
      <c r="AJ120" s="27"/>
      <c r="AK120" s="28"/>
    </row>
    <row r="121" spans="1:37" ht="15.75" customHeight="1" x14ac:dyDescent="0.25">
      <c r="A121" s="25"/>
      <c r="B121" s="29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30"/>
      <c r="AB121" s="30"/>
      <c r="AC121" s="30"/>
      <c r="AD121" s="30"/>
      <c r="AE121" s="30"/>
      <c r="AF121" s="27"/>
      <c r="AG121" s="27"/>
      <c r="AH121" s="27"/>
      <c r="AI121" s="27"/>
      <c r="AJ121" s="27"/>
      <c r="AK121" s="28"/>
    </row>
    <row r="122" spans="1:37" ht="15.75" customHeight="1" x14ac:dyDescent="0.25">
      <c r="A122" s="25"/>
      <c r="B122" s="29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30"/>
      <c r="AB122" s="30"/>
      <c r="AC122" s="30"/>
      <c r="AD122" s="30"/>
      <c r="AE122" s="30"/>
      <c r="AF122" s="27"/>
      <c r="AG122" s="27"/>
      <c r="AH122" s="27"/>
      <c r="AI122" s="27"/>
      <c r="AJ122" s="27"/>
      <c r="AK122" s="28"/>
    </row>
    <row r="123" spans="1:37" ht="15.75" customHeight="1" x14ac:dyDescent="0.25">
      <c r="A123" s="25"/>
      <c r="B123" s="29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30"/>
      <c r="AB123" s="30"/>
      <c r="AC123" s="30"/>
      <c r="AD123" s="30"/>
      <c r="AE123" s="30"/>
      <c r="AF123" s="27"/>
      <c r="AG123" s="27"/>
      <c r="AH123" s="27"/>
      <c r="AI123" s="27"/>
      <c r="AJ123" s="27"/>
      <c r="AK123" s="28"/>
    </row>
    <row r="124" spans="1:37" ht="15.75" customHeight="1" x14ac:dyDescent="0.25">
      <c r="A124" s="25"/>
      <c r="B124" s="29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30"/>
      <c r="AB124" s="30"/>
      <c r="AC124" s="30"/>
      <c r="AD124" s="30"/>
      <c r="AE124" s="30"/>
      <c r="AF124" s="27"/>
      <c r="AG124" s="27"/>
      <c r="AH124" s="27"/>
      <c r="AI124" s="27"/>
      <c r="AJ124" s="27"/>
      <c r="AK124" s="28"/>
    </row>
    <row r="125" spans="1:37" ht="15.75" customHeight="1" x14ac:dyDescent="0.25">
      <c r="A125" s="25"/>
      <c r="B125" s="29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30"/>
      <c r="AB125" s="30"/>
      <c r="AC125" s="30"/>
      <c r="AD125" s="30"/>
      <c r="AE125" s="30"/>
      <c r="AF125" s="27"/>
      <c r="AG125" s="27"/>
      <c r="AH125" s="27"/>
      <c r="AI125" s="27"/>
      <c r="AJ125" s="27"/>
      <c r="AK125" s="28"/>
    </row>
    <row r="126" spans="1:37" ht="15.75" customHeight="1" x14ac:dyDescent="0.25">
      <c r="A126" s="25"/>
      <c r="B126" s="29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30"/>
      <c r="AB126" s="30"/>
      <c r="AC126" s="30"/>
      <c r="AD126" s="30"/>
      <c r="AE126" s="30"/>
      <c r="AF126" s="27"/>
      <c r="AG126" s="27"/>
      <c r="AH126" s="27"/>
      <c r="AI126" s="27"/>
      <c r="AJ126" s="27"/>
      <c r="AK126" s="28"/>
    </row>
    <row r="127" spans="1:37" ht="15.75" customHeight="1" x14ac:dyDescent="0.25">
      <c r="A127" s="25"/>
      <c r="B127" s="29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30"/>
      <c r="AB127" s="30"/>
      <c r="AC127" s="30"/>
      <c r="AD127" s="30"/>
      <c r="AE127" s="30"/>
      <c r="AF127" s="27"/>
      <c r="AG127" s="27"/>
      <c r="AH127" s="27"/>
      <c r="AI127" s="27"/>
      <c r="AJ127" s="27"/>
      <c r="AK127" s="28"/>
    </row>
    <row r="128" spans="1:37" ht="15.75" customHeight="1" x14ac:dyDescent="0.25">
      <c r="A128" s="25"/>
      <c r="B128" s="29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30"/>
      <c r="AB128" s="30"/>
      <c r="AC128" s="30"/>
      <c r="AD128" s="30"/>
      <c r="AE128" s="30"/>
      <c r="AF128" s="27"/>
      <c r="AG128" s="27"/>
      <c r="AH128" s="27"/>
      <c r="AI128" s="27"/>
      <c r="AJ128" s="27"/>
      <c r="AK128" s="28"/>
    </row>
    <row r="129" spans="1:37" ht="15.75" customHeight="1" x14ac:dyDescent="0.25">
      <c r="A129" s="25"/>
      <c r="B129" s="29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30"/>
      <c r="AB129" s="30"/>
      <c r="AC129" s="30"/>
      <c r="AD129" s="30"/>
      <c r="AE129" s="30"/>
      <c r="AF129" s="27"/>
      <c r="AG129" s="27"/>
      <c r="AH129" s="27"/>
      <c r="AI129" s="27"/>
      <c r="AJ129" s="27"/>
      <c r="AK129" s="28"/>
    </row>
    <row r="130" spans="1:37" ht="15.75" customHeight="1" x14ac:dyDescent="0.25">
      <c r="A130" s="25"/>
      <c r="B130" s="29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30"/>
      <c r="AB130" s="30"/>
      <c r="AC130" s="30"/>
      <c r="AD130" s="30"/>
      <c r="AE130" s="30"/>
      <c r="AF130" s="27"/>
      <c r="AG130" s="27"/>
      <c r="AH130" s="27"/>
      <c r="AI130" s="27"/>
      <c r="AJ130" s="27"/>
      <c r="AK130" s="28"/>
    </row>
    <row r="131" spans="1:37" ht="15.75" customHeight="1" x14ac:dyDescent="0.25">
      <c r="A131" s="25"/>
      <c r="B131" s="29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30"/>
      <c r="AB131" s="30"/>
      <c r="AC131" s="30"/>
      <c r="AD131" s="30"/>
      <c r="AE131" s="30"/>
      <c r="AF131" s="27"/>
      <c r="AG131" s="27"/>
      <c r="AH131" s="27"/>
      <c r="AI131" s="27"/>
      <c r="AJ131" s="27"/>
      <c r="AK131" s="28"/>
    </row>
    <row r="132" spans="1:37" ht="15.75" customHeight="1" x14ac:dyDescent="0.25">
      <c r="A132" s="25"/>
      <c r="B132" s="29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30"/>
      <c r="AB132" s="30"/>
      <c r="AC132" s="30"/>
      <c r="AD132" s="30"/>
      <c r="AE132" s="30"/>
      <c r="AF132" s="27"/>
      <c r="AG132" s="27"/>
      <c r="AH132" s="27"/>
      <c r="AI132" s="27"/>
      <c r="AJ132" s="27"/>
      <c r="AK132" s="28"/>
    </row>
    <row r="133" spans="1:37" ht="15.75" customHeight="1" x14ac:dyDescent="0.25">
      <c r="A133" s="25"/>
      <c r="B133" s="29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30"/>
      <c r="AB133" s="30"/>
      <c r="AC133" s="30"/>
      <c r="AD133" s="30"/>
      <c r="AE133" s="30"/>
      <c r="AF133" s="27"/>
      <c r="AG133" s="27"/>
      <c r="AH133" s="27"/>
      <c r="AI133" s="27"/>
      <c r="AJ133" s="27"/>
      <c r="AK133" s="28"/>
    </row>
    <row r="134" spans="1:37" ht="15.75" customHeight="1" x14ac:dyDescent="0.25">
      <c r="A134" s="25"/>
      <c r="B134" s="29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30"/>
      <c r="AB134" s="30"/>
      <c r="AC134" s="30"/>
      <c r="AD134" s="30"/>
      <c r="AE134" s="30"/>
      <c r="AF134" s="27"/>
      <c r="AG134" s="27"/>
      <c r="AH134" s="27"/>
      <c r="AI134" s="27"/>
      <c r="AJ134" s="27"/>
      <c r="AK134" s="28"/>
    </row>
    <row r="135" spans="1:37" ht="15.75" customHeight="1" x14ac:dyDescent="0.25">
      <c r="A135" s="25"/>
      <c r="B135" s="29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30"/>
      <c r="AB135" s="30"/>
      <c r="AC135" s="30"/>
      <c r="AD135" s="30"/>
      <c r="AE135" s="30"/>
      <c r="AF135" s="27"/>
      <c r="AG135" s="27"/>
      <c r="AH135" s="27"/>
      <c r="AI135" s="27"/>
      <c r="AJ135" s="27"/>
      <c r="AK135" s="28"/>
    </row>
    <row r="136" spans="1:37" ht="15.75" customHeight="1" x14ac:dyDescent="0.25">
      <c r="A136" s="25"/>
      <c r="B136" s="29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30"/>
      <c r="AB136" s="30"/>
      <c r="AC136" s="30"/>
      <c r="AD136" s="30"/>
      <c r="AE136" s="30"/>
      <c r="AF136" s="27"/>
      <c r="AG136" s="27"/>
      <c r="AH136" s="27"/>
      <c r="AI136" s="27"/>
      <c r="AJ136" s="27"/>
      <c r="AK136" s="28"/>
    </row>
    <row r="137" spans="1:37" ht="15.75" customHeight="1" x14ac:dyDescent="0.25">
      <c r="A137" s="25"/>
      <c r="B137" s="29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30"/>
      <c r="AB137" s="30"/>
      <c r="AC137" s="30"/>
      <c r="AD137" s="30"/>
      <c r="AE137" s="30"/>
      <c r="AF137" s="27"/>
      <c r="AG137" s="27"/>
      <c r="AH137" s="27"/>
      <c r="AI137" s="27"/>
      <c r="AJ137" s="27"/>
      <c r="AK137" s="28"/>
    </row>
    <row r="138" spans="1:37" ht="15.75" customHeight="1" x14ac:dyDescent="0.25">
      <c r="A138" s="25"/>
      <c r="B138" s="29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30"/>
      <c r="AB138" s="30"/>
      <c r="AC138" s="30"/>
      <c r="AD138" s="30"/>
      <c r="AE138" s="30"/>
      <c r="AF138" s="27"/>
      <c r="AG138" s="27"/>
      <c r="AH138" s="27"/>
      <c r="AI138" s="27"/>
      <c r="AJ138" s="27"/>
      <c r="AK138" s="28"/>
    </row>
    <row r="139" spans="1:37" ht="15.75" customHeight="1" x14ac:dyDescent="0.25">
      <c r="A139" s="25"/>
      <c r="B139" s="29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30"/>
      <c r="AB139" s="30"/>
      <c r="AC139" s="30"/>
      <c r="AD139" s="30"/>
      <c r="AE139" s="30"/>
      <c r="AF139" s="27"/>
      <c r="AG139" s="27"/>
      <c r="AH139" s="27"/>
      <c r="AI139" s="27"/>
      <c r="AJ139" s="27"/>
      <c r="AK139" s="28"/>
    </row>
    <row r="140" spans="1:37" ht="15.75" customHeight="1" x14ac:dyDescent="0.25">
      <c r="A140" s="25"/>
      <c r="B140" s="29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30"/>
      <c r="AB140" s="30"/>
      <c r="AC140" s="30"/>
      <c r="AD140" s="30"/>
      <c r="AE140" s="30"/>
      <c r="AF140" s="27"/>
      <c r="AG140" s="27"/>
      <c r="AH140" s="27"/>
      <c r="AI140" s="27"/>
      <c r="AJ140" s="27"/>
      <c r="AK140" s="28"/>
    </row>
    <row r="141" spans="1:37" ht="15.75" customHeight="1" x14ac:dyDescent="0.25">
      <c r="A141" s="25"/>
      <c r="B141" s="29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30"/>
      <c r="AB141" s="30"/>
      <c r="AC141" s="30"/>
      <c r="AD141" s="30"/>
      <c r="AE141" s="30"/>
      <c r="AF141" s="27"/>
      <c r="AG141" s="27"/>
      <c r="AH141" s="27"/>
      <c r="AI141" s="27"/>
      <c r="AJ141" s="27"/>
      <c r="AK141" s="28"/>
    </row>
    <row r="142" spans="1:37" ht="15.75" customHeight="1" x14ac:dyDescent="0.25">
      <c r="A142" s="25"/>
      <c r="B142" s="29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30"/>
      <c r="AB142" s="30"/>
      <c r="AC142" s="30"/>
      <c r="AD142" s="30"/>
      <c r="AE142" s="30"/>
      <c r="AF142" s="27"/>
      <c r="AG142" s="27"/>
      <c r="AH142" s="27"/>
      <c r="AI142" s="27"/>
      <c r="AJ142" s="27"/>
      <c r="AK142" s="28"/>
    </row>
    <row r="143" spans="1:37" ht="15.75" customHeight="1" x14ac:dyDescent="0.25">
      <c r="A143" s="25"/>
      <c r="B143" s="29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30"/>
      <c r="AB143" s="30"/>
      <c r="AC143" s="30"/>
      <c r="AD143" s="30"/>
      <c r="AE143" s="30"/>
      <c r="AF143" s="27"/>
      <c r="AG143" s="27"/>
      <c r="AH143" s="27"/>
      <c r="AI143" s="27"/>
      <c r="AJ143" s="27"/>
      <c r="AK143" s="28"/>
    </row>
    <row r="144" spans="1:37" ht="15.75" customHeight="1" x14ac:dyDescent="0.25">
      <c r="A144" s="25"/>
      <c r="B144" s="29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30"/>
      <c r="AB144" s="30"/>
      <c r="AC144" s="30"/>
      <c r="AD144" s="30"/>
      <c r="AE144" s="30"/>
      <c r="AF144" s="27"/>
      <c r="AG144" s="27"/>
      <c r="AH144" s="27"/>
      <c r="AI144" s="27"/>
      <c r="AJ144" s="27"/>
      <c r="AK144" s="28"/>
    </row>
    <row r="145" spans="1:37" ht="15.75" customHeight="1" x14ac:dyDescent="0.25">
      <c r="A145" s="25"/>
      <c r="B145" s="29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30"/>
      <c r="AB145" s="30"/>
      <c r="AC145" s="30"/>
      <c r="AD145" s="30"/>
      <c r="AE145" s="30"/>
      <c r="AF145" s="27"/>
      <c r="AG145" s="27"/>
      <c r="AH145" s="27"/>
      <c r="AI145" s="27"/>
      <c r="AJ145" s="27"/>
      <c r="AK145" s="28"/>
    </row>
    <row r="146" spans="1:37" ht="15.75" customHeight="1" x14ac:dyDescent="0.25">
      <c r="A146" s="25"/>
      <c r="B146" s="29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30"/>
      <c r="AB146" s="30"/>
      <c r="AC146" s="30"/>
      <c r="AD146" s="30"/>
      <c r="AE146" s="30"/>
      <c r="AF146" s="27"/>
      <c r="AG146" s="27"/>
      <c r="AH146" s="27"/>
      <c r="AI146" s="27"/>
      <c r="AJ146" s="27"/>
      <c r="AK146" s="28"/>
    </row>
    <row r="147" spans="1:37" ht="15.75" customHeight="1" x14ac:dyDescent="0.25">
      <c r="A147" s="25"/>
      <c r="B147" s="29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30"/>
      <c r="AB147" s="30"/>
      <c r="AC147" s="30"/>
      <c r="AD147" s="30"/>
      <c r="AE147" s="30"/>
      <c r="AF147" s="27"/>
      <c r="AG147" s="27"/>
      <c r="AH147" s="27"/>
      <c r="AI147" s="27"/>
      <c r="AJ147" s="27"/>
      <c r="AK147" s="28"/>
    </row>
    <row r="148" spans="1:37" ht="15.75" customHeight="1" x14ac:dyDescent="0.25">
      <c r="A148" s="25"/>
      <c r="B148" s="29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30"/>
      <c r="AB148" s="30"/>
      <c r="AC148" s="30"/>
      <c r="AD148" s="30"/>
      <c r="AE148" s="30"/>
      <c r="AF148" s="27"/>
      <c r="AG148" s="27"/>
      <c r="AH148" s="27"/>
      <c r="AI148" s="27"/>
      <c r="AJ148" s="27"/>
      <c r="AK148" s="28"/>
    </row>
    <row r="149" spans="1:37" ht="15.75" customHeight="1" x14ac:dyDescent="0.25">
      <c r="A149" s="25"/>
      <c r="B149" s="29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30"/>
      <c r="AB149" s="30"/>
      <c r="AC149" s="30"/>
      <c r="AD149" s="30"/>
      <c r="AE149" s="30"/>
      <c r="AF149" s="27"/>
      <c r="AG149" s="27"/>
      <c r="AH149" s="27"/>
      <c r="AI149" s="27"/>
      <c r="AJ149" s="27"/>
      <c r="AK149" s="28"/>
    </row>
    <row r="150" spans="1:37" ht="15.75" customHeight="1" x14ac:dyDescent="0.25">
      <c r="A150" s="25"/>
      <c r="B150" s="29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30"/>
      <c r="AB150" s="30"/>
      <c r="AC150" s="30"/>
      <c r="AD150" s="30"/>
      <c r="AE150" s="30"/>
      <c r="AF150" s="27"/>
      <c r="AG150" s="27"/>
      <c r="AH150" s="27"/>
      <c r="AI150" s="27"/>
      <c r="AJ150" s="27"/>
      <c r="AK150" s="28"/>
    </row>
    <row r="151" spans="1:37" ht="15.75" customHeight="1" x14ac:dyDescent="0.25">
      <c r="A151" s="25"/>
      <c r="B151" s="29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30"/>
      <c r="AB151" s="30"/>
      <c r="AC151" s="30"/>
      <c r="AD151" s="30"/>
      <c r="AE151" s="30"/>
      <c r="AF151" s="27"/>
      <c r="AG151" s="27"/>
      <c r="AH151" s="27"/>
      <c r="AI151" s="27"/>
      <c r="AJ151" s="27"/>
      <c r="AK151" s="28"/>
    </row>
    <row r="152" spans="1:37" ht="15.75" customHeight="1" x14ac:dyDescent="0.25">
      <c r="A152" s="25"/>
      <c r="B152" s="29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30"/>
      <c r="AB152" s="30"/>
      <c r="AC152" s="30"/>
      <c r="AD152" s="30"/>
      <c r="AE152" s="30"/>
      <c r="AF152" s="27"/>
      <c r="AG152" s="27"/>
      <c r="AH152" s="27"/>
      <c r="AI152" s="27"/>
      <c r="AJ152" s="27"/>
      <c r="AK152" s="28"/>
    </row>
    <row r="153" spans="1:37" ht="15.75" customHeight="1" x14ac:dyDescent="0.25">
      <c r="A153" s="25"/>
      <c r="B153" s="29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30"/>
      <c r="AB153" s="30"/>
      <c r="AC153" s="30"/>
      <c r="AD153" s="30"/>
      <c r="AE153" s="30"/>
      <c r="AF153" s="27"/>
      <c r="AG153" s="27"/>
      <c r="AH153" s="27"/>
      <c r="AI153" s="27"/>
      <c r="AJ153" s="27"/>
      <c r="AK153" s="28"/>
    </row>
    <row r="154" spans="1:37" ht="15.75" customHeight="1" x14ac:dyDescent="0.25">
      <c r="A154" s="25"/>
      <c r="B154" s="29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30"/>
      <c r="AB154" s="30"/>
      <c r="AC154" s="30"/>
      <c r="AD154" s="30"/>
      <c r="AE154" s="30"/>
      <c r="AF154" s="27"/>
      <c r="AG154" s="27"/>
      <c r="AH154" s="27"/>
      <c r="AI154" s="27"/>
      <c r="AJ154" s="27"/>
      <c r="AK154" s="28"/>
    </row>
    <row r="155" spans="1:37" ht="15.75" customHeight="1" x14ac:dyDescent="0.25">
      <c r="A155" s="25"/>
      <c r="B155" s="29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30"/>
      <c r="AB155" s="30"/>
      <c r="AC155" s="30"/>
      <c r="AD155" s="30"/>
      <c r="AE155" s="30"/>
      <c r="AF155" s="27"/>
      <c r="AG155" s="27"/>
      <c r="AH155" s="27"/>
      <c r="AI155" s="27"/>
      <c r="AJ155" s="27"/>
      <c r="AK155" s="28"/>
    </row>
    <row r="156" spans="1:37" ht="15.75" customHeight="1" x14ac:dyDescent="0.25">
      <c r="A156" s="25"/>
      <c r="B156" s="29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30"/>
      <c r="AB156" s="30"/>
      <c r="AC156" s="30"/>
      <c r="AD156" s="30"/>
      <c r="AE156" s="30"/>
      <c r="AF156" s="27"/>
      <c r="AG156" s="27"/>
      <c r="AH156" s="27"/>
      <c r="AI156" s="27"/>
      <c r="AJ156" s="27"/>
      <c r="AK156" s="28"/>
    </row>
    <row r="157" spans="1:37" ht="15.75" customHeight="1" x14ac:dyDescent="0.25">
      <c r="A157" s="25"/>
      <c r="B157" s="29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30"/>
      <c r="AB157" s="30"/>
      <c r="AC157" s="30"/>
      <c r="AD157" s="30"/>
      <c r="AE157" s="30"/>
      <c r="AF157" s="27"/>
      <c r="AG157" s="27"/>
      <c r="AH157" s="27"/>
      <c r="AI157" s="27"/>
      <c r="AJ157" s="27"/>
      <c r="AK157" s="28"/>
    </row>
    <row r="158" spans="1:37" ht="15.75" customHeight="1" x14ac:dyDescent="0.25">
      <c r="A158" s="25"/>
      <c r="B158" s="29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30"/>
      <c r="AB158" s="30"/>
      <c r="AC158" s="30"/>
      <c r="AD158" s="30"/>
      <c r="AE158" s="30"/>
      <c r="AF158" s="27"/>
      <c r="AG158" s="27"/>
      <c r="AH158" s="27"/>
      <c r="AI158" s="27"/>
      <c r="AJ158" s="27"/>
      <c r="AK158" s="28"/>
    </row>
    <row r="159" spans="1:37" ht="15.75" customHeight="1" x14ac:dyDescent="0.25">
      <c r="A159" s="25"/>
      <c r="B159" s="29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30"/>
      <c r="AB159" s="30"/>
      <c r="AC159" s="30"/>
      <c r="AD159" s="30"/>
      <c r="AE159" s="30"/>
      <c r="AF159" s="27"/>
      <c r="AG159" s="27"/>
      <c r="AH159" s="27"/>
      <c r="AI159" s="27"/>
      <c r="AJ159" s="27"/>
      <c r="AK159" s="28"/>
    </row>
    <row r="160" spans="1:37" ht="15.75" customHeight="1" x14ac:dyDescent="0.25">
      <c r="A160" s="25"/>
      <c r="B160" s="29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30"/>
      <c r="AB160" s="30"/>
      <c r="AC160" s="30"/>
      <c r="AD160" s="30"/>
      <c r="AE160" s="30"/>
      <c r="AF160" s="27"/>
      <c r="AG160" s="27"/>
      <c r="AH160" s="27"/>
      <c r="AI160" s="27"/>
      <c r="AJ160" s="27"/>
      <c r="AK160" s="28"/>
    </row>
    <row r="161" spans="1:37" ht="15.75" customHeight="1" x14ac:dyDescent="0.25">
      <c r="A161" s="25"/>
      <c r="B161" s="29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30"/>
      <c r="AB161" s="30"/>
      <c r="AC161" s="30"/>
      <c r="AD161" s="30"/>
      <c r="AE161" s="30"/>
      <c r="AF161" s="27"/>
      <c r="AG161" s="27"/>
      <c r="AH161" s="27"/>
      <c r="AI161" s="27"/>
      <c r="AJ161" s="27"/>
      <c r="AK161" s="28"/>
    </row>
    <row r="162" spans="1:37" ht="15.75" customHeight="1" x14ac:dyDescent="0.25">
      <c r="A162" s="25"/>
      <c r="B162" s="29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30"/>
      <c r="AB162" s="30"/>
      <c r="AC162" s="30"/>
      <c r="AD162" s="30"/>
      <c r="AE162" s="30"/>
      <c r="AF162" s="27"/>
      <c r="AG162" s="27"/>
      <c r="AH162" s="27"/>
      <c r="AI162" s="27"/>
      <c r="AJ162" s="27"/>
      <c r="AK162" s="28"/>
    </row>
    <row r="163" spans="1:37" ht="15.75" customHeight="1" x14ac:dyDescent="0.25">
      <c r="A163" s="25"/>
      <c r="B163" s="29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30"/>
      <c r="AB163" s="30"/>
      <c r="AC163" s="30"/>
      <c r="AD163" s="30"/>
      <c r="AE163" s="30"/>
      <c r="AF163" s="27"/>
      <c r="AG163" s="27"/>
      <c r="AH163" s="27"/>
      <c r="AI163" s="27"/>
      <c r="AJ163" s="27"/>
      <c r="AK163" s="28"/>
    </row>
    <row r="164" spans="1:37" ht="15.75" customHeight="1" x14ac:dyDescent="0.25">
      <c r="A164" s="25"/>
      <c r="B164" s="29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30"/>
      <c r="AB164" s="30"/>
      <c r="AC164" s="30"/>
      <c r="AD164" s="30"/>
      <c r="AE164" s="30"/>
      <c r="AF164" s="27"/>
      <c r="AG164" s="27"/>
      <c r="AH164" s="27"/>
      <c r="AI164" s="27"/>
      <c r="AJ164" s="27"/>
      <c r="AK164" s="28"/>
    </row>
    <row r="165" spans="1:37" ht="15.75" customHeight="1" x14ac:dyDescent="0.25">
      <c r="A165" s="25"/>
      <c r="B165" s="29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30"/>
      <c r="AB165" s="30"/>
      <c r="AC165" s="30"/>
      <c r="AD165" s="30"/>
      <c r="AE165" s="30"/>
      <c r="AF165" s="27"/>
      <c r="AG165" s="27"/>
      <c r="AH165" s="27"/>
      <c r="AI165" s="27"/>
      <c r="AJ165" s="27"/>
      <c r="AK165" s="28"/>
    </row>
    <row r="166" spans="1:37" ht="15.75" customHeight="1" x14ac:dyDescent="0.25">
      <c r="A166" s="25"/>
      <c r="B166" s="29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30"/>
      <c r="AB166" s="30"/>
      <c r="AC166" s="30"/>
      <c r="AD166" s="30"/>
      <c r="AE166" s="30"/>
      <c r="AF166" s="27"/>
      <c r="AG166" s="27"/>
      <c r="AH166" s="27"/>
      <c r="AI166" s="27"/>
      <c r="AJ166" s="27"/>
      <c r="AK166" s="28"/>
    </row>
    <row r="167" spans="1:37" ht="15.75" customHeight="1" x14ac:dyDescent="0.25">
      <c r="A167" s="25"/>
      <c r="B167" s="29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30"/>
      <c r="AB167" s="30"/>
      <c r="AC167" s="30"/>
      <c r="AD167" s="30"/>
      <c r="AE167" s="30"/>
      <c r="AF167" s="27"/>
      <c r="AG167" s="27"/>
      <c r="AH167" s="27"/>
      <c r="AI167" s="27"/>
      <c r="AJ167" s="27"/>
      <c r="AK167" s="28"/>
    </row>
    <row r="168" spans="1:37" ht="15.75" customHeight="1" x14ac:dyDescent="0.25">
      <c r="A168" s="25"/>
      <c r="B168" s="29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30"/>
      <c r="AB168" s="30"/>
      <c r="AC168" s="30"/>
      <c r="AD168" s="30"/>
      <c r="AE168" s="30"/>
      <c r="AF168" s="27"/>
      <c r="AG168" s="27"/>
      <c r="AH168" s="27"/>
      <c r="AI168" s="27"/>
      <c r="AJ168" s="27"/>
      <c r="AK168" s="28"/>
    </row>
    <row r="169" spans="1:37" ht="15.75" customHeight="1" x14ac:dyDescent="0.25">
      <c r="A169" s="25"/>
      <c r="B169" s="29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30"/>
      <c r="AB169" s="30"/>
      <c r="AC169" s="30"/>
      <c r="AD169" s="30"/>
      <c r="AE169" s="30"/>
      <c r="AF169" s="27"/>
      <c r="AG169" s="27"/>
      <c r="AH169" s="27"/>
      <c r="AI169" s="27"/>
      <c r="AJ169" s="27"/>
      <c r="AK169" s="28"/>
    </row>
    <row r="170" spans="1:37" ht="15.75" customHeight="1" x14ac:dyDescent="0.25">
      <c r="A170" s="25"/>
      <c r="B170" s="29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30"/>
      <c r="AB170" s="30"/>
      <c r="AC170" s="30"/>
      <c r="AD170" s="30"/>
      <c r="AE170" s="30"/>
      <c r="AF170" s="27"/>
      <c r="AG170" s="27"/>
      <c r="AH170" s="27"/>
      <c r="AI170" s="27"/>
      <c r="AJ170" s="27"/>
      <c r="AK170" s="28"/>
    </row>
    <row r="171" spans="1:37" ht="15.75" customHeight="1" x14ac:dyDescent="0.25">
      <c r="A171" s="25"/>
      <c r="B171" s="29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30"/>
      <c r="AB171" s="30"/>
      <c r="AC171" s="30"/>
      <c r="AD171" s="30"/>
      <c r="AE171" s="30"/>
      <c r="AF171" s="27"/>
      <c r="AG171" s="27"/>
      <c r="AH171" s="27"/>
      <c r="AI171" s="27"/>
      <c r="AJ171" s="27"/>
      <c r="AK171" s="28"/>
    </row>
    <row r="172" spans="1:37" ht="15.75" customHeight="1" x14ac:dyDescent="0.25">
      <c r="A172" s="25"/>
      <c r="B172" s="29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30"/>
      <c r="AB172" s="30"/>
      <c r="AC172" s="30"/>
      <c r="AD172" s="30"/>
      <c r="AE172" s="30"/>
      <c r="AF172" s="27"/>
      <c r="AG172" s="27"/>
      <c r="AH172" s="27"/>
      <c r="AI172" s="27"/>
      <c r="AJ172" s="27"/>
      <c r="AK172" s="28"/>
    </row>
    <row r="173" spans="1:37" ht="15.75" customHeight="1" x14ac:dyDescent="0.25">
      <c r="A173" s="25"/>
      <c r="B173" s="29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30"/>
      <c r="AB173" s="30"/>
      <c r="AC173" s="30"/>
      <c r="AD173" s="30"/>
      <c r="AE173" s="30"/>
      <c r="AF173" s="27"/>
      <c r="AG173" s="27"/>
      <c r="AH173" s="27"/>
      <c r="AI173" s="27"/>
      <c r="AJ173" s="27"/>
      <c r="AK173" s="28"/>
    </row>
    <row r="174" spans="1:37" ht="15.75" customHeight="1" x14ac:dyDescent="0.25">
      <c r="A174" s="25"/>
      <c r="B174" s="29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30"/>
      <c r="AB174" s="30"/>
      <c r="AC174" s="30"/>
      <c r="AD174" s="30"/>
      <c r="AE174" s="30"/>
      <c r="AF174" s="27"/>
      <c r="AG174" s="27"/>
      <c r="AH174" s="27"/>
      <c r="AI174" s="27"/>
      <c r="AJ174" s="27"/>
      <c r="AK174" s="28"/>
    </row>
    <row r="175" spans="1:37" ht="15.75" customHeight="1" x14ac:dyDescent="0.25">
      <c r="A175" s="25"/>
      <c r="B175" s="29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30"/>
      <c r="AB175" s="30"/>
      <c r="AC175" s="30"/>
      <c r="AD175" s="30"/>
      <c r="AE175" s="30"/>
      <c r="AF175" s="27"/>
      <c r="AG175" s="27"/>
      <c r="AH175" s="27"/>
      <c r="AI175" s="27"/>
      <c r="AJ175" s="27"/>
      <c r="AK175" s="28"/>
    </row>
    <row r="176" spans="1:37" ht="15.75" customHeight="1" x14ac:dyDescent="0.25">
      <c r="A176" s="25"/>
      <c r="B176" s="29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30"/>
      <c r="AB176" s="30"/>
      <c r="AC176" s="30"/>
      <c r="AD176" s="30"/>
      <c r="AE176" s="30"/>
      <c r="AF176" s="27"/>
      <c r="AG176" s="27"/>
      <c r="AH176" s="27"/>
      <c r="AI176" s="27"/>
      <c r="AJ176" s="27"/>
      <c r="AK176" s="28"/>
    </row>
    <row r="177" spans="1:37" ht="15.75" customHeight="1" x14ac:dyDescent="0.25">
      <c r="A177" s="25"/>
      <c r="B177" s="29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30"/>
      <c r="AB177" s="30"/>
      <c r="AC177" s="30"/>
      <c r="AD177" s="30"/>
      <c r="AE177" s="30"/>
      <c r="AF177" s="27"/>
      <c r="AG177" s="27"/>
      <c r="AH177" s="27"/>
      <c r="AI177" s="27"/>
      <c r="AJ177" s="27"/>
      <c r="AK177" s="28"/>
    </row>
    <row r="178" spans="1:37" ht="15.75" customHeight="1" x14ac:dyDescent="0.25">
      <c r="A178" s="25"/>
      <c r="B178" s="29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30"/>
      <c r="AB178" s="30"/>
      <c r="AC178" s="30"/>
      <c r="AD178" s="30"/>
      <c r="AE178" s="30"/>
      <c r="AF178" s="27"/>
      <c r="AG178" s="27"/>
      <c r="AH178" s="27"/>
      <c r="AI178" s="27"/>
      <c r="AJ178" s="27"/>
      <c r="AK178" s="28"/>
    </row>
    <row r="179" spans="1:37" ht="15.75" customHeight="1" x14ac:dyDescent="0.25">
      <c r="A179" s="25"/>
      <c r="B179" s="29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30"/>
      <c r="AB179" s="30"/>
      <c r="AC179" s="30"/>
      <c r="AD179" s="30"/>
      <c r="AE179" s="30"/>
      <c r="AF179" s="27"/>
      <c r="AG179" s="27"/>
      <c r="AH179" s="27"/>
      <c r="AI179" s="27"/>
      <c r="AJ179" s="27"/>
      <c r="AK179" s="28"/>
    </row>
    <row r="180" spans="1:37" ht="15.75" customHeight="1" x14ac:dyDescent="0.25">
      <c r="A180" s="25"/>
      <c r="B180" s="29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30"/>
      <c r="AB180" s="30"/>
      <c r="AC180" s="30"/>
      <c r="AD180" s="30"/>
      <c r="AE180" s="30"/>
      <c r="AF180" s="27"/>
      <c r="AG180" s="27"/>
      <c r="AH180" s="27"/>
      <c r="AI180" s="27"/>
      <c r="AJ180" s="27"/>
      <c r="AK180" s="28"/>
    </row>
    <row r="181" spans="1:37" ht="15.75" customHeight="1" x14ac:dyDescent="0.25">
      <c r="A181" s="25"/>
      <c r="B181" s="29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30"/>
      <c r="AB181" s="30"/>
      <c r="AC181" s="30"/>
      <c r="AD181" s="30"/>
      <c r="AE181" s="30"/>
      <c r="AF181" s="27"/>
      <c r="AG181" s="27"/>
      <c r="AH181" s="27"/>
      <c r="AI181" s="27"/>
      <c r="AJ181" s="27"/>
      <c r="AK181" s="28"/>
    </row>
    <row r="182" spans="1:37" ht="15.75" customHeight="1" x14ac:dyDescent="0.25">
      <c r="A182" s="25"/>
      <c r="B182" s="29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30"/>
      <c r="AB182" s="30"/>
      <c r="AC182" s="30"/>
      <c r="AD182" s="30"/>
      <c r="AE182" s="30"/>
      <c r="AF182" s="27"/>
      <c r="AG182" s="27"/>
      <c r="AH182" s="27"/>
      <c r="AI182" s="27"/>
      <c r="AJ182" s="27"/>
      <c r="AK182" s="28"/>
    </row>
    <row r="183" spans="1:37" ht="15.75" customHeight="1" x14ac:dyDescent="0.25">
      <c r="A183" s="25"/>
      <c r="B183" s="29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30"/>
      <c r="AB183" s="30"/>
      <c r="AC183" s="30"/>
      <c r="AD183" s="30"/>
      <c r="AE183" s="30"/>
      <c r="AF183" s="27"/>
      <c r="AG183" s="27"/>
      <c r="AH183" s="27"/>
      <c r="AI183" s="27"/>
      <c r="AJ183" s="27"/>
      <c r="AK183" s="28"/>
    </row>
    <row r="184" spans="1:37" ht="15.75" customHeight="1" x14ac:dyDescent="0.25">
      <c r="A184" s="25"/>
      <c r="B184" s="29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30"/>
      <c r="AB184" s="30"/>
      <c r="AC184" s="30"/>
      <c r="AD184" s="30"/>
      <c r="AE184" s="30"/>
      <c r="AF184" s="27"/>
      <c r="AG184" s="27"/>
      <c r="AH184" s="27"/>
      <c r="AI184" s="27"/>
      <c r="AJ184" s="27"/>
      <c r="AK184" s="28"/>
    </row>
    <row r="185" spans="1:37" ht="15.75" customHeight="1" x14ac:dyDescent="0.25">
      <c r="A185" s="25"/>
      <c r="B185" s="29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30"/>
      <c r="AB185" s="30"/>
      <c r="AC185" s="30"/>
      <c r="AD185" s="30"/>
      <c r="AE185" s="30"/>
      <c r="AF185" s="27"/>
      <c r="AG185" s="27"/>
      <c r="AH185" s="27"/>
      <c r="AI185" s="27"/>
      <c r="AJ185" s="27"/>
      <c r="AK185" s="28"/>
    </row>
    <row r="186" spans="1:37" ht="15.75" customHeight="1" x14ac:dyDescent="0.25">
      <c r="A186" s="25"/>
      <c r="B186" s="29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30"/>
      <c r="AB186" s="30"/>
      <c r="AC186" s="30"/>
      <c r="AD186" s="30"/>
      <c r="AE186" s="30"/>
      <c r="AF186" s="27"/>
      <c r="AG186" s="27"/>
      <c r="AH186" s="27"/>
      <c r="AI186" s="27"/>
      <c r="AJ186" s="27"/>
      <c r="AK186" s="28"/>
    </row>
    <row r="187" spans="1:37" ht="15.75" customHeight="1" x14ac:dyDescent="0.25">
      <c r="A187" s="25"/>
      <c r="B187" s="29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30"/>
      <c r="AB187" s="30"/>
      <c r="AC187" s="30"/>
      <c r="AD187" s="30"/>
      <c r="AE187" s="30"/>
      <c r="AF187" s="27"/>
      <c r="AG187" s="27"/>
      <c r="AH187" s="27"/>
      <c r="AI187" s="27"/>
      <c r="AJ187" s="27"/>
      <c r="AK187" s="28"/>
    </row>
    <row r="188" spans="1:37" ht="15.75" customHeight="1" x14ac:dyDescent="0.25">
      <c r="A188" s="25"/>
      <c r="B188" s="29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30"/>
      <c r="AB188" s="30"/>
      <c r="AC188" s="30"/>
      <c r="AD188" s="30"/>
      <c r="AE188" s="30"/>
      <c r="AF188" s="27"/>
      <c r="AG188" s="27"/>
      <c r="AH188" s="27"/>
      <c r="AI188" s="27"/>
      <c r="AJ188" s="27"/>
      <c r="AK188" s="28"/>
    </row>
    <row r="189" spans="1:37" ht="15.75" customHeight="1" x14ac:dyDescent="0.25">
      <c r="A189" s="25"/>
      <c r="B189" s="29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30"/>
      <c r="AB189" s="30"/>
      <c r="AC189" s="30"/>
      <c r="AD189" s="30"/>
      <c r="AE189" s="30"/>
      <c r="AF189" s="27"/>
      <c r="AG189" s="27"/>
      <c r="AH189" s="27"/>
      <c r="AI189" s="27"/>
      <c r="AJ189" s="27"/>
      <c r="AK189" s="28"/>
    </row>
    <row r="190" spans="1:37" ht="15.75" customHeight="1" x14ac:dyDescent="0.25">
      <c r="A190" s="25"/>
      <c r="B190" s="29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30"/>
      <c r="AB190" s="30"/>
      <c r="AC190" s="30"/>
      <c r="AD190" s="30"/>
      <c r="AE190" s="30"/>
      <c r="AF190" s="27"/>
      <c r="AG190" s="27"/>
      <c r="AH190" s="27"/>
      <c r="AI190" s="27"/>
      <c r="AJ190" s="27"/>
      <c r="AK190" s="28"/>
    </row>
    <row r="191" spans="1:37" ht="15.75" customHeight="1" x14ac:dyDescent="0.25">
      <c r="A191" s="25"/>
      <c r="B191" s="29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30"/>
      <c r="AB191" s="30"/>
      <c r="AC191" s="30"/>
      <c r="AD191" s="30"/>
      <c r="AE191" s="30"/>
      <c r="AF191" s="27"/>
      <c r="AG191" s="27"/>
      <c r="AH191" s="27"/>
      <c r="AI191" s="27"/>
      <c r="AJ191" s="27"/>
      <c r="AK191" s="28"/>
    </row>
    <row r="192" spans="1:37" ht="15.75" customHeight="1" x14ac:dyDescent="0.25">
      <c r="A192" s="25"/>
      <c r="B192" s="29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30"/>
      <c r="AB192" s="30"/>
      <c r="AC192" s="30"/>
      <c r="AD192" s="30"/>
      <c r="AE192" s="30"/>
      <c r="AF192" s="27"/>
      <c r="AG192" s="27"/>
      <c r="AH192" s="27"/>
      <c r="AI192" s="27"/>
      <c r="AJ192" s="27"/>
      <c r="AK192" s="28"/>
    </row>
    <row r="193" spans="1:37" ht="15.75" customHeight="1" x14ac:dyDescent="0.25">
      <c r="A193" s="25"/>
      <c r="B193" s="29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30"/>
      <c r="AB193" s="30"/>
      <c r="AC193" s="30"/>
      <c r="AD193" s="30"/>
      <c r="AE193" s="30"/>
      <c r="AF193" s="27"/>
      <c r="AG193" s="27"/>
      <c r="AH193" s="27"/>
      <c r="AI193" s="27"/>
      <c r="AJ193" s="27"/>
      <c r="AK193" s="28"/>
    </row>
    <row r="194" spans="1:37" ht="15.75" customHeight="1" x14ac:dyDescent="0.25">
      <c r="A194" s="25"/>
      <c r="B194" s="29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30"/>
      <c r="AB194" s="30"/>
      <c r="AC194" s="30"/>
      <c r="AD194" s="30"/>
      <c r="AE194" s="30"/>
      <c r="AF194" s="27"/>
      <c r="AG194" s="27"/>
      <c r="AH194" s="27"/>
      <c r="AI194" s="27"/>
      <c r="AJ194" s="27"/>
      <c r="AK194" s="28"/>
    </row>
    <row r="195" spans="1:37" ht="15.75" customHeight="1" x14ac:dyDescent="0.25">
      <c r="A195" s="25"/>
      <c r="B195" s="29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30"/>
      <c r="AB195" s="30"/>
      <c r="AC195" s="30"/>
      <c r="AD195" s="30"/>
      <c r="AE195" s="30"/>
      <c r="AF195" s="27"/>
      <c r="AG195" s="27"/>
      <c r="AH195" s="27"/>
      <c r="AI195" s="27"/>
      <c r="AJ195" s="27"/>
      <c r="AK195" s="28"/>
    </row>
    <row r="196" spans="1:37" ht="15.75" customHeight="1" x14ac:dyDescent="0.25">
      <c r="A196" s="25"/>
      <c r="B196" s="29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30"/>
      <c r="AB196" s="30"/>
      <c r="AC196" s="30"/>
      <c r="AD196" s="30"/>
      <c r="AE196" s="30"/>
      <c r="AF196" s="27"/>
      <c r="AG196" s="27"/>
      <c r="AH196" s="27"/>
      <c r="AI196" s="27"/>
      <c r="AJ196" s="27"/>
      <c r="AK196" s="28"/>
    </row>
    <row r="197" spans="1:37" ht="15.75" customHeight="1" x14ac:dyDescent="0.25">
      <c r="A197" s="25"/>
      <c r="B197" s="29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30"/>
      <c r="AB197" s="30"/>
      <c r="AC197" s="30"/>
      <c r="AD197" s="30"/>
      <c r="AE197" s="30"/>
      <c r="AF197" s="27"/>
      <c r="AG197" s="27"/>
      <c r="AH197" s="27"/>
      <c r="AI197" s="27"/>
      <c r="AJ197" s="27"/>
      <c r="AK197" s="28"/>
    </row>
    <row r="198" spans="1:37" ht="15.75" customHeight="1" x14ac:dyDescent="0.25">
      <c r="A198" s="25"/>
      <c r="B198" s="29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30"/>
      <c r="AB198" s="30"/>
      <c r="AC198" s="30"/>
      <c r="AD198" s="30"/>
      <c r="AE198" s="30"/>
      <c r="AF198" s="27"/>
      <c r="AG198" s="27"/>
      <c r="AH198" s="27"/>
      <c r="AI198" s="27"/>
      <c r="AJ198" s="27"/>
      <c r="AK198" s="28"/>
    </row>
    <row r="199" spans="1:37" ht="15.75" customHeight="1" x14ac:dyDescent="0.25">
      <c r="A199" s="25"/>
      <c r="B199" s="29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30"/>
      <c r="AB199" s="30"/>
      <c r="AC199" s="30"/>
      <c r="AD199" s="30"/>
      <c r="AE199" s="30"/>
      <c r="AF199" s="27"/>
      <c r="AG199" s="27"/>
      <c r="AH199" s="27"/>
      <c r="AI199" s="27"/>
      <c r="AJ199" s="27"/>
      <c r="AK199" s="28"/>
    </row>
    <row r="200" spans="1:37" ht="15.75" customHeight="1" x14ac:dyDescent="0.25">
      <c r="A200" s="25"/>
      <c r="B200" s="29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30"/>
      <c r="AB200" s="30"/>
      <c r="AC200" s="30"/>
      <c r="AD200" s="30"/>
      <c r="AE200" s="30"/>
      <c r="AF200" s="27"/>
      <c r="AG200" s="27"/>
      <c r="AH200" s="27"/>
      <c r="AI200" s="27"/>
      <c r="AJ200" s="27"/>
      <c r="AK200" s="28"/>
    </row>
    <row r="201" spans="1:37" ht="15.75" customHeight="1" x14ac:dyDescent="0.25">
      <c r="A201" s="25"/>
      <c r="B201" s="29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30"/>
      <c r="AB201" s="30"/>
      <c r="AC201" s="30"/>
      <c r="AD201" s="30"/>
      <c r="AE201" s="30"/>
      <c r="AF201" s="27"/>
      <c r="AG201" s="27"/>
      <c r="AH201" s="27"/>
      <c r="AI201" s="27"/>
      <c r="AJ201" s="27"/>
      <c r="AK201" s="28"/>
    </row>
    <row r="202" spans="1:37" ht="15.75" customHeight="1" x14ac:dyDescent="0.25">
      <c r="A202" s="25"/>
      <c r="B202" s="29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30"/>
      <c r="AB202" s="30"/>
      <c r="AC202" s="30"/>
      <c r="AD202" s="30"/>
      <c r="AE202" s="30"/>
      <c r="AF202" s="27"/>
      <c r="AG202" s="27"/>
      <c r="AH202" s="27"/>
      <c r="AI202" s="27"/>
      <c r="AJ202" s="27"/>
      <c r="AK202" s="28"/>
    </row>
    <row r="203" spans="1:37" ht="15.75" customHeight="1" x14ac:dyDescent="0.25">
      <c r="A203" s="25"/>
      <c r="B203" s="29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30"/>
      <c r="AB203" s="30"/>
      <c r="AC203" s="30"/>
      <c r="AD203" s="30"/>
      <c r="AE203" s="30"/>
      <c r="AF203" s="27"/>
      <c r="AG203" s="27"/>
      <c r="AH203" s="27"/>
      <c r="AI203" s="27"/>
      <c r="AJ203" s="27"/>
      <c r="AK203" s="28"/>
    </row>
    <row r="204" spans="1:37" ht="15.75" customHeight="1" x14ac:dyDescent="0.25">
      <c r="A204" s="25"/>
      <c r="B204" s="29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30"/>
      <c r="AB204" s="30"/>
      <c r="AC204" s="30"/>
      <c r="AD204" s="30"/>
      <c r="AE204" s="30"/>
      <c r="AF204" s="27"/>
      <c r="AG204" s="27"/>
      <c r="AH204" s="27"/>
      <c r="AI204" s="27"/>
      <c r="AJ204" s="27"/>
      <c r="AK204" s="28"/>
    </row>
    <row r="205" spans="1:37" ht="15.75" customHeight="1" x14ac:dyDescent="0.25">
      <c r="A205" s="25"/>
      <c r="B205" s="29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30"/>
      <c r="AB205" s="30"/>
      <c r="AC205" s="30"/>
      <c r="AD205" s="30"/>
      <c r="AE205" s="30"/>
      <c r="AF205" s="27"/>
      <c r="AG205" s="27"/>
      <c r="AH205" s="27"/>
      <c r="AI205" s="27"/>
      <c r="AJ205" s="27"/>
      <c r="AK205" s="28"/>
    </row>
    <row r="206" spans="1:37" ht="15.75" customHeight="1" x14ac:dyDescent="0.25">
      <c r="A206" s="25"/>
      <c r="B206" s="29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30"/>
      <c r="AB206" s="30"/>
      <c r="AC206" s="30"/>
      <c r="AD206" s="30"/>
      <c r="AE206" s="30"/>
      <c r="AF206" s="27"/>
      <c r="AG206" s="27"/>
      <c r="AH206" s="27"/>
      <c r="AI206" s="27"/>
      <c r="AJ206" s="27"/>
      <c r="AK206" s="28"/>
    </row>
    <row r="207" spans="1:37" ht="15.75" customHeight="1" x14ac:dyDescent="0.25">
      <c r="A207" s="25"/>
      <c r="B207" s="29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30"/>
      <c r="AB207" s="30"/>
      <c r="AC207" s="30"/>
      <c r="AD207" s="30"/>
      <c r="AE207" s="30"/>
      <c r="AF207" s="27"/>
      <c r="AG207" s="27"/>
      <c r="AH207" s="27"/>
      <c r="AI207" s="27"/>
      <c r="AJ207" s="27"/>
      <c r="AK207" s="28"/>
    </row>
    <row r="208" spans="1:37" ht="15.75" customHeight="1" x14ac:dyDescent="0.25">
      <c r="A208" s="25"/>
      <c r="B208" s="29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30"/>
      <c r="AB208" s="30"/>
      <c r="AC208" s="30"/>
      <c r="AD208" s="30"/>
      <c r="AE208" s="30"/>
      <c r="AF208" s="27"/>
      <c r="AG208" s="27"/>
      <c r="AH208" s="27"/>
      <c r="AI208" s="27"/>
      <c r="AJ208" s="27"/>
      <c r="AK208" s="28"/>
    </row>
    <row r="209" spans="1:37" ht="15.75" customHeight="1" x14ac:dyDescent="0.25">
      <c r="A209" s="25"/>
      <c r="B209" s="29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30"/>
      <c r="AB209" s="30"/>
      <c r="AC209" s="30"/>
      <c r="AD209" s="30"/>
      <c r="AE209" s="30"/>
      <c r="AF209" s="27"/>
      <c r="AG209" s="27"/>
      <c r="AH209" s="27"/>
      <c r="AI209" s="27"/>
      <c r="AJ209" s="27"/>
      <c r="AK209" s="28"/>
    </row>
    <row r="210" spans="1:37" ht="15.75" customHeight="1" x14ac:dyDescent="0.25">
      <c r="A210" s="25"/>
      <c r="B210" s="29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30"/>
      <c r="AB210" s="30"/>
      <c r="AC210" s="30"/>
      <c r="AD210" s="30"/>
      <c r="AE210" s="30"/>
      <c r="AF210" s="27"/>
      <c r="AG210" s="27"/>
      <c r="AH210" s="27"/>
      <c r="AI210" s="27"/>
      <c r="AJ210" s="27"/>
      <c r="AK210" s="28"/>
    </row>
    <row r="211" spans="1:37" ht="15.75" customHeight="1" x14ac:dyDescent="0.25">
      <c r="A211" s="25"/>
      <c r="B211" s="29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30"/>
      <c r="AB211" s="30"/>
      <c r="AC211" s="30"/>
      <c r="AD211" s="30"/>
      <c r="AE211" s="30"/>
      <c r="AF211" s="27"/>
      <c r="AG211" s="27"/>
      <c r="AH211" s="27"/>
      <c r="AI211" s="27"/>
      <c r="AJ211" s="27"/>
      <c r="AK211" s="28"/>
    </row>
    <row r="212" spans="1:37" ht="15.75" customHeight="1" x14ac:dyDescent="0.25">
      <c r="A212" s="25"/>
      <c r="B212" s="29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30"/>
      <c r="AB212" s="30"/>
      <c r="AC212" s="30"/>
      <c r="AD212" s="30"/>
      <c r="AE212" s="30"/>
      <c r="AF212" s="27"/>
      <c r="AG212" s="27"/>
      <c r="AH212" s="27"/>
      <c r="AI212" s="27"/>
      <c r="AJ212" s="27"/>
      <c r="AK212" s="28"/>
    </row>
    <row r="213" spans="1:37" ht="15.75" customHeight="1" x14ac:dyDescent="0.25">
      <c r="A213" s="25"/>
      <c r="B213" s="29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30"/>
      <c r="AB213" s="30"/>
      <c r="AC213" s="30"/>
      <c r="AD213" s="30"/>
      <c r="AE213" s="30"/>
      <c r="AF213" s="27"/>
      <c r="AG213" s="27"/>
      <c r="AH213" s="27"/>
      <c r="AI213" s="27"/>
      <c r="AJ213" s="27"/>
      <c r="AK213" s="28"/>
    </row>
    <row r="214" spans="1:37" ht="15.75" customHeight="1" x14ac:dyDescent="0.25">
      <c r="A214" s="25"/>
      <c r="B214" s="29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30"/>
      <c r="AB214" s="30"/>
      <c r="AC214" s="30"/>
      <c r="AD214" s="30"/>
      <c r="AE214" s="30"/>
      <c r="AF214" s="27"/>
      <c r="AG214" s="27"/>
      <c r="AH214" s="27"/>
      <c r="AI214" s="27"/>
      <c r="AJ214" s="27"/>
      <c r="AK214" s="28"/>
    </row>
    <row r="215" spans="1:37" ht="15.75" customHeight="1" x14ac:dyDescent="0.25">
      <c r="A215" s="25"/>
      <c r="B215" s="29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30"/>
      <c r="AB215" s="30"/>
      <c r="AC215" s="30"/>
      <c r="AD215" s="30"/>
      <c r="AE215" s="30"/>
      <c r="AF215" s="27"/>
      <c r="AG215" s="27"/>
      <c r="AH215" s="27"/>
      <c r="AI215" s="27"/>
      <c r="AJ215" s="27"/>
      <c r="AK215" s="28"/>
    </row>
    <row r="216" spans="1:37" ht="15.75" customHeight="1" x14ac:dyDescent="0.25">
      <c r="A216" s="25"/>
      <c r="B216" s="29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30"/>
      <c r="AB216" s="30"/>
      <c r="AC216" s="30"/>
      <c r="AD216" s="30"/>
      <c r="AE216" s="30"/>
      <c r="AF216" s="27"/>
      <c r="AG216" s="27"/>
      <c r="AH216" s="27"/>
      <c r="AI216" s="27"/>
      <c r="AJ216" s="27"/>
      <c r="AK216" s="28"/>
    </row>
    <row r="217" spans="1:37" ht="15.75" customHeight="1" x14ac:dyDescent="0.25">
      <c r="A217" s="25"/>
      <c r="B217" s="29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30"/>
      <c r="AB217" s="30"/>
      <c r="AC217" s="30"/>
      <c r="AD217" s="30"/>
      <c r="AE217" s="30"/>
      <c r="AF217" s="27"/>
      <c r="AG217" s="27"/>
      <c r="AH217" s="27"/>
      <c r="AI217" s="27"/>
      <c r="AJ217" s="27"/>
      <c r="AK217" s="28"/>
    </row>
    <row r="218" spans="1:37" ht="15.75" customHeight="1" x14ac:dyDescent="0.25">
      <c r="A218" s="25"/>
      <c r="B218" s="29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30"/>
      <c r="AB218" s="30"/>
      <c r="AC218" s="30"/>
      <c r="AD218" s="30"/>
      <c r="AE218" s="30"/>
      <c r="AF218" s="27"/>
      <c r="AG218" s="27"/>
      <c r="AH218" s="27"/>
      <c r="AI218" s="27"/>
      <c r="AJ218" s="27"/>
      <c r="AK218" s="28"/>
    </row>
    <row r="219" spans="1:37" ht="15.75" customHeight="1" x14ac:dyDescent="0.25">
      <c r="A219" s="25"/>
      <c r="B219" s="29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30"/>
      <c r="AB219" s="30"/>
      <c r="AC219" s="30"/>
      <c r="AD219" s="30"/>
      <c r="AE219" s="30"/>
      <c r="AF219" s="27"/>
      <c r="AG219" s="27"/>
      <c r="AH219" s="27"/>
      <c r="AI219" s="27"/>
      <c r="AJ219" s="27"/>
      <c r="AK219" s="28"/>
    </row>
    <row r="220" spans="1:37" ht="15.75" customHeight="1" x14ac:dyDescent="0.25">
      <c r="A220" s="25"/>
      <c r="B220" s="29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30"/>
      <c r="AB220" s="30"/>
      <c r="AC220" s="30"/>
      <c r="AD220" s="30"/>
      <c r="AE220" s="30"/>
      <c r="AF220" s="27"/>
      <c r="AG220" s="27"/>
      <c r="AH220" s="27"/>
      <c r="AI220" s="27"/>
      <c r="AJ220" s="27"/>
      <c r="AK220" s="28"/>
    </row>
    <row r="221" spans="1:37" ht="15.75" customHeight="1" x14ac:dyDescent="0.25">
      <c r="A221" s="25"/>
      <c r="B221" s="29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30"/>
      <c r="AB221" s="30"/>
      <c r="AC221" s="30"/>
      <c r="AD221" s="30"/>
      <c r="AE221" s="30"/>
      <c r="AF221" s="27"/>
      <c r="AG221" s="27"/>
      <c r="AH221" s="27"/>
      <c r="AI221" s="27"/>
      <c r="AJ221" s="27"/>
      <c r="AK221" s="28"/>
    </row>
    <row r="222" spans="1:37" ht="15.75" customHeight="1" x14ac:dyDescent="0.25">
      <c r="A222" s="25"/>
      <c r="B222" s="29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30"/>
      <c r="AB222" s="30"/>
      <c r="AC222" s="30"/>
      <c r="AD222" s="30"/>
      <c r="AE222" s="30"/>
      <c r="AF222" s="27"/>
      <c r="AG222" s="27"/>
      <c r="AH222" s="27"/>
      <c r="AI222" s="27"/>
      <c r="AJ222" s="27"/>
      <c r="AK222" s="28"/>
    </row>
    <row r="223" spans="1:37" ht="15.75" customHeight="1" x14ac:dyDescent="0.25">
      <c r="A223" s="25"/>
      <c r="B223" s="29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30"/>
      <c r="AB223" s="30"/>
      <c r="AC223" s="30"/>
      <c r="AD223" s="30"/>
      <c r="AE223" s="30"/>
      <c r="AF223" s="27"/>
      <c r="AG223" s="27"/>
      <c r="AH223" s="27"/>
      <c r="AI223" s="27"/>
      <c r="AJ223" s="27"/>
      <c r="AK223" s="28"/>
    </row>
    <row r="224" spans="1:37" ht="15.75" customHeight="1" x14ac:dyDescent="0.25">
      <c r="A224" s="25"/>
      <c r="B224" s="29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30"/>
      <c r="AB224" s="30"/>
      <c r="AC224" s="30"/>
      <c r="AD224" s="30"/>
      <c r="AE224" s="30"/>
      <c r="AF224" s="27"/>
      <c r="AG224" s="27"/>
      <c r="AH224" s="27"/>
      <c r="AI224" s="27"/>
      <c r="AJ224" s="27"/>
      <c r="AK224" s="28"/>
    </row>
    <row r="225" spans="1:37" ht="15.75" customHeight="1" x14ac:dyDescent="0.25">
      <c r="A225" s="25"/>
      <c r="B225" s="29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30"/>
      <c r="AB225" s="30"/>
      <c r="AC225" s="30"/>
      <c r="AD225" s="30"/>
      <c r="AE225" s="30"/>
      <c r="AF225" s="27"/>
      <c r="AG225" s="27"/>
      <c r="AH225" s="27"/>
      <c r="AI225" s="27"/>
      <c r="AJ225" s="27"/>
      <c r="AK225" s="28"/>
    </row>
    <row r="226" spans="1:37" ht="15.75" customHeight="1" x14ac:dyDescent="0.25">
      <c r="A226" s="25"/>
      <c r="B226" s="29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30"/>
      <c r="AB226" s="30"/>
      <c r="AC226" s="30"/>
      <c r="AD226" s="30"/>
      <c r="AE226" s="30"/>
      <c r="AF226" s="27"/>
      <c r="AG226" s="27"/>
      <c r="AH226" s="27"/>
      <c r="AI226" s="27"/>
      <c r="AJ226" s="27"/>
      <c r="AK226" s="28"/>
    </row>
    <row r="227" spans="1:37" ht="15.75" customHeight="1" x14ac:dyDescent="0.25">
      <c r="A227" s="25"/>
      <c r="B227" s="29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30"/>
      <c r="AB227" s="30"/>
      <c r="AC227" s="30"/>
      <c r="AD227" s="30"/>
      <c r="AE227" s="30"/>
      <c r="AF227" s="27"/>
      <c r="AG227" s="27"/>
      <c r="AH227" s="27"/>
      <c r="AI227" s="27"/>
      <c r="AJ227" s="27"/>
      <c r="AK227" s="28"/>
    </row>
    <row r="228" spans="1:37" ht="15.75" customHeight="1" x14ac:dyDescent="0.25">
      <c r="A228" s="25"/>
      <c r="B228" s="29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30"/>
      <c r="AB228" s="30"/>
      <c r="AC228" s="30"/>
      <c r="AD228" s="30"/>
      <c r="AE228" s="30"/>
      <c r="AF228" s="27"/>
      <c r="AG228" s="27"/>
      <c r="AH228" s="27"/>
      <c r="AI228" s="27"/>
      <c r="AJ228" s="27"/>
      <c r="AK228" s="28"/>
    </row>
    <row r="229" spans="1:37" ht="15.75" customHeight="1" x14ac:dyDescent="0.25">
      <c r="A229" s="25"/>
      <c r="B229" s="29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30"/>
      <c r="AB229" s="30"/>
      <c r="AC229" s="30"/>
      <c r="AD229" s="30"/>
      <c r="AE229" s="30"/>
      <c r="AF229" s="27"/>
      <c r="AG229" s="27"/>
      <c r="AH229" s="27"/>
      <c r="AI229" s="27"/>
      <c r="AJ229" s="27"/>
      <c r="AK229" s="28"/>
    </row>
    <row r="230" spans="1:37" ht="15.75" customHeight="1" x14ac:dyDescent="0.25">
      <c r="A230" s="25"/>
      <c r="B230" s="29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30"/>
      <c r="AB230" s="30"/>
      <c r="AC230" s="30"/>
      <c r="AD230" s="30"/>
      <c r="AE230" s="30"/>
      <c r="AF230" s="27"/>
      <c r="AG230" s="27"/>
      <c r="AH230" s="27"/>
      <c r="AI230" s="27"/>
      <c r="AJ230" s="27"/>
      <c r="AK230" s="28"/>
    </row>
    <row r="231" spans="1:37" ht="15.75" customHeight="1" x14ac:dyDescent="0.25">
      <c r="A231" s="25"/>
      <c r="B231" s="29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30"/>
      <c r="AB231" s="30"/>
      <c r="AC231" s="30"/>
      <c r="AD231" s="30"/>
      <c r="AE231" s="30"/>
      <c r="AF231" s="27"/>
      <c r="AG231" s="27"/>
      <c r="AH231" s="27"/>
      <c r="AI231" s="27"/>
      <c r="AJ231" s="27"/>
      <c r="AK231" s="28"/>
    </row>
    <row r="232" spans="1:37" ht="15.75" customHeight="1" x14ac:dyDescent="0.25">
      <c r="A232" s="25"/>
      <c r="B232" s="29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30"/>
      <c r="AB232" s="30"/>
      <c r="AC232" s="30"/>
      <c r="AD232" s="30"/>
      <c r="AE232" s="30"/>
      <c r="AF232" s="27"/>
      <c r="AG232" s="27"/>
      <c r="AH232" s="27"/>
      <c r="AI232" s="27"/>
      <c r="AJ232" s="27"/>
      <c r="AK232" s="28"/>
    </row>
    <row r="233" spans="1:37" ht="15.75" customHeight="1" x14ac:dyDescent="0.25">
      <c r="A233" s="25"/>
      <c r="B233" s="29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30"/>
      <c r="AB233" s="30"/>
      <c r="AC233" s="30"/>
      <c r="AD233" s="30"/>
      <c r="AE233" s="30"/>
      <c r="AF233" s="27"/>
      <c r="AG233" s="27"/>
      <c r="AH233" s="27"/>
      <c r="AI233" s="27"/>
      <c r="AJ233" s="27"/>
      <c r="AK233" s="28"/>
    </row>
    <row r="234" spans="1:37" ht="15.75" customHeight="1" x14ac:dyDescent="0.25">
      <c r="A234" s="25"/>
      <c r="B234" s="29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30"/>
      <c r="AB234" s="30"/>
      <c r="AC234" s="30"/>
      <c r="AD234" s="30"/>
      <c r="AE234" s="30"/>
      <c r="AF234" s="27"/>
      <c r="AG234" s="27"/>
      <c r="AH234" s="27"/>
      <c r="AI234" s="27"/>
      <c r="AJ234" s="27"/>
      <c r="AK234" s="28"/>
    </row>
    <row r="235" spans="1:37" ht="15.75" customHeight="1" x14ac:dyDescent="0.25">
      <c r="A235" s="25"/>
      <c r="B235" s="29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30"/>
      <c r="AB235" s="30"/>
      <c r="AC235" s="30"/>
      <c r="AD235" s="30"/>
      <c r="AE235" s="30"/>
      <c r="AF235" s="27"/>
      <c r="AG235" s="27"/>
      <c r="AH235" s="27"/>
      <c r="AI235" s="27"/>
      <c r="AJ235" s="27"/>
      <c r="AK235" s="28"/>
    </row>
    <row r="236" spans="1:37" ht="15.75" customHeight="1" x14ac:dyDescent="0.25">
      <c r="A236" s="25"/>
      <c r="B236" s="29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30"/>
      <c r="AB236" s="30"/>
      <c r="AC236" s="30"/>
      <c r="AD236" s="30"/>
      <c r="AE236" s="30"/>
      <c r="AF236" s="27"/>
      <c r="AG236" s="27"/>
      <c r="AH236" s="27"/>
      <c r="AI236" s="27"/>
      <c r="AJ236" s="27"/>
      <c r="AK236" s="28"/>
    </row>
    <row r="237" spans="1:37" ht="15.75" customHeight="1" x14ac:dyDescent="0.25">
      <c r="A237" s="25"/>
      <c r="B237" s="29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30"/>
      <c r="AB237" s="30"/>
      <c r="AC237" s="30"/>
      <c r="AD237" s="30"/>
      <c r="AE237" s="30"/>
      <c r="AF237" s="27"/>
      <c r="AG237" s="27"/>
      <c r="AH237" s="27"/>
      <c r="AI237" s="27"/>
      <c r="AJ237" s="27"/>
      <c r="AK237" s="28"/>
    </row>
    <row r="238" spans="1:37" ht="15.75" customHeight="1" x14ac:dyDescent="0.25">
      <c r="A238" s="25"/>
      <c r="B238" s="29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30"/>
      <c r="AB238" s="30"/>
      <c r="AC238" s="30"/>
      <c r="AD238" s="30"/>
      <c r="AE238" s="30"/>
      <c r="AF238" s="27"/>
      <c r="AG238" s="27"/>
      <c r="AH238" s="27"/>
      <c r="AI238" s="27"/>
      <c r="AJ238" s="27"/>
      <c r="AK238" s="28"/>
    </row>
    <row r="239" spans="1:37" ht="15.75" customHeight="1" x14ac:dyDescent="0.25">
      <c r="A239" s="25"/>
      <c r="B239" s="29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30"/>
      <c r="AB239" s="30"/>
      <c r="AC239" s="30"/>
      <c r="AD239" s="30"/>
      <c r="AE239" s="30"/>
      <c r="AF239" s="27"/>
      <c r="AG239" s="27"/>
      <c r="AH239" s="27"/>
      <c r="AI239" s="27"/>
      <c r="AJ239" s="27"/>
      <c r="AK239" s="28"/>
    </row>
    <row r="240" spans="1:37" ht="15.75" customHeight="1" x14ac:dyDescent="0.25">
      <c r="A240" s="25"/>
      <c r="B240" s="29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30"/>
      <c r="AB240" s="30"/>
      <c r="AC240" s="30"/>
      <c r="AD240" s="30"/>
      <c r="AE240" s="30"/>
      <c r="AF240" s="27"/>
      <c r="AG240" s="27"/>
      <c r="AH240" s="27"/>
      <c r="AI240" s="27"/>
      <c r="AJ240" s="27"/>
      <c r="AK240" s="28"/>
    </row>
    <row r="241" spans="1:37" ht="15.75" customHeight="1" x14ac:dyDescent="0.25">
      <c r="A241" s="25"/>
      <c r="B241" s="29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30"/>
      <c r="AB241" s="30"/>
      <c r="AC241" s="30"/>
      <c r="AD241" s="30"/>
      <c r="AE241" s="30"/>
      <c r="AF241" s="27"/>
      <c r="AG241" s="27"/>
      <c r="AH241" s="27"/>
      <c r="AI241" s="27"/>
      <c r="AJ241" s="27"/>
      <c r="AK241" s="28"/>
    </row>
    <row r="242" spans="1:37" ht="15.75" customHeight="1" x14ac:dyDescent="0.25">
      <c r="A242" s="25"/>
      <c r="B242" s="29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30"/>
      <c r="AB242" s="30"/>
      <c r="AC242" s="30"/>
      <c r="AD242" s="30"/>
      <c r="AE242" s="30"/>
      <c r="AF242" s="27"/>
      <c r="AG242" s="27"/>
      <c r="AH242" s="27"/>
      <c r="AI242" s="27"/>
      <c r="AJ242" s="27"/>
      <c r="AK242" s="28"/>
    </row>
    <row r="243" spans="1:37" ht="15.75" customHeight="1" x14ac:dyDescent="0.25">
      <c r="A243" s="25"/>
      <c r="B243" s="29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30"/>
      <c r="AB243" s="30"/>
      <c r="AC243" s="30"/>
      <c r="AD243" s="30"/>
      <c r="AE243" s="30"/>
      <c r="AF243" s="27"/>
      <c r="AG243" s="27"/>
      <c r="AH243" s="27"/>
      <c r="AI243" s="27"/>
      <c r="AJ243" s="27"/>
      <c r="AK243" s="28"/>
    </row>
    <row r="244" spans="1:37" ht="15.75" customHeight="1" x14ac:dyDescent="0.25">
      <c r="A244" s="25"/>
      <c r="B244" s="29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30"/>
      <c r="AB244" s="30"/>
      <c r="AC244" s="30"/>
      <c r="AD244" s="30"/>
      <c r="AE244" s="30"/>
      <c r="AF244" s="27"/>
      <c r="AG244" s="27"/>
      <c r="AH244" s="27"/>
      <c r="AI244" s="27"/>
      <c r="AJ244" s="27"/>
      <c r="AK244" s="28"/>
    </row>
    <row r="245" spans="1:37" ht="15.75" customHeight="1" x14ac:dyDescent="0.25">
      <c r="A245" s="25"/>
      <c r="B245" s="29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30"/>
      <c r="AB245" s="30"/>
      <c r="AC245" s="30"/>
      <c r="AD245" s="30"/>
      <c r="AE245" s="30"/>
      <c r="AF245" s="27"/>
      <c r="AG245" s="27"/>
      <c r="AH245" s="27"/>
      <c r="AI245" s="27"/>
      <c r="AJ245" s="27"/>
      <c r="AK245" s="28"/>
    </row>
    <row r="246" spans="1:37" ht="15.75" customHeight="1" x14ac:dyDescent="0.25">
      <c r="A246" s="25"/>
      <c r="B246" s="29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30"/>
      <c r="AB246" s="30"/>
      <c r="AC246" s="30"/>
      <c r="AD246" s="30"/>
      <c r="AE246" s="30"/>
      <c r="AF246" s="27"/>
      <c r="AG246" s="27"/>
      <c r="AH246" s="27"/>
      <c r="AI246" s="27"/>
      <c r="AJ246" s="27"/>
      <c r="AK246" s="28"/>
    </row>
    <row r="247" spans="1:37" ht="15.75" customHeight="1" x14ac:dyDescent="0.25">
      <c r="A247" s="25"/>
      <c r="B247" s="29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30"/>
      <c r="AB247" s="30"/>
      <c r="AC247" s="30"/>
      <c r="AD247" s="30"/>
      <c r="AE247" s="30"/>
      <c r="AF247" s="27"/>
      <c r="AG247" s="27"/>
      <c r="AH247" s="27"/>
      <c r="AI247" s="27"/>
      <c r="AJ247" s="27"/>
      <c r="AK247" s="28"/>
    </row>
    <row r="248" spans="1:37" ht="15.75" customHeight="1" x14ac:dyDescent="0.25">
      <c r="A248" s="25"/>
      <c r="B248" s="29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30"/>
      <c r="AB248" s="30"/>
      <c r="AC248" s="30"/>
      <c r="AD248" s="30"/>
      <c r="AE248" s="30"/>
      <c r="AF248" s="27"/>
      <c r="AG248" s="27"/>
      <c r="AH248" s="27"/>
      <c r="AI248" s="27"/>
      <c r="AJ248" s="27"/>
      <c r="AK248" s="28"/>
    </row>
    <row r="249" spans="1:37" ht="15.75" customHeight="1" x14ac:dyDescent="0.25">
      <c r="A249" s="25"/>
      <c r="B249" s="29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30"/>
      <c r="AB249" s="30"/>
      <c r="AC249" s="30"/>
      <c r="AD249" s="30"/>
      <c r="AE249" s="30"/>
      <c r="AF249" s="27"/>
      <c r="AG249" s="27"/>
      <c r="AH249" s="27"/>
      <c r="AI249" s="27"/>
      <c r="AJ249" s="27"/>
      <c r="AK249" s="28"/>
    </row>
    <row r="250" spans="1:37" ht="15.75" customHeight="1" x14ac:dyDescent="0.25">
      <c r="A250" s="25"/>
      <c r="B250" s="29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30"/>
      <c r="AB250" s="30"/>
      <c r="AC250" s="30"/>
      <c r="AD250" s="30"/>
      <c r="AE250" s="30"/>
      <c r="AF250" s="27"/>
      <c r="AG250" s="27"/>
      <c r="AH250" s="27"/>
      <c r="AI250" s="27"/>
      <c r="AJ250" s="27"/>
      <c r="AK250" s="28"/>
    </row>
    <row r="251" spans="1:37" ht="15.75" customHeight="1" x14ac:dyDescent="0.25">
      <c r="A251" s="25"/>
      <c r="B251" s="29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30"/>
      <c r="AB251" s="30"/>
      <c r="AC251" s="30"/>
      <c r="AD251" s="30"/>
      <c r="AE251" s="30"/>
      <c r="AF251" s="27"/>
      <c r="AG251" s="27"/>
      <c r="AH251" s="27"/>
      <c r="AI251" s="27"/>
      <c r="AJ251" s="27"/>
      <c r="AK251" s="28"/>
    </row>
    <row r="252" spans="1:37" ht="15.75" customHeight="1" x14ac:dyDescent="0.25">
      <c r="A252" s="25"/>
      <c r="B252" s="29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30"/>
      <c r="AB252" s="30"/>
      <c r="AC252" s="30"/>
      <c r="AD252" s="30"/>
      <c r="AE252" s="30"/>
      <c r="AF252" s="27"/>
      <c r="AG252" s="27"/>
      <c r="AH252" s="27"/>
      <c r="AI252" s="27"/>
      <c r="AJ252" s="27"/>
      <c r="AK252" s="28"/>
    </row>
    <row r="253" spans="1:37" ht="15.75" customHeight="1" x14ac:dyDescent="0.25">
      <c r="A253" s="25"/>
      <c r="B253" s="29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30"/>
      <c r="AB253" s="30"/>
      <c r="AC253" s="30"/>
      <c r="AD253" s="30"/>
      <c r="AE253" s="30"/>
      <c r="AF253" s="27"/>
      <c r="AG253" s="27"/>
      <c r="AH253" s="27"/>
      <c r="AI253" s="27"/>
      <c r="AJ253" s="27"/>
      <c r="AK253" s="28"/>
    </row>
    <row r="254" spans="1:37" ht="15.75" customHeight="1" x14ac:dyDescent="0.25">
      <c r="A254" s="25"/>
      <c r="B254" s="29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30"/>
      <c r="AB254" s="30"/>
      <c r="AC254" s="30"/>
      <c r="AD254" s="30"/>
      <c r="AE254" s="30"/>
      <c r="AF254" s="27"/>
      <c r="AG254" s="27"/>
      <c r="AH254" s="27"/>
      <c r="AI254" s="27"/>
      <c r="AJ254" s="27"/>
      <c r="AK254" s="28"/>
    </row>
    <row r="255" spans="1:37" ht="15.75" customHeight="1" x14ac:dyDescent="0.25">
      <c r="A255" s="25"/>
      <c r="B255" s="29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30"/>
      <c r="AB255" s="30"/>
      <c r="AC255" s="30"/>
      <c r="AD255" s="30"/>
      <c r="AE255" s="30"/>
      <c r="AF255" s="27"/>
      <c r="AG255" s="27"/>
      <c r="AH255" s="27"/>
      <c r="AI255" s="27"/>
      <c r="AJ255" s="27"/>
      <c r="AK255" s="28"/>
    </row>
    <row r="256" spans="1:37" ht="15.75" customHeight="1" x14ac:dyDescent="0.25">
      <c r="A256" s="25"/>
      <c r="B256" s="29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30"/>
      <c r="AB256" s="30"/>
      <c r="AC256" s="30"/>
      <c r="AD256" s="30"/>
      <c r="AE256" s="30"/>
      <c r="AF256" s="27"/>
      <c r="AG256" s="27"/>
      <c r="AH256" s="27"/>
      <c r="AI256" s="27"/>
      <c r="AJ256" s="27"/>
      <c r="AK256" s="28"/>
    </row>
    <row r="257" spans="1:37" ht="15.75" customHeight="1" x14ac:dyDescent="0.25">
      <c r="A257" s="25"/>
      <c r="B257" s="29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30"/>
      <c r="AB257" s="30"/>
      <c r="AC257" s="30"/>
      <c r="AD257" s="30"/>
      <c r="AE257" s="30"/>
      <c r="AF257" s="27"/>
      <c r="AG257" s="27"/>
      <c r="AH257" s="27"/>
      <c r="AI257" s="27"/>
      <c r="AJ257" s="27"/>
      <c r="AK257" s="28"/>
    </row>
    <row r="258" spans="1:37" ht="15.75" customHeight="1" x14ac:dyDescent="0.25">
      <c r="A258" s="25"/>
      <c r="B258" s="29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30"/>
      <c r="AB258" s="30"/>
      <c r="AC258" s="30"/>
      <c r="AD258" s="30"/>
      <c r="AE258" s="30"/>
      <c r="AF258" s="27"/>
      <c r="AG258" s="27"/>
      <c r="AH258" s="27"/>
      <c r="AI258" s="27"/>
      <c r="AJ258" s="27"/>
      <c r="AK258" s="28"/>
    </row>
    <row r="259" spans="1:37" ht="15.75" customHeight="1" x14ac:dyDescent="0.25">
      <c r="A259" s="25"/>
      <c r="B259" s="29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30"/>
      <c r="AB259" s="30"/>
      <c r="AC259" s="30"/>
      <c r="AD259" s="30"/>
      <c r="AE259" s="30"/>
      <c r="AF259" s="27"/>
      <c r="AG259" s="27"/>
      <c r="AH259" s="27"/>
      <c r="AI259" s="27"/>
      <c r="AJ259" s="27"/>
      <c r="AK259" s="28"/>
    </row>
    <row r="260" spans="1:37" ht="15.75" customHeight="1" x14ac:dyDescent="0.25">
      <c r="A260" s="25"/>
      <c r="B260" s="29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30"/>
      <c r="AB260" s="30"/>
      <c r="AC260" s="30"/>
      <c r="AD260" s="30"/>
      <c r="AE260" s="30"/>
      <c r="AF260" s="27"/>
      <c r="AG260" s="27"/>
      <c r="AH260" s="27"/>
      <c r="AI260" s="27"/>
      <c r="AJ260" s="27"/>
      <c r="AK260" s="28"/>
    </row>
    <row r="261" spans="1:37" ht="15.75" customHeight="1" x14ac:dyDescent="0.25">
      <c r="A261" s="25"/>
      <c r="B261" s="29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30"/>
      <c r="AB261" s="30"/>
      <c r="AC261" s="30"/>
      <c r="AD261" s="30"/>
      <c r="AE261" s="30"/>
      <c r="AF261" s="27"/>
      <c r="AG261" s="27"/>
      <c r="AH261" s="27"/>
      <c r="AI261" s="27"/>
      <c r="AJ261" s="27"/>
      <c r="AK261" s="28"/>
    </row>
    <row r="262" spans="1:37" ht="15.75" customHeight="1" x14ac:dyDescent="0.25">
      <c r="A262" s="25"/>
      <c r="B262" s="29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30"/>
      <c r="AB262" s="30"/>
      <c r="AC262" s="30"/>
      <c r="AD262" s="30"/>
      <c r="AE262" s="30"/>
      <c r="AF262" s="27"/>
      <c r="AG262" s="27"/>
      <c r="AH262" s="27"/>
      <c r="AI262" s="27"/>
      <c r="AJ262" s="27"/>
      <c r="AK262" s="28"/>
    </row>
    <row r="263" spans="1:37" ht="15.75" customHeight="1" x14ac:dyDescent="0.25">
      <c r="A263" s="25"/>
      <c r="B263" s="29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30"/>
      <c r="AB263" s="30"/>
      <c r="AC263" s="30"/>
      <c r="AD263" s="30"/>
      <c r="AE263" s="30"/>
      <c r="AF263" s="27"/>
      <c r="AG263" s="27"/>
      <c r="AH263" s="27"/>
      <c r="AI263" s="27"/>
      <c r="AJ263" s="27"/>
      <c r="AK263" s="28"/>
    </row>
    <row r="264" spans="1:37" ht="15.75" customHeight="1" x14ac:dyDescent="0.25">
      <c r="A264" s="25"/>
      <c r="B264" s="29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30"/>
      <c r="AB264" s="30"/>
      <c r="AC264" s="30"/>
      <c r="AD264" s="30"/>
      <c r="AE264" s="30"/>
      <c r="AF264" s="27"/>
      <c r="AG264" s="27"/>
      <c r="AH264" s="27"/>
      <c r="AI264" s="27"/>
      <c r="AJ264" s="27"/>
      <c r="AK264" s="28"/>
    </row>
    <row r="265" spans="1:37" ht="15.75" customHeight="1" x14ac:dyDescent="0.25">
      <c r="A265" s="25"/>
      <c r="B265" s="29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30"/>
      <c r="AB265" s="30"/>
      <c r="AC265" s="30"/>
      <c r="AD265" s="30"/>
      <c r="AE265" s="30"/>
      <c r="AF265" s="27"/>
      <c r="AG265" s="27"/>
      <c r="AH265" s="27"/>
      <c r="AI265" s="27"/>
      <c r="AJ265" s="27"/>
      <c r="AK265" s="28"/>
    </row>
    <row r="266" spans="1:37" ht="15.75" customHeight="1" x14ac:dyDescent="0.25">
      <c r="A266" s="25"/>
      <c r="B266" s="29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30"/>
      <c r="AB266" s="30"/>
      <c r="AC266" s="30"/>
      <c r="AD266" s="30"/>
      <c r="AE266" s="30"/>
      <c r="AF266" s="27"/>
      <c r="AG266" s="27"/>
      <c r="AH266" s="27"/>
      <c r="AI266" s="27"/>
      <c r="AJ266" s="27"/>
      <c r="AK266" s="28"/>
    </row>
    <row r="267" spans="1:37" ht="15.75" customHeight="1" x14ac:dyDescent="0.25">
      <c r="A267" s="25"/>
      <c r="B267" s="29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30"/>
      <c r="AB267" s="30"/>
      <c r="AC267" s="30"/>
      <c r="AD267" s="30"/>
      <c r="AE267" s="30"/>
      <c r="AF267" s="27"/>
      <c r="AG267" s="27"/>
      <c r="AH267" s="27"/>
      <c r="AI267" s="27"/>
      <c r="AJ267" s="27"/>
      <c r="AK267" s="28"/>
    </row>
    <row r="268" spans="1:37" ht="15.75" customHeight="1" x14ac:dyDescent="0.25">
      <c r="A268" s="25"/>
      <c r="B268" s="29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30"/>
      <c r="AB268" s="30"/>
      <c r="AC268" s="30"/>
      <c r="AD268" s="30"/>
      <c r="AE268" s="30"/>
      <c r="AF268" s="27"/>
      <c r="AG268" s="27"/>
      <c r="AH268" s="27"/>
      <c r="AI268" s="27"/>
      <c r="AJ268" s="27"/>
      <c r="AK268" s="28"/>
    </row>
    <row r="269" spans="1:37" ht="15.75" customHeight="1" x14ac:dyDescent="0.25">
      <c r="A269" s="25"/>
      <c r="B269" s="29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30"/>
      <c r="AB269" s="30"/>
      <c r="AC269" s="30"/>
      <c r="AD269" s="30"/>
      <c r="AE269" s="30"/>
      <c r="AF269" s="27"/>
      <c r="AG269" s="27"/>
      <c r="AH269" s="27"/>
      <c r="AI269" s="27"/>
      <c r="AJ269" s="27"/>
      <c r="AK269" s="28"/>
    </row>
    <row r="270" spans="1:37" ht="15.75" customHeight="1" x14ac:dyDescent="0.25">
      <c r="A270" s="25"/>
      <c r="B270" s="29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30"/>
      <c r="AB270" s="30"/>
      <c r="AC270" s="30"/>
      <c r="AD270" s="30"/>
      <c r="AE270" s="30"/>
      <c r="AF270" s="27"/>
      <c r="AG270" s="27"/>
      <c r="AH270" s="27"/>
      <c r="AI270" s="27"/>
      <c r="AJ270" s="27"/>
      <c r="AK270" s="28"/>
    </row>
    <row r="271" spans="1:37" ht="15.75" customHeight="1" x14ac:dyDescent="0.25">
      <c r="A271" s="25"/>
      <c r="B271" s="29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30"/>
      <c r="AB271" s="30"/>
      <c r="AC271" s="30"/>
      <c r="AD271" s="30"/>
      <c r="AE271" s="30"/>
      <c r="AF271" s="27"/>
      <c r="AG271" s="27"/>
      <c r="AH271" s="27"/>
      <c r="AI271" s="27"/>
      <c r="AJ271" s="27"/>
      <c r="AK271" s="28"/>
    </row>
    <row r="272" spans="1:37" ht="15.75" customHeight="1" x14ac:dyDescent="0.25">
      <c r="A272" s="25"/>
      <c r="B272" s="29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30"/>
      <c r="AB272" s="30"/>
      <c r="AC272" s="30"/>
      <c r="AD272" s="30"/>
      <c r="AE272" s="30"/>
      <c r="AF272" s="27"/>
      <c r="AG272" s="27"/>
      <c r="AH272" s="27"/>
      <c r="AI272" s="27"/>
      <c r="AJ272" s="27"/>
      <c r="AK272" s="28"/>
    </row>
    <row r="273" spans="1:37" ht="15.75" customHeight="1" x14ac:dyDescent="0.25">
      <c r="A273" s="25"/>
      <c r="B273" s="29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30"/>
      <c r="AB273" s="30"/>
      <c r="AC273" s="30"/>
      <c r="AD273" s="30"/>
      <c r="AE273" s="30"/>
      <c r="AF273" s="27"/>
      <c r="AG273" s="27"/>
      <c r="AH273" s="27"/>
      <c r="AI273" s="27"/>
      <c r="AJ273" s="27"/>
      <c r="AK273" s="28"/>
    </row>
    <row r="274" spans="1:37" ht="15.75" customHeight="1" x14ac:dyDescent="0.25">
      <c r="A274" s="25"/>
      <c r="B274" s="29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30"/>
      <c r="AB274" s="30"/>
      <c r="AC274" s="30"/>
      <c r="AD274" s="30"/>
      <c r="AE274" s="30"/>
      <c r="AF274" s="27"/>
      <c r="AG274" s="27"/>
      <c r="AH274" s="27"/>
      <c r="AI274" s="27"/>
      <c r="AJ274" s="27"/>
      <c r="AK274" s="28"/>
    </row>
    <row r="275" spans="1:37" ht="15.75" customHeight="1" x14ac:dyDescent="0.25">
      <c r="A275" s="25"/>
      <c r="B275" s="29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30"/>
      <c r="AB275" s="30"/>
      <c r="AC275" s="30"/>
      <c r="AD275" s="30"/>
      <c r="AE275" s="30"/>
      <c r="AF275" s="27"/>
      <c r="AG275" s="27"/>
      <c r="AH275" s="27"/>
      <c r="AI275" s="27"/>
      <c r="AJ275" s="27"/>
      <c r="AK275" s="28"/>
    </row>
    <row r="276" spans="1:37" ht="15.75" customHeight="1" x14ac:dyDescent="0.25">
      <c r="A276" s="25"/>
      <c r="B276" s="29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30"/>
      <c r="AB276" s="30"/>
      <c r="AC276" s="30"/>
      <c r="AD276" s="30"/>
      <c r="AE276" s="30"/>
      <c r="AF276" s="27"/>
      <c r="AG276" s="27"/>
      <c r="AH276" s="27"/>
      <c r="AI276" s="27"/>
      <c r="AJ276" s="27"/>
      <c r="AK276" s="28"/>
    </row>
    <row r="277" spans="1:37" ht="15.75" customHeight="1" x14ac:dyDescent="0.25">
      <c r="A277" s="25"/>
      <c r="B277" s="29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30"/>
      <c r="AB277" s="30"/>
      <c r="AC277" s="30"/>
      <c r="AD277" s="30"/>
      <c r="AE277" s="30"/>
      <c r="AF277" s="27"/>
      <c r="AG277" s="27"/>
      <c r="AH277" s="27"/>
      <c r="AI277" s="27"/>
      <c r="AJ277" s="27"/>
      <c r="AK277" s="28"/>
    </row>
    <row r="278" spans="1:37" ht="15.75" customHeight="1" x14ac:dyDescent="0.25">
      <c r="A278" s="25"/>
      <c r="B278" s="29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30"/>
      <c r="AB278" s="30"/>
      <c r="AC278" s="30"/>
      <c r="AD278" s="30"/>
      <c r="AE278" s="30"/>
      <c r="AF278" s="27"/>
      <c r="AG278" s="27"/>
      <c r="AH278" s="27"/>
      <c r="AI278" s="27"/>
      <c r="AJ278" s="27"/>
      <c r="AK278" s="28"/>
    </row>
    <row r="279" spans="1:37" ht="15.75" customHeight="1" x14ac:dyDescent="0.25">
      <c r="A279" s="25"/>
      <c r="B279" s="29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30"/>
      <c r="AB279" s="30"/>
      <c r="AC279" s="30"/>
      <c r="AD279" s="30"/>
      <c r="AE279" s="30"/>
      <c r="AF279" s="27"/>
      <c r="AG279" s="27"/>
      <c r="AH279" s="27"/>
      <c r="AI279" s="27"/>
      <c r="AJ279" s="27"/>
      <c r="AK279" s="28"/>
    </row>
    <row r="280" spans="1:37" ht="15.75" customHeight="1" x14ac:dyDescent="0.25">
      <c r="A280" s="25"/>
      <c r="B280" s="29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30"/>
      <c r="AB280" s="30"/>
      <c r="AC280" s="30"/>
      <c r="AD280" s="30"/>
      <c r="AE280" s="30"/>
      <c r="AF280" s="27"/>
      <c r="AG280" s="27"/>
      <c r="AH280" s="27"/>
      <c r="AI280" s="27"/>
      <c r="AJ280" s="27"/>
      <c r="AK280" s="28"/>
    </row>
    <row r="281" spans="1:37" ht="15.75" customHeight="1" x14ac:dyDescent="0.25">
      <c r="A281" s="25"/>
      <c r="B281" s="29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30"/>
      <c r="AB281" s="30"/>
      <c r="AC281" s="30"/>
      <c r="AD281" s="30"/>
      <c r="AE281" s="30"/>
      <c r="AF281" s="27"/>
      <c r="AG281" s="27"/>
      <c r="AH281" s="27"/>
      <c r="AI281" s="27"/>
      <c r="AJ281" s="27"/>
      <c r="AK281" s="28"/>
    </row>
    <row r="282" spans="1:37" ht="15.75" customHeight="1" x14ac:dyDescent="0.25">
      <c r="A282" s="25"/>
      <c r="B282" s="29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30"/>
      <c r="AB282" s="30"/>
      <c r="AC282" s="30"/>
      <c r="AD282" s="30"/>
      <c r="AE282" s="30"/>
      <c r="AF282" s="27"/>
      <c r="AG282" s="27"/>
      <c r="AH282" s="27"/>
      <c r="AI282" s="27"/>
      <c r="AJ282" s="27"/>
      <c r="AK282" s="28"/>
    </row>
    <row r="283" spans="1:37" ht="15.75" customHeight="1" x14ac:dyDescent="0.25">
      <c r="A283" s="25"/>
      <c r="B283" s="29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30"/>
      <c r="AB283" s="30"/>
      <c r="AC283" s="30"/>
      <c r="AD283" s="30"/>
      <c r="AE283" s="30"/>
      <c r="AF283" s="27"/>
      <c r="AG283" s="27"/>
      <c r="AH283" s="27"/>
      <c r="AI283" s="27"/>
      <c r="AJ283" s="27"/>
      <c r="AK283" s="28"/>
    </row>
    <row r="284" spans="1:37" ht="15.75" customHeight="1" x14ac:dyDescent="0.25">
      <c r="A284" s="25"/>
      <c r="B284" s="29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30"/>
      <c r="AB284" s="30"/>
      <c r="AC284" s="30"/>
      <c r="AD284" s="30"/>
      <c r="AE284" s="30"/>
      <c r="AF284" s="27"/>
      <c r="AG284" s="27"/>
      <c r="AH284" s="27"/>
      <c r="AI284" s="27"/>
      <c r="AJ284" s="27"/>
      <c r="AK284" s="28"/>
    </row>
    <row r="285" spans="1:37" ht="15.75" customHeight="1" x14ac:dyDescent="0.25">
      <c r="A285" s="25"/>
      <c r="B285" s="29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30"/>
      <c r="AB285" s="30"/>
      <c r="AC285" s="30"/>
      <c r="AD285" s="30"/>
      <c r="AE285" s="30"/>
      <c r="AF285" s="27"/>
      <c r="AG285" s="27"/>
      <c r="AH285" s="27"/>
      <c r="AI285" s="27"/>
      <c r="AJ285" s="27"/>
      <c r="AK285" s="28"/>
    </row>
    <row r="286" spans="1:37" ht="15.75" customHeight="1" x14ac:dyDescent="0.25">
      <c r="A286" s="25"/>
      <c r="B286" s="29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30"/>
      <c r="AB286" s="30"/>
      <c r="AC286" s="30"/>
      <c r="AD286" s="30"/>
      <c r="AE286" s="30"/>
      <c r="AF286" s="27"/>
      <c r="AG286" s="27"/>
      <c r="AH286" s="27"/>
      <c r="AI286" s="27"/>
      <c r="AJ286" s="27"/>
      <c r="AK286" s="28"/>
    </row>
    <row r="287" spans="1:37" ht="15.75" customHeight="1" x14ac:dyDescent="0.25">
      <c r="A287" s="25"/>
      <c r="B287" s="29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30"/>
      <c r="AB287" s="30"/>
      <c r="AC287" s="30"/>
      <c r="AD287" s="30"/>
      <c r="AE287" s="30"/>
      <c r="AF287" s="27"/>
      <c r="AG287" s="27"/>
      <c r="AH287" s="27"/>
      <c r="AI287" s="27"/>
      <c r="AJ287" s="27"/>
      <c r="AK287" s="28"/>
    </row>
    <row r="288" spans="1:37" ht="15.75" customHeight="1" x14ac:dyDescent="0.25">
      <c r="A288" s="25"/>
      <c r="B288" s="29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30"/>
      <c r="AB288" s="30"/>
      <c r="AC288" s="30"/>
      <c r="AD288" s="30"/>
      <c r="AE288" s="30"/>
      <c r="AF288" s="27"/>
      <c r="AG288" s="27"/>
      <c r="AH288" s="27"/>
      <c r="AI288" s="27"/>
      <c r="AJ288" s="27"/>
      <c r="AK288" s="28"/>
    </row>
    <row r="289" spans="1:37" ht="15.75" customHeight="1" x14ac:dyDescent="0.25">
      <c r="A289" s="25"/>
      <c r="B289" s="29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30"/>
      <c r="AB289" s="30"/>
      <c r="AC289" s="30"/>
      <c r="AD289" s="30"/>
      <c r="AE289" s="30"/>
      <c r="AF289" s="27"/>
      <c r="AG289" s="27"/>
      <c r="AH289" s="27"/>
      <c r="AI289" s="27"/>
      <c r="AJ289" s="27"/>
      <c r="AK289" s="28"/>
    </row>
    <row r="290" spans="1:37" ht="15.75" customHeight="1" x14ac:dyDescent="0.25">
      <c r="A290" s="25"/>
      <c r="B290" s="29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30"/>
      <c r="AB290" s="30"/>
      <c r="AC290" s="30"/>
      <c r="AD290" s="30"/>
      <c r="AE290" s="30"/>
      <c r="AF290" s="27"/>
      <c r="AG290" s="27"/>
      <c r="AH290" s="27"/>
      <c r="AI290" s="27"/>
      <c r="AJ290" s="27"/>
      <c r="AK290" s="28"/>
    </row>
    <row r="291" spans="1:37" ht="15.75" customHeight="1" x14ac:dyDescent="0.25">
      <c r="A291" s="25"/>
      <c r="B291" s="29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30"/>
      <c r="AB291" s="30"/>
      <c r="AC291" s="30"/>
      <c r="AD291" s="30"/>
      <c r="AE291" s="30"/>
      <c r="AF291" s="27"/>
      <c r="AG291" s="27"/>
      <c r="AH291" s="27"/>
      <c r="AI291" s="27"/>
      <c r="AJ291" s="27"/>
      <c r="AK291" s="28"/>
    </row>
    <row r="292" spans="1:37" ht="15.75" customHeight="1" x14ac:dyDescent="0.25">
      <c r="A292" s="25"/>
      <c r="B292" s="29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30"/>
      <c r="AB292" s="30"/>
      <c r="AC292" s="30"/>
      <c r="AD292" s="30"/>
      <c r="AE292" s="30"/>
      <c r="AF292" s="27"/>
      <c r="AG292" s="27"/>
      <c r="AH292" s="27"/>
      <c r="AI292" s="27"/>
      <c r="AJ292" s="27"/>
      <c r="AK292" s="28"/>
    </row>
    <row r="293" spans="1:37" ht="15.75" customHeight="1" x14ac:dyDescent="0.25">
      <c r="A293" s="25"/>
      <c r="B293" s="29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30"/>
      <c r="AB293" s="30"/>
      <c r="AC293" s="30"/>
      <c r="AD293" s="30"/>
      <c r="AE293" s="30"/>
      <c r="AF293" s="27"/>
      <c r="AG293" s="27"/>
      <c r="AH293" s="27"/>
      <c r="AI293" s="27"/>
      <c r="AJ293" s="27"/>
      <c r="AK293" s="28"/>
    </row>
    <row r="294" spans="1:37" ht="15.75" customHeight="1" x14ac:dyDescent="0.25">
      <c r="A294" s="25"/>
      <c r="B294" s="29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30"/>
      <c r="AB294" s="30"/>
      <c r="AC294" s="30"/>
      <c r="AD294" s="30"/>
      <c r="AE294" s="30"/>
      <c r="AF294" s="27"/>
      <c r="AG294" s="27"/>
      <c r="AH294" s="27"/>
      <c r="AI294" s="27"/>
      <c r="AJ294" s="27"/>
      <c r="AK294" s="28"/>
    </row>
    <row r="295" spans="1:37" ht="15.75" customHeight="1" x14ac:dyDescent="0.25">
      <c r="A295" s="25"/>
      <c r="B295" s="29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30"/>
      <c r="AB295" s="30"/>
      <c r="AC295" s="30"/>
      <c r="AD295" s="30"/>
      <c r="AE295" s="30"/>
      <c r="AF295" s="27"/>
      <c r="AG295" s="27"/>
      <c r="AH295" s="27"/>
      <c r="AI295" s="27"/>
      <c r="AJ295" s="27"/>
      <c r="AK295" s="28"/>
    </row>
    <row r="296" spans="1:37" ht="15.75" customHeight="1" x14ac:dyDescent="0.25">
      <c r="A296" s="25"/>
      <c r="B296" s="29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30"/>
      <c r="AB296" s="30"/>
      <c r="AC296" s="30"/>
      <c r="AD296" s="30"/>
      <c r="AE296" s="30"/>
      <c r="AF296" s="27"/>
      <c r="AG296" s="27"/>
      <c r="AH296" s="27"/>
      <c r="AI296" s="27"/>
      <c r="AJ296" s="27"/>
      <c r="AK296" s="28"/>
    </row>
    <row r="297" spans="1:37" ht="15.75" customHeight="1" x14ac:dyDescent="0.25">
      <c r="A297" s="25"/>
      <c r="B297" s="29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30"/>
      <c r="AB297" s="30"/>
      <c r="AC297" s="30"/>
      <c r="AD297" s="30"/>
      <c r="AE297" s="30"/>
      <c r="AF297" s="27"/>
      <c r="AG297" s="27"/>
      <c r="AH297" s="27"/>
      <c r="AI297" s="27"/>
      <c r="AJ297" s="27"/>
      <c r="AK297" s="28"/>
    </row>
    <row r="298" spans="1:37" ht="15.75" customHeight="1" x14ac:dyDescent="0.25">
      <c r="A298" s="25"/>
      <c r="B298" s="29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30"/>
      <c r="AB298" s="30"/>
      <c r="AC298" s="30"/>
      <c r="AD298" s="30"/>
      <c r="AE298" s="30"/>
      <c r="AF298" s="27"/>
      <c r="AG298" s="27"/>
      <c r="AH298" s="27"/>
      <c r="AI298" s="27"/>
      <c r="AJ298" s="27"/>
      <c r="AK298" s="28"/>
    </row>
    <row r="299" spans="1:37" ht="15.75" customHeight="1" x14ac:dyDescent="0.25">
      <c r="A299" s="25"/>
      <c r="B299" s="29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30"/>
      <c r="AB299" s="30"/>
      <c r="AC299" s="30"/>
      <c r="AD299" s="30"/>
      <c r="AE299" s="30"/>
      <c r="AF299" s="27"/>
      <c r="AG299" s="27"/>
      <c r="AH299" s="27"/>
      <c r="AI299" s="27"/>
      <c r="AJ299" s="27"/>
      <c r="AK299" s="28"/>
    </row>
    <row r="300" spans="1:37" ht="15.75" customHeight="1" x14ac:dyDescent="0.25">
      <c r="A300" s="25"/>
      <c r="B300" s="29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30"/>
      <c r="AB300" s="30"/>
      <c r="AC300" s="30"/>
      <c r="AD300" s="30"/>
      <c r="AE300" s="30"/>
      <c r="AF300" s="27"/>
      <c r="AG300" s="27"/>
      <c r="AH300" s="27"/>
      <c r="AI300" s="27"/>
      <c r="AJ300" s="27"/>
      <c r="AK300" s="28"/>
    </row>
    <row r="301" spans="1:37" ht="15.75" customHeight="1" x14ac:dyDescent="0.25">
      <c r="A301" s="25"/>
      <c r="B301" s="29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30"/>
      <c r="AB301" s="30"/>
      <c r="AC301" s="30"/>
      <c r="AD301" s="30"/>
      <c r="AE301" s="30"/>
      <c r="AF301" s="27"/>
      <c r="AG301" s="27"/>
      <c r="AH301" s="27"/>
      <c r="AI301" s="27"/>
      <c r="AJ301" s="27"/>
      <c r="AK301" s="28"/>
    </row>
    <row r="302" spans="1:37" ht="15.75" customHeight="1" x14ac:dyDescent="0.25">
      <c r="A302" s="25"/>
      <c r="B302" s="29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30"/>
      <c r="AB302" s="30"/>
      <c r="AC302" s="30"/>
      <c r="AD302" s="30"/>
      <c r="AE302" s="30"/>
      <c r="AF302" s="27"/>
      <c r="AG302" s="27"/>
      <c r="AH302" s="27"/>
      <c r="AI302" s="27"/>
      <c r="AJ302" s="27"/>
      <c r="AK302" s="28"/>
    </row>
    <row r="303" spans="1:37" ht="15.75" customHeight="1" x14ac:dyDescent="0.25">
      <c r="A303" s="25"/>
      <c r="B303" s="29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30"/>
      <c r="AB303" s="30"/>
      <c r="AC303" s="30"/>
      <c r="AD303" s="30"/>
      <c r="AE303" s="30"/>
      <c r="AF303" s="27"/>
      <c r="AG303" s="27"/>
      <c r="AH303" s="27"/>
      <c r="AI303" s="27"/>
      <c r="AJ303" s="27"/>
      <c r="AK303" s="28"/>
    </row>
    <row r="304" spans="1:37" ht="15.75" customHeight="1" x14ac:dyDescent="0.25">
      <c r="A304" s="25"/>
      <c r="B304" s="29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30"/>
      <c r="AB304" s="30"/>
      <c r="AC304" s="30"/>
      <c r="AD304" s="30"/>
      <c r="AE304" s="30"/>
      <c r="AF304" s="27"/>
      <c r="AG304" s="27"/>
      <c r="AH304" s="27"/>
      <c r="AI304" s="27"/>
      <c r="AJ304" s="27"/>
      <c r="AK304" s="28"/>
    </row>
    <row r="305" spans="1:37" ht="15.75" customHeight="1" x14ac:dyDescent="0.25">
      <c r="A305" s="25"/>
      <c r="B305" s="29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30"/>
      <c r="AB305" s="30"/>
      <c r="AC305" s="30"/>
      <c r="AD305" s="30"/>
      <c r="AE305" s="30"/>
      <c r="AF305" s="27"/>
      <c r="AG305" s="27"/>
      <c r="AH305" s="27"/>
      <c r="AI305" s="27"/>
      <c r="AJ305" s="27"/>
      <c r="AK305" s="28"/>
    </row>
    <row r="306" spans="1:37" ht="15.75" customHeight="1" x14ac:dyDescent="0.25">
      <c r="A306" s="25"/>
      <c r="B306" s="29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30"/>
      <c r="AB306" s="30"/>
      <c r="AC306" s="30"/>
      <c r="AD306" s="30"/>
      <c r="AE306" s="30"/>
      <c r="AF306" s="27"/>
      <c r="AG306" s="27"/>
      <c r="AH306" s="27"/>
      <c r="AI306" s="27"/>
      <c r="AJ306" s="27"/>
      <c r="AK306" s="28"/>
    </row>
    <row r="307" spans="1:37" ht="15.75" customHeight="1" x14ac:dyDescent="0.25">
      <c r="A307" s="25"/>
      <c r="B307" s="29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30"/>
      <c r="AB307" s="30"/>
      <c r="AC307" s="30"/>
      <c r="AD307" s="30"/>
      <c r="AE307" s="30"/>
      <c r="AF307" s="27"/>
      <c r="AG307" s="27"/>
      <c r="AH307" s="27"/>
      <c r="AI307" s="27"/>
      <c r="AJ307" s="27"/>
      <c r="AK307" s="28"/>
    </row>
    <row r="308" spans="1:37" ht="15.75" customHeight="1" x14ac:dyDescent="0.25">
      <c r="A308" s="25"/>
      <c r="B308" s="29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30"/>
      <c r="AB308" s="30"/>
      <c r="AC308" s="30"/>
      <c r="AD308" s="30"/>
      <c r="AE308" s="30"/>
      <c r="AF308" s="27"/>
      <c r="AG308" s="27"/>
      <c r="AH308" s="27"/>
      <c r="AI308" s="27"/>
      <c r="AJ308" s="27"/>
      <c r="AK308" s="28"/>
    </row>
    <row r="309" spans="1:37" ht="15.75" customHeight="1" x14ac:dyDescent="0.25">
      <c r="A309" s="25"/>
      <c r="B309" s="29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30"/>
      <c r="AB309" s="30"/>
      <c r="AC309" s="30"/>
      <c r="AD309" s="30"/>
      <c r="AE309" s="30"/>
      <c r="AF309" s="27"/>
      <c r="AG309" s="27"/>
      <c r="AH309" s="27"/>
      <c r="AI309" s="27"/>
      <c r="AJ309" s="27"/>
      <c r="AK309" s="28"/>
    </row>
    <row r="310" spans="1:37" ht="15.75" customHeight="1" x14ac:dyDescent="0.25">
      <c r="A310" s="25"/>
      <c r="B310" s="29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30"/>
      <c r="AB310" s="30"/>
      <c r="AC310" s="30"/>
      <c r="AD310" s="30"/>
      <c r="AE310" s="30"/>
      <c r="AF310" s="27"/>
      <c r="AG310" s="27"/>
      <c r="AH310" s="27"/>
      <c r="AI310" s="27"/>
      <c r="AJ310" s="27"/>
      <c r="AK310" s="28"/>
    </row>
    <row r="311" spans="1:37" ht="15.75" customHeight="1" x14ac:dyDescent="0.25">
      <c r="A311" s="25"/>
      <c r="B311" s="29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30"/>
      <c r="AB311" s="30"/>
      <c r="AC311" s="30"/>
      <c r="AD311" s="30"/>
      <c r="AE311" s="30"/>
      <c r="AF311" s="27"/>
      <c r="AG311" s="27"/>
      <c r="AH311" s="27"/>
      <c r="AI311" s="27"/>
      <c r="AJ311" s="27"/>
      <c r="AK311" s="28"/>
    </row>
    <row r="312" spans="1:37" ht="15.75" customHeight="1" x14ac:dyDescent="0.25">
      <c r="A312" s="25"/>
      <c r="B312" s="29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30"/>
      <c r="AB312" s="30"/>
      <c r="AC312" s="30"/>
      <c r="AD312" s="30"/>
      <c r="AE312" s="30"/>
      <c r="AF312" s="27"/>
      <c r="AG312" s="27"/>
      <c r="AH312" s="27"/>
      <c r="AI312" s="27"/>
      <c r="AJ312" s="27"/>
      <c r="AK312" s="28"/>
    </row>
    <row r="313" spans="1:37" ht="15.75" customHeight="1" x14ac:dyDescent="0.25">
      <c r="A313" s="25"/>
      <c r="B313" s="29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30"/>
      <c r="AB313" s="30"/>
      <c r="AC313" s="30"/>
      <c r="AD313" s="30"/>
      <c r="AE313" s="30"/>
      <c r="AF313" s="27"/>
      <c r="AG313" s="27"/>
      <c r="AH313" s="27"/>
      <c r="AI313" s="27"/>
      <c r="AJ313" s="27"/>
      <c r="AK313" s="28"/>
    </row>
    <row r="314" spans="1:37" ht="15.75" customHeight="1" x14ac:dyDescent="0.25">
      <c r="A314" s="25"/>
      <c r="B314" s="29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30"/>
      <c r="AB314" s="30"/>
      <c r="AC314" s="30"/>
      <c r="AD314" s="30"/>
      <c r="AE314" s="30"/>
      <c r="AF314" s="27"/>
      <c r="AG314" s="27"/>
      <c r="AH314" s="27"/>
      <c r="AI314" s="27"/>
      <c r="AJ314" s="27"/>
      <c r="AK314" s="28"/>
    </row>
    <row r="315" spans="1:37" ht="15.75" customHeight="1" x14ac:dyDescent="0.25">
      <c r="A315" s="25"/>
      <c r="B315" s="29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30"/>
      <c r="AB315" s="30"/>
      <c r="AC315" s="30"/>
      <c r="AD315" s="30"/>
      <c r="AE315" s="30"/>
      <c r="AF315" s="27"/>
      <c r="AG315" s="27"/>
      <c r="AH315" s="27"/>
      <c r="AI315" s="27"/>
      <c r="AJ315" s="27"/>
      <c r="AK315" s="28"/>
    </row>
    <row r="316" spans="1:37" ht="15.75" customHeight="1" x14ac:dyDescent="0.25">
      <c r="A316" s="25"/>
      <c r="B316" s="29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30"/>
      <c r="AB316" s="30"/>
      <c r="AC316" s="30"/>
      <c r="AD316" s="30"/>
      <c r="AE316" s="30"/>
      <c r="AF316" s="27"/>
      <c r="AG316" s="27"/>
      <c r="AH316" s="27"/>
      <c r="AI316" s="27"/>
      <c r="AJ316" s="27"/>
      <c r="AK316" s="28"/>
    </row>
    <row r="317" spans="1:37" ht="15.75" customHeight="1" x14ac:dyDescent="0.25">
      <c r="A317" s="25"/>
      <c r="B317" s="29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30"/>
      <c r="AB317" s="30"/>
      <c r="AC317" s="30"/>
      <c r="AD317" s="30"/>
      <c r="AE317" s="30"/>
      <c r="AF317" s="27"/>
      <c r="AG317" s="27"/>
      <c r="AH317" s="27"/>
      <c r="AI317" s="27"/>
      <c r="AJ317" s="27"/>
      <c r="AK317" s="28"/>
    </row>
    <row r="318" spans="1:37" ht="15.75" customHeight="1" x14ac:dyDescent="0.25">
      <c r="A318" s="25"/>
      <c r="B318" s="29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30"/>
      <c r="AB318" s="30"/>
      <c r="AC318" s="30"/>
      <c r="AD318" s="30"/>
      <c r="AE318" s="30"/>
      <c r="AF318" s="27"/>
      <c r="AG318" s="27"/>
      <c r="AH318" s="27"/>
      <c r="AI318" s="27"/>
      <c r="AJ318" s="27"/>
      <c r="AK318" s="28"/>
    </row>
    <row r="319" spans="1:37" ht="15.75" customHeight="1" x14ac:dyDescent="0.25">
      <c r="A319" s="25"/>
      <c r="B319" s="29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30"/>
      <c r="AB319" s="30"/>
      <c r="AC319" s="30"/>
      <c r="AD319" s="30"/>
      <c r="AE319" s="30"/>
      <c r="AF319" s="27"/>
      <c r="AG319" s="27"/>
      <c r="AH319" s="27"/>
      <c r="AI319" s="27"/>
      <c r="AJ319" s="27"/>
      <c r="AK319" s="28"/>
    </row>
    <row r="320" spans="1:37" ht="15.75" customHeight="1" x14ac:dyDescent="0.25">
      <c r="A320" s="25"/>
      <c r="B320" s="29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30"/>
      <c r="AB320" s="30"/>
      <c r="AC320" s="30"/>
      <c r="AD320" s="30"/>
      <c r="AE320" s="30"/>
      <c r="AF320" s="27"/>
      <c r="AG320" s="27"/>
      <c r="AH320" s="27"/>
      <c r="AI320" s="27"/>
      <c r="AJ320" s="27"/>
      <c r="AK320" s="28"/>
    </row>
    <row r="321" spans="1:37" ht="15.75" customHeight="1" x14ac:dyDescent="0.25">
      <c r="A321" s="25"/>
      <c r="B321" s="29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30"/>
      <c r="AB321" s="30"/>
      <c r="AC321" s="30"/>
      <c r="AD321" s="30"/>
      <c r="AE321" s="30"/>
      <c r="AF321" s="27"/>
      <c r="AG321" s="27"/>
      <c r="AH321" s="27"/>
      <c r="AI321" s="27"/>
      <c r="AJ321" s="27"/>
      <c r="AK321" s="28"/>
    </row>
    <row r="322" spans="1:37" ht="15.75" customHeight="1" x14ac:dyDescent="0.25">
      <c r="A322" s="25"/>
      <c r="B322" s="29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30"/>
      <c r="AB322" s="30"/>
      <c r="AC322" s="30"/>
      <c r="AD322" s="30"/>
      <c r="AE322" s="30"/>
      <c r="AF322" s="27"/>
      <c r="AG322" s="27"/>
      <c r="AH322" s="27"/>
      <c r="AI322" s="27"/>
      <c r="AJ322" s="27"/>
      <c r="AK322" s="28"/>
    </row>
    <row r="323" spans="1:37" ht="15.75" customHeight="1" x14ac:dyDescent="0.25">
      <c r="A323" s="25"/>
      <c r="B323" s="29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30"/>
      <c r="AB323" s="30"/>
      <c r="AC323" s="30"/>
      <c r="AD323" s="30"/>
      <c r="AE323" s="30"/>
      <c r="AF323" s="27"/>
      <c r="AG323" s="27"/>
      <c r="AH323" s="27"/>
      <c r="AI323" s="27"/>
      <c r="AJ323" s="27"/>
      <c r="AK323" s="28"/>
    </row>
    <row r="324" spans="1:37" ht="15.75" customHeight="1" x14ac:dyDescent="0.25">
      <c r="A324" s="25"/>
      <c r="B324" s="29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30"/>
      <c r="AB324" s="30"/>
      <c r="AC324" s="30"/>
      <c r="AD324" s="30"/>
      <c r="AE324" s="30"/>
      <c r="AF324" s="27"/>
      <c r="AG324" s="27"/>
      <c r="AH324" s="27"/>
      <c r="AI324" s="27"/>
      <c r="AJ324" s="27"/>
      <c r="AK324" s="28"/>
    </row>
    <row r="325" spans="1:37" ht="15.75" customHeight="1" x14ac:dyDescent="0.25">
      <c r="A325" s="25"/>
      <c r="B325" s="29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30"/>
      <c r="AB325" s="30"/>
      <c r="AC325" s="30"/>
      <c r="AD325" s="30"/>
      <c r="AE325" s="30"/>
      <c r="AF325" s="27"/>
      <c r="AG325" s="27"/>
      <c r="AH325" s="27"/>
      <c r="AI325" s="27"/>
      <c r="AJ325" s="27"/>
      <c r="AK325" s="28"/>
    </row>
    <row r="326" spans="1:37" ht="15.75" customHeight="1" x14ac:dyDescent="0.25">
      <c r="A326" s="25"/>
      <c r="B326" s="29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30"/>
      <c r="AB326" s="30"/>
      <c r="AC326" s="30"/>
      <c r="AD326" s="30"/>
      <c r="AE326" s="30"/>
      <c r="AF326" s="27"/>
      <c r="AG326" s="27"/>
      <c r="AH326" s="27"/>
      <c r="AI326" s="27"/>
      <c r="AJ326" s="27"/>
      <c r="AK326" s="28"/>
    </row>
    <row r="327" spans="1:37" ht="15.75" customHeight="1" x14ac:dyDescent="0.25">
      <c r="A327" s="25"/>
      <c r="B327" s="29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30"/>
      <c r="AB327" s="30"/>
      <c r="AC327" s="30"/>
      <c r="AD327" s="30"/>
      <c r="AE327" s="30"/>
      <c r="AF327" s="27"/>
      <c r="AG327" s="27"/>
      <c r="AH327" s="27"/>
      <c r="AI327" s="27"/>
      <c r="AJ327" s="27"/>
      <c r="AK327" s="28"/>
    </row>
    <row r="328" spans="1:37" ht="15.75" customHeight="1" x14ac:dyDescent="0.25">
      <c r="A328" s="25"/>
      <c r="B328" s="29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30"/>
      <c r="AB328" s="30"/>
      <c r="AC328" s="30"/>
      <c r="AD328" s="30"/>
      <c r="AE328" s="30"/>
      <c r="AF328" s="27"/>
      <c r="AG328" s="27"/>
      <c r="AH328" s="27"/>
      <c r="AI328" s="27"/>
      <c r="AJ328" s="27"/>
      <c r="AK328" s="28"/>
    </row>
    <row r="329" spans="1:37" ht="15.75" customHeight="1" x14ac:dyDescent="0.25">
      <c r="A329" s="25"/>
      <c r="B329" s="29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30"/>
      <c r="AB329" s="30"/>
      <c r="AC329" s="30"/>
      <c r="AD329" s="30"/>
      <c r="AE329" s="30"/>
      <c r="AF329" s="27"/>
      <c r="AG329" s="27"/>
      <c r="AH329" s="27"/>
      <c r="AI329" s="27"/>
      <c r="AJ329" s="27"/>
      <c r="AK329" s="28"/>
    </row>
    <row r="330" spans="1:37" ht="15.75" customHeight="1" x14ac:dyDescent="0.25">
      <c r="A330" s="25"/>
      <c r="B330" s="29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30"/>
      <c r="AB330" s="30"/>
      <c r="AC330" s="30"/>
      <c r="AD330" s="30"/>
      <c r="AE330" s="30"/>
      <c r="AF330" s="27"/>
      <c r="AG330" s="27"/>
      <c r="AH330" s="27"/>
      <c r="AI330" s="27"/>
      <c r="AJ330" s="27"/>
      <c r="AK330" s="28"/>
    </row>
    <row r="331" spans="1:37" ht="15.75" customHeight="1" x14ac:dyDescent="0.25">
      <c r="A331" s="25"/>
      <c r="B331" s="29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30"/>
      <c r="AB331" s="30"/>
      <c r="AC331" s="30"/>
      <c r="AD331" s="30"/>
      <c r="AE331" s="30"/>
      <c r="AF331" s="27"/>
      <c r="AG331" s="27"/>
      <c r="AH331" s="27"/>
      <c r="AI331" s="27"/>
      <c r="AJ331" s="27"/>
      <c r="AK331" s="28"/>
    </row>
    <row r="332" spans="1:37" ht="15.75" customHeight="1" x14ac:dyDescent="0.25">
      <c r="A332" s="25"/>
      <c r="B332" s="29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30"/>
      <c r="AB332" s="30"/>
      <c r="AC332" s="30"/>
      <c r="AD332" s="30"/>
      <c r="AE332" s="30"/>
      <c r="AF332" s="27"/>
      <c r="AG332" s="27"/>
      <c r="AH332" s="27"/>
      <c r="AI332" s="27"/>
      <c r="AJ332" s="27"/>
      <c r="AK332" s="28"/>
    </row>
    <row r="333" spans="1:37" ht="15.75" customHeight="1" x14ac:dyDescent="0.25">
      <c r="A333" s="25"/>
      <c r="B333" s="29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30"/>
      <c r="AB333" s="30"/>
      <c r="AC333" s="30"/>
      <c r="AD333" s="30"/>
      <c r="AE333" s="30"/>
      <c r="AF333" s="27"/>
      <c r="AG333" s="27"/>
      <c r="AH333" s="27"/>
      <c r="AI333" s="27"/>
      <c r="AJ333" s="27"/>
      <c r="AK333" s="28"/>
    </row>
    <row r="334" spans="1:37" ht="15.75" customHeight="1" x14ac:dyDescent="0.25">
      <c r="A334" s="25"/>
      <c r="B334" s="29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30"/>
      <c r="AB334" s="30"/>
      <c r="AC334" s="30"/>
      <c r="AD334" s="30"/>
      <c r="AE334" s="30"/>
      <c r="AF334" s="27"/>
      <c r="AG334" s="27"/>
      <c r="AH334" s="27"/>
      <c r="AI334" s="27"/>
      <c r="AJ334" s="27"/>
      <c r="AK334" s="28"/>
    </row>
    <row r="335" spans="1:37" ht="15.75" customHeight="1" x14ac:dyDescent="0.25">
      <c r="A335" s="25"/>
      <c r="B335" s="29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30"/>
      <c r="AB335" s="30"/>
      <c r="AC335" s="30"/>
      <c r="AD335" s="30"/>
      <c r="AE335" s="30"/>
      <c r="AF335" s="27"/>
      <c r="AG335" s="27"/>
      <c r="AH335" s="27"/>
      <c r="AI335" s="27"/>
      <c r="AJ335" s="27"/>
      <c r="AK335" s="28"/>
    </row>
    <row r="336" spans="1:37" ht="15.75" customHeight="1" x14ac:dyDescent="0.25">
      <c r="A336" s="25"/>
      <c r="B336" s="29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30"/>
      <c r="AB336" s="30"/>
      <c r="AC336" s="30"/>
      <c r="AD336" s="30"/>
      <c r="AE336" s="30"/>
      <c r="AF336" s="27"/>
      <c r="AG336" s="27"/>
      <c r="AH336" s="27"/>
      <c r="AI336" s="27"/>
      <c r="AJ336" s="27"/>
      <c r="AK336" s="28"/>
    </row>
    <row r="337" spans="1:37" ht="15.75" customHeight="1" x14ac:dyDescent="0.25">
      <c r="A337" s="25"/>
      <c r="B337" s="29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30"/>
      <c r="AB337" s="30"/>
      <c r="AC337" s="30"/>
      <c r="AD337" s="30"/>
      <c r="AE337" s="30"/>
      <c r="AF337" s="27"/>
      <c r="AG337" s="27"/>
      <c r="AH337" s="27"/>
      <c r="AI337" s="27"/>
      <c r="AJ337" s="27"/>
      <c r="AK337" s="28"/>
    </row>
    <row r="338" spans="1:37" ht="15.75" customHeight="1" x14ac:dyDescent="0.25">
      <c r="A338" s="25"/>
      <c r="B338" s="29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30"/>
      <c r="AB338" s="30"/>
      <c r="AC338" s="30"/>
      <c r="AD338" s="30"/>
      <c r="AE338" s="30"/>
      <c r="AF338" s="27"/>
      <c r="AG338" s="27"/>
      <c r="AH338" s="27"/>
      <c r="AI338" s="27"/>
      <c r="AJ338" s="27"/>
      <c r="AK338" s="28"/>
    </row>
    <row r="339" spans="1:37" ht="15.75" customHeight="1" x14ac:dyDescent="0.25">
      <c r="A339" s="25"/>
      <c r="B339" s="29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30"/>
      <c r="AB339" s="30"/>
      <c r="AC339" s="30"/>
      <c r="AD339" s="30"/>
      <c r="AE339" s="30"/>
      <c r="AF339" s="27"/>
      <c r="AG339" s="27"/>
      <c r="AH339" s="27"/>
      <c r="AI339" s="27"/>
      <c r="AJ339" s="27"/>
      <c r="AK339" s="28"/>
    </row>
    <row r="340" spans="1:37" ht="15.75" customHeight="1" x14ac:dyDescent="0.25">
      <c r="A340" s="25"/>
      <c r="B340" s="29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30"/>
      <c r="AB340" s="30"/>
      <c r="AC340" s="30"/>
      <c r="AD340" s="30"/>
      <c r="AE340" s="30"/>
      <c r="AF340" s="27"/>
      <c r="AG340" s="27"/>
      <c r="AH340" s="27"/>
      <c r="AI340" s="27"/>
      <c r="AJ340" s="27"/>
      <c r="AK340" s="28"/>
    </row>
    <row r="341" spans="1:37" ht="15.75" customHeight="1" x14ac:dyDescent="0.25">
      <c r="A341" s="25"/>
      <c r="B341" s="29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30"/>
      <c r="AB341" s="30"/>
      <c r="AC341" s="30"/>
      <c r="AD341" s="30"/>
      <c r="AE341" s="30"/>
      <c r="AF341" s="27"/>
      <c r="AG341" s="27"/>
      <c r="AH341" s="27"/>
      <c r="AI341" s="27"/>
      <c r="AJ341" s="27"/>
      <c r="AK341" s="28"/>
    </row>
    <row r="342" spans="1:37" ht="15.75" customHeight="1" x14ac:dyDescent="0.25">
      <c r="A342" s="25"/>
      <c r="B342" s="29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30"/>
      <c r="AB342" s="30"/>
      <c r="AC342" s="30"/>
      <c r="AD342" s="30"/>
      <c r="AE342" s="30"/>
      <c r="AF342" s="27"/>
      <c r="AG342" s="27"/>
      <c r="AH342" s="27"/>
      <c r="AI342" s="27"/>
      <c r="AJ342" s="27"/>
      <c r="AK342" s="28"/>
    </row>
    <row r="343" spans="1:37" ht="15.75" customHeight="1" x14ac:dyDescent="0.25">
      <c r="A343" s="25"/>
      <c r="B343" s="29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30"/>
      <c r="AB343" s="30"/>
      <c r="AC343" s="30"/>
      <c r="AD343" s="30"/>
      <c r="AE343" s="30"/>
      <c r="AF343" s="27"/>
      <c r="AG343" s="27"/>
      <c r="AH343" s="27"/>
      <c r="AI343" s="27"/>
      <c r="AJ343" s="27"/>
      <c r="AK343" s="28"/>
    </row>
    <row r="344" spans="1:37" ht="15.75" customHeight="1" x14ac:dyDescent="0.25">
      <c r="A344" s="25"/>
      <c r="B344" s="29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30"/>
      <c r="AB344" s="30"/>
      <c r="AC344" s="30"/>
      <c r="AD344" s="30"/>
      <c r="AE344" s="30"/>
      <c r="AF344" s="27"/>
      <c r="AG344" s="27"/>
      <c r="AH344" s="27"/>
      <c r="AI344" s="27"/>
      <c r="AJ344" s="27"/>
      <c r="AK344" s="28"/>
    </row>
    <row r="345" spans="1:37" ht="15.75" customHeight="1" x14ac:dyDescent="0.25">
      <c r="A345" s="25"/>
      <c r="B345" s="29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30"/>
      <c r="AB345" s="30"/>
      <c r="AC345" s="30"/>
      <c r="AD345" s="30"/>
      <c r="AE345" s="30"/>
      <c r="AF345" s="27"/>
      <c r="AG345" s="27"/>
      <c r="AH345" s="27"/>
      <c r="AI345" s="27"/>
      <c r="AJ345" s="27"/>
      <c r="AK345" s="28"/>
    </row>
    <row r="346" spans="1:37" ht="15.75" customHeight="1" x14ac:dyDescent="0.25">
      <c r="A346" s="25"/>
      <c r="B346" s="29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30"/>
      <c r="AB346" s="30"/>
      <c r="AC346" s="30"/>
      <c r="AD346" s="30"/>
      <c r="AE346" s="30"/>
      <c r="AF346" s="27"/>
      <c r="AG346" s="27"/>
      <c r="AH346" s="27"/>
      <c r="AI346" s="27"/>
      <c r="AJ346" s="27"/>
      <c r="AK346" s="28"/>
    </row>
    <row r="347" spans="1:37" ht="15.75" customHeight="1" x14ac:dyDescent="0.25">
      <c r="A347" s="25"/>
      <c r="B347" s="29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30"/>
      <c r="AB347" s="30"/>
      <c r="AC347" s="30"/>
      <c r="AD347" s="30"/>
      <c r="AE347" s="30"/>
      <c r="AF347" s="27"/>
      <c r="AG347" s="27"/>
      <c r="AH347" s="27"/>
      <c r="AI347" s="27"/>
      <c r="AJ347" s="27"/>
      <c r="AK347" s="28"/>
    </row>
    <row r="348" spans="1:37" ht="15.75" customHeight="1" x14ac:dyDescent="0.25">
      <c r="A348" s="25"/>
      <c r="B348" s="29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30"/>
      <c r="AB348" s="30"/>
      <c r="AC348" s="30"/>
      <c r="AD348" s="30"/>
      <c r="AE348" s="30"/>
      <c r="AF348" s="27"/>
      <c r="AG348" s="27"/>
      <c r="AH348" s="27"/>
      <c r="AI348" s="27"/>
      <c r="AJ348" s="27"/>
      <c r="AK348" s="28"/>
    </row>
    <row r="349" spans="1:37" ht="15.75" customHeight="1" x14ac:dyDescent="0.25">
      <c r="A349" s="25"/>
      <c r="B349" s="29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30"/>
      <c r="AB349" s="30"/>
      <c r="AC349" s="30"/>
      <c r="AD349" s="30"/>
      <c r="AE349" s="30"/>
      <c r="AF349" s="27"/>
      <c r="AG349" s="27"/>
      <c r="AH349" s="27"/>
      <c r="AI349" s="27"/>
      <c r="AJ349" s="27"/>
      <c r="AK349" s="28"/>
    </row>
    <row r="350" spans="1:37" ht="15.75" customHeight="1" x14ac:dyDescent="0.25">
      <c r="A350" s="25"/>
      <c r="B350" s="29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30"/>
      <c r="AB350" s="30"/>
      <c r="AC350" s="30"/>
      <c r="AD350" s="30"/>
      <c r="AE350" s="30"/>
      <c r="AF350" s="27"/>
      <c r="AG350" s="27"/>
      <c r="AH350" s="27"/>
      <c r="AI350" s="27"/>
      <c r="AJ350" s="27"/>
      <c r="AK350" s="28"/>
    </row>
    <row r="351" spans="1:37" ht="15.75" customHeight="1" x14ac:dyDescent="0.25">
      <c r="A351" s="25"/>
      <c r="B351" s="29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30"/>
      <c r="AB351" s="30"/>
      <c r="AC351" s="30"/>
      <c r="AD351" s="30"/>
      <c r="AE351" s="30"/>
      <c r="AF351" s="27"/>
      <c r="AG351" s="27"/>
      <c r="AH351" s="27"/>
      <c r="AI351" s="27"/>
      <c r="AJ351" s="27"/>
      <c r="AK351" s="28"/>
    </row>
    <row r="352" spans="1:37" ht="15.75" customHeight="1" x14ac:dyDescent="0.25">
      <c r="A352" s="25"/>
      <c r="B352" s="29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30"/>
      <c r="AB352" s="30"/>
      <c r="AC352" s="30"/>
      <c r="AD352" s="30"/>
      <c r="AE352" s="30"/>
      <c r="AF352" s="27"/>
      <c r="AG352" s="27"/>
      <c r="AH352" s="27"/>
      <c r="AI352" s="27"/>
      <c r="AJ352" s="27"/>
      <c r="AK352" s="28"/>
    </row>
    <row r="353" spans="1:37" ht="15.75" customHeight="1" x14ac:dyDescent="0.25">
      <c r="A353" s="25"/>
      <c r="B353" s="29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30"/>
      <c r="AB353" s="30"/>
      <c r="AC353" s="30"/>
      <c r="AD353" s="30"/>
      <c r="AE353" s="30"/>
      <c r="AF353" s="27"/>
      <c r="AG353" s="27"/>
      <c r="AH353" s="27"/>
      <c r="AI353" s="27"/>
      <c r="AJ353" s="27"/>
      <c r="AK353" s="28"/>
    </row>
    <row r="354" spans="1:37" ht="15.75" customHeight="1" x14ac:dyDescent="0.25">
      <c r="A354" s="25"/>
      <c r="B354" s="29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30"/>
      <c r="AB354" s="30"/>
      <c r="AC354" s="30"/>
      <c r="AD354" s="30"/>
      <c r="AE354" s="30"/>
      <c r="AF354" s="27"/>
      <c r="AG354" s="27"/>
      <c r="AH354" s="27"/>
      <c r="AI354" s="27"/>
      <c r="AJ354" s="27"/>
      <c r="AK354" s="28"/>
    </row>
    <row r="355" spans="1:37" ht="15.75" customHeight="1" x14ac:dyDescent="0.25">
      <c r="A355" s="25"/>
      <c r="B355" s="29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30"/>
      <c r="AB355" s="30"/>
      <c r="AC355" s="30"/>
      <c r="AD355" s="30"/>
      <c r="AE355" s="30"/>
      <c r="AF355" s="27"/>
      <c r="AG355" s="27"/>
      <c r="AH355" s="27"/>
      <c r="AI355" s="27"/>
      <c r="AJ355" s="27"/>
      <c r="AK355" s="28"/>
    </row>
    <row r="356" spans="1:37" ht="15.75" customHeight="1" x14ac:dyDescent="0.25">
      <c r="A356" s="25"/>
      <c r="B356" s="29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30"/>
      <c r="AB356" s="30"/>
      <c r="AC356" s="30"/>
      <c r="AD356" s="30"/>
      <c r="AE356" s="30"/>
      <c r="AF356" s="27"/>
      <c r="AG356" s="27"/>
      <c r="AH356" s="27"/>
      <c r="AI356" s="27"/>
      <c r="AJ356" s="27"/>
      <c r="AK356" s="28"/>
    </row>
    <row r="357" spans="1:37" ht="15.75" customHeight="1" x14ac:dyDescent="0.25">
      <c r="A357" s="25"/>
      <c r="B357" s="29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30"/>
      <c r="AB357" s="30"/>
      <c r="AC357" s="30"/>
      <c r="AD357" s="30"/>
      <c r="AE357" s="30"/>
      <c r="AF357" s="27"/>
      <c r="AG357" s="27"/>
      <c r="AH357" s="27"/>
      <c r="AI357" s="27"/>
      <c r="AJ357" s="27"/>
      <c r="AK357" s="28"/>
    </row>
    <row r="358" spans="1:37" ht="15.75" customHeight="1" x14ac:dyDescent="0.25">
      <c r="A358" s="25"/>
      <c r="B358" s="29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30"/>
      <c r="AB358" s="30"/>
      <c r="AC358" s="30"/>
      <c r="AD358" s="30"/>
      <c r="AE358" s="30"/>
      <c r="AF358" s="27"/>
      <c r="AG358" s="27"/>
      <c r="AH358" s="27"/>
      <c r="AI358" s="27"/>
      <c r="AJ358" s="27"/>
      <c r="AK358" s="28"/>
    </row>
    <row r="359" spans="1:37" ht="15.75" customHeight="1" x14ac:dyDescent="0.25">
      <c r="A359" s="25"/>
      <c r="B359" s="29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30"/>
      <c r="AB359" s="30"/>
      <c r="AC359" s="30"/>
      <c r="AD359" s="30"/>
      <c r="AE359" s="30"/>
      <c r="AF359" s="27"/>
      <c r="AG359" s="27"/>
      <c r="AH359" s="27"/>
      <c r="AI359" s="27"/>
      <c r="AJ359" s="27"/>
      <c r="AK359" s="28"/>
    </row>
    <row r="360" spans="1:37" ht="15.75" customHeight="1" x14ac:dyDescent="0.25">
      <c r="A360" s="25"/>
      <c r="B360" s="29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30"/>
      <c r="AB360" s="30"/>
      <c r="AC360" s="30"/>
      <c r="AD360" s="30"/>
      <c r="AE360" s="30"/>
      <c r="AF360" s="27"/>
      <c r="AG360" s="27"/>
      <c r="AH360" s="27"/>
      <c r="AI360" s="27"/>
      <c r="AJ360" s="27"/>
      <c r="AK360" s="28"/>
    </row>
    <row r="361" spans="1:37" ht="15.75" customHeight="1" x14ac:dyDescent="0.25">
      <c r="A361" s="25"/>
      <c r="B361" s="29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30"/>
      <c r="AB361" s="30"/>
      <c r="AC361" s="30"/>
      <c r="AD361" s="30"/>
      <c r="AE361" s="30"/>
      <c r="AF361" s="27"/>
      <c r="AG361" s="27"/>
      <c r="AH361" s="27"/>
      <c r="AI361" s="27"/>
      <c r="AJ361" s="27"/>
      <c r="AK361" s="28"/>
    </row>
    <row r="362" spans="1:37" ht="15.75" customHeight="1" x14ac:dyDescent="0.25">
      <c r="A362" s="25"/>
      <c r="B362" s="29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30"/>
      <c r="AB362" s="30"/>
      <c r="AC362" s="30"/>
      <c r="AD362" s="30"/>
      <c r="AE362" s="30"/>
      <c r="AF362" s="27"/>
      <c r="AG362" s="27"/>
      <c r="AH362" s="27"/>
      <c r="AI362" s="27"/>
      <c r="AJ362" s="27"/>
      <c r="AK362" s="28"/>
    </row>
    <row r="363" spans="1:37" ht="15.75" customHeight="1" x14ac:dyDescent="0.25">
      <c r="A363" s="25"/>
      <c r="B363" s="29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30"/>
      <c r="AB363" s="30"/>
      <c r="AC363" s="30"/>
      <c r="AD363" s="30"/>
      <c r="AE363" s="30"/>
      <c r="AF363" s="27"/>
      <c r="AG363" s="27"/>
      <c r="AH363" s="27"/>
      <c r="AI363" s="27"/>
      <c r="AJ363" s="27"/>
      <c r="AK363" s="28"/>
    </row>
    <row r="364" spans="1:37" ht="15.75" customHeight="1" x14ac:dyDescent="0.25">
      <c r="A364" s="25"/>
      <c r="B364" s="29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30"/>
      <c r="AB364" s="30"/>
      <c r="AC364" s="30"/>
      <c r="AD364" s="30"/>
      <c r="AE364" s="30"/>
      <c r="AF364" s="27"/>
      <c r="AG364" s="27"/>
      <c r="AH364" s="27"/>
      <c r="AI364" s="27"/>
      <c r="AJ364" s="27"/>
      <c r="AK364" s="28"/>
    </row>
    <row r="365" spans="1:37" ht="15.75" customHeight="1" x14ac:dyDescent="0.25">
      <c r="A365" s="25"/>
      <c r="B365" s="29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30"/>
      <c r="AB365" s="30"/>
      <c r="AC365" s="30"/>
      <c r="AD365" s="30"/>
      <c r="AE365" s="30"/>
      <c r="AF365" s="27"/>
      <c r="AG365" s="27"/>
      <c r="AH365" s="27"/>
      <c r="AI365" s="27"/>
      <c r="AJ365" s="27"/>
      <c r="AK365" s="28"/>
    </row>
    <row r="366" spans="1:37" ht="15.75" customHeight="1" x14ac:dyDescent="0.25">
      <c r="A366" s="25"/>
      <c r="B366" s="29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30"/>
      <c r="AB366" s="30"/>
      <c r="AC366" s="30"/>
      <c r="AD366" s="30"/>
      <c r="AE366" s="30"/>
      <c r="AF366" s="27"/>
      <c r="AG366" s="27"/>
      <c r="AH366" s="27"/>
      <c r="AI366" s="27"/>
      <c r="AJ366" s="27"/>
      <c r="AK366" s="28"/>
    </row>
    <row r="367" spans="1:37" ht="15.75" customHeight="1" x14ac:dyDescent="0.25">
      <c r="A367" s="25"/>
      <c r="B367" s="29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30"/>
      <c r="AB367" s="30"/>
      <c r="AC367" s="30"/>
      <c r="AD367" s="30"/>
      <c r="AE367" s="30"/>
      <c r="AF367" s="27"/>
      <c r="AG367" s="27"/>
      <c r="AH367" s="27"/>
      <c r="AI367" s="27"/>
      <c r="AJ367" s="27"/>
      <c r="AK367" s="28"/>
    </row>
    <row r="368" spans="1:37" ht="15.75" customHeight="1" x14ac:dyDescent="0.25">
      <c r="A368" s="25"/>
      <c r="B368" s="29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30"/>
      <c r="AB368" s="30"/>
      <c r="AC368" s="30"/>
      <c r="AD368" s="30"/>
      <c r="AE368" s="30"/>
      <c r="AF368" s="27"/>
      <c r="AG368" s="27"/>
      <c r="AH368" s="27"/>
      <c r="AI368" s="27"/>
      <c r="AJ368" s="27"/>
      <c r="AK368" s="28"/>
    </row>
    <row r="369" spans="1:37" ht="15.75" customHeight="1" x14ac:dyDescent="0.25">
      <c r="A369" s="25"/>
      <c r="B369" s="29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30"/>
      <c r="AB369" s="30"/>
      <c r="AC369" s="30"/>
      <c r="AD369" s="30"/>
      <c r="AE369" s="30"/>
      <c r="AF369" s="27"/>
      <c r="AG369" s="27"/>
      <c r="AH369" s="27"/>
      <c r="AI369" s="27"/>
      <c r="AJ369" s="27"/>
      <c r="AK369" s="28"/>
    </row>
    <row r="370" spans="1:37" ht="15.75" customHeight="1" x14ac:dyDescent="0.25">
      <c r="A370" s="25"/>
      <c r="B370" s="29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30"/>
      <c r="AB370" s="30"/>
      <c r="AC370" s="30"/>
      <c r="AD370" s="30"/>
      <c r="AE370" s="30"/>
      <c r="AF370" s="27"/>
      <c r="AG370" s="27"/>
      <c r="AH370" s="27"/>
      <c r="AI370" s="27"/>
      <c r="AJ370" s="27"/>
      <c r="AK370" s="28"/>
    </row>
    <row r="371" spans="1:37" ht="15.75" customHeight="1" x14ac:dyDescent="0.25">
      <c r="A371" s="25"/>
      <c r="B371" s="29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30"/>
      <c r="AB371" s="30"/>
      <c r="AC371" s="30"/>
      <c r="AD371" s="30"/>
      <c r="AE371" s="30"/>
      <c r="AF371" s="27"/>
      <c r="AG371" s="27"/>
      <c r="AH371" s="27"/>
      <c r="AI371" s="27"/>
      <c r="AJ371" s="27"/>
      <c r="AK371" s="28"/>
    </row>
    <row r="372" spans="1:37" ht="15.75" customHeight="1" x14ac:dyDescent="0.25">
      <c r="A372" s="25"/>
      <c r="B372" s="29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30"/>
      <c r="AB372" s="30"/>
      <c r="AC372" s="30"/>
      <c r="AD372" s="30"/>
      <c r="AE372" s="30"/>
      <c r="AF372" s="27"/>
      <c r="AG372" s="27"/>
      <c r="AH372" s="27"/>
      <c r="AI372" s="27"/>
      <c r="AJ372" s="27"/>
      <c r="AK372" s="28"/>
    </row>
    <row r="373" spans="1:37" ht="15.75" customHeight="1" x14ac:dyDescent="0.25">
      <c r="A373" s="25"/>
      <c r="B373" s="29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30"/>
      <c r="AB373" s="30"/>
      <c r="AC373" s="30"/>
      <c r="AD373" s="30"/>
      <c r="AE373" s="30"/>
      <c r="AF373" s="27"/>
      <c r="AG373" s="27"/>
      <c r="AH373" s="27"/>
      <c r="AI373" s="27"/>
      <c r="AJ373" s="27"/>
      <c r="AK373" s="28"/>
    </row>
    <row r="374" spans="1:37" ht="15.75" customHeight="1" x14ac:dyDescent="0.25">
      <c r="A374" s="25"/>
      <c r="B374" s="29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30"/>
      <c r="AB374" s="30"/>
      <c r="AC374" s="30"/>
      <c r="AD374" s="30"/>
      <c r="AE374" s="30"/>
      <c r="AF374" s="27"/>
      <c r="AG374" s="27"/>
      <c r="AH374" s="27"/>
      <c r="AI374" s="27"/>
      <c r="AJ374" s="27"/>
      <c r="AK374" s="28"/>
    </row>
    <row r="375" spans="1:37" ht="15.75" customHeight="1" x14ac:dyDescent="0.25">
      <c r="A375" s="25"/>
      <c r="B375" s="29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30"/>
      <c r="AB375" s="30"/>
      <c r="AC375" s="30"/>
      <c r="AD375" s="30"/>
      <c r="AE375" s="30"/>
      <c r="AF375" s="27"/>
      <c r="AG375" s="27"/>
      <c r="AH375" s="27"/>
      <c r="AI375" s="27"/>
      <c r="AJ375" s="27"/>
      <c r="AK375" s="28"/>
    </row>
    <row r="376" spans="1:37" ht="15.75" customHeight="1" x14ac:dyDescent="0.25">
      <c r="A376" s="25"/>
      <c r="B376" s="29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30"/>
      <c r="AB376" s="30"/>
      <c r="AC376" s="30"/>
      <c r="AD376" s="30"/>
      <c r="AE376" s="30"/>
      <c r="AF376" s="27"/>
      <c r="AG376" s="27"/>
      <c r="AH376" s="27"/>
      <c r="AI376" s="27"/>
      <c r="AJ376" s="27"/>
      <c r="AK376" s="28"/>
    </row>
    <row r="377" spans="1:37" ht="15.75" customHeight="1" x14ac:dyDescent="0.25">
      <c r="A377" s="25"/>
      <c r="B377" s="29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30"/>
      <c r="AB377" s="30"/>
      <c r="AC377" s="30"/>
      <c r="AD377" s="30"/>
      <c r="AE377" s="30"/>
      <c r="AF377" s="27"/>
      <c r="AG377" s="27"/>
      <c r="AH377" s="27"/>
      <c r="AI377" s="27"/>
      <c r="AJ377" s="27"/>
      <c r="AK377" s="28"/>
    </row>
    <row r="378" spans="1:37" ht="15.75" customHeight="1" x14ac:dyDescent="0.25">
      <c r="A378" s="25"/>
      <c r="B378" s="29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30"/>
      <c r="AB378" s="30"/>
      <c r="AC378" s="30"/>
      <c r="AD378" s="30"/>
      <c r="AE378" s="30"/>
      <c r="AF378" s="27"/>
      <c r="AG378" s="27"/>
      <c r="AH378" s="27"/>
      <c r="AI378" s="27"/>
      <c r="AJ378" s="27"/>
      <c r="AK378" s="28"/>
    </row>
    <row r="379" spans="1:37" ht="15.75" customHeight="1" x14ac:dyDescent="0.25">
      <c r="A379" s="25"/>
      <c r="B379" s="29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30"/>
      <c r="AB379" s="30"/>
      <c r="AC379" s="30"/>
      <c r="AD379" s="30"/>
      <c r="AE379" s="30"/>
      <c r="AF379" s="27"/>
      <c r="AG379" s="27"/>
      <c r="AH379" s="27"/>
      <c r="AI379" s="27"/>
      <c r="AJ379" s="27"/>
      <c r="AK379" s="28"/>
    </row>
    <row r="380" spans="1:37" ht="15.75" customHeight="1" x14ac:dyDescent="0.25">
      <c r="A380" s="25"/>
      <c r="B380" s="29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30"/>
      <c r="AB380" s="30"/>
      <c r="AC380" s="30"/>
      <c r="AD380" s="30"/>
      <c r="AE380" s="30"/>
      <c r="AF380" s="27"/>
      <c r="AG380" s="27"/>
      <c r="AH380" s="27"/>
      <c r="AI380" s="27"/>
      <c r="AJ380" s="27"/>
      <c r="AK380" s="28"/>
    </row>
    <row r="381" spans="1:37" ht="15.75" customHeight="1" x14ac:dyDescent="0.25">
      <c r="A381" s="25"/>
      <c r="B381" s="29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30"/>
      <c r="AB381" s="30"/>
      <c r="AC381" s="30"/>
      <c r="AD381" s="30"/>
      <c r="AE381" s="30"/>
      <c r="AF381" s="27"/>
      <c r="AG381" s="27"/>
      <c r="AH381" s="27"/>
      <c r="AI381" s="27"/>
      <c r="AJ381" s="27"/>
      <c r="AK381" s="28"/>
    </row>
    <row r="382" spans="1:37" ht="15.75" customHeight="1" x14ac:dyDescent="0.25">
      <c r="A382" s="25"/>
      <c r="B382" s="29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30"/>
      <c r="AB382" s="30"/>
      <c r="AC382" s="30"/>
      <c r="AD382" s="30"/>
      <c r="AE382" s="30"/>
      <c r="AF382" s="27"/>
      <c r="AG382" s="27"/>
      <c r="AH382" s="27"/>
      <c r="AI382" s="27"/>
      <c r="AJ382" s="27"/>
      <c r="AK382" s="28"/>
    </row>
    <row r="383" spans="1:37" ht="15.75" customHeight="1" x14ac:dyDescent="0.25">
      <c r="A383" s="25"/>
      <c r="B383" s="29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30"/>
      <c r="AB383" s="30"/>
      <c r="AC383" s="30"/>
      <c r="AD383" s="30"/>
      <c r="AE383" s="30"/>
      <c r="AF383" s="27"/>
      <c r="AG383" s="27"/>
      <c r="AH383" s="27"/>
      <c r="AI383" s="27"/>
      <c r="AJ383" s="27"/>
      <c r="AK383" s="28"/>
    </row>
    <row r="384" spans="1:37" ht="15.75" customHeight="1" x14ac:dyDescent="0.25">
      <c r="A384" s="25"/>
      <c r="B384" s="29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30"/>
      <c r="AB384" s="30"/>
      <c r="AC384" s="30"/>
      <c r="AD384" s="30"/>
      <c r="AE384" s="30"/>
      <c r="AF384" s="27"/>
      <c r="AG384" s="27"/>
      <c r="AH384" s="27"/>
      <c r="AI384" s="27"/>
      <c r="AJ384" s="27"/>
      <c r="AK384" s="28"/>
    </row>
    <row r="385" spans="1:37" ht="15.75" customHeight="1" x14ac:dyDescent="0.25">
      <c r="A385" s="25"/>
      <c r="B385" s="29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30"/>
      <c r="AB385" s="30"/>
      <c r="AC385" s="30"/>
      <c r="AD385" s="30"/>
      <c r="AE385" s="30"/>
      <c r="AF385" s="27"/>
      <c r="AG385" s="27"/>
      <c r="AH385" s="27"/>
      <c r="AI385" s="27"/>
      <c r="AJ385" s="27"/>
      <c r="AK385" s="28"/>
    </row>
    <row r="386" spans="1:37" ht="15.75" customHeight="1" x14ac:dyDescent="0.25">
      <c r="A386" s="25"/>
      <c r="B386" s="29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30"/>
      <c r="AB386" s="30"/>
      <c r="AC386" s="30"/>
      <c r="AD386" s="30"/>
      <c r="AE386" s="30"/>
      <c r="AF386" s="27"/>
      <c r="AG386" s="27"/>
      <c r="AH386" s="27"/>
      <c r="AI386" s="27"/>
      <c r="AJ386" s="27"/>
      <c r="AK386" s="28"/>
    </row>
    <row r="387" spans="1:37" ht="15.75" customHeight="1" x14ac:dyDescent="0.25">
      <c r="A387" s="25"/>
      <c r="B387" s="29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30"/>
      <c r="AB387" s="30"/>
      <c r="AC387" s="30"/>
      <c r="AD387" s="30"/>
      <c r="AE387" s="30"/>
      <c r="AF387" s="27"/>
      <c r="AG387" s="27"/>
      <c r="AH387" s="27"/>
      <c r="AI387" s="27"/>
      <c r="AJ387" s="27"/>
      <c r="AK387" s="28"/>
    </row>
    <row r="388" spans="1:37" ht="15.75" customHeight="1" x14ac:dyDescent="0.25">
      <c r="A388" s="25"/>
      <c r="B388" s="29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30"/>
      <c r="AB388" s="30"/>
      <c r="AC388" s="30"/>
      <c r="AD388" s="30"/>
      <c r="AE388" s="30"/>
      <c r="AF388" s="27"/>
      <c r="AG388" s="27"/>
      <c r="AH388" s="27"/>
      <c r="AI388" s="27"/>
      <c r="AJ388" s="27"/>
      <c r="AK388" s="28"/>
    </row>
    <row r="389" spans="1:37" ht="15.75" customHeight="1" x14ac:dyDescent="0.25">
      <c r="A389" s="25"/>
      <c r="B389" s="29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30"/>
      <c r="AB389" s="30"/>
      <c r="AC389" s="30"/>
      <c r="AD389" s="30"/>
      <c r="AE389" s="30"/>
      <c r="AF389" s="27"/>
      <c r="AG389" s="27"/>
      <c r="AH389" s="27"/>
      <c r="AI389" s="27"/>
      <c r="AJ389" s="27"/>
      <c r="AK389" s="28"/>
    </row>
    <row r="390" spans="1:37" ht="15.75" customHeight="1" x14ac:dyDescent="0.25">
      <c r="A390" s="25"/>
      <c r="B390" s="29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30"/>
      <c r="AB390" s="30"/>
      <c r="AC390" s="30"/>
      <c r="AD390" s="30"/>
      <c r="AE390" s="30"/>
      <c r="AF390" s="27"/>
      <c r="AG390" s="27"/>
      <c r="AH390" s="27"/>
      <c r="AI390" s="27"/>
      <c r="AJ390" s="27"/>
      <c r="AK390" s="28"/>
    </row>
    <row r="391" spans="1:37" ht="15.75" customHeight="1" x14ac:dyDescent="0.25">
      <c r="A391" s="25"/>
      <c r="B391" s="29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30"/>
      <c r="AB391" s="30"/>
      <c r="AC391" s="30"/>
      <c r="AD391" s="30"/>
      <c r="AE391" s="30"/>
      <c r="AF391" s="27"/>
      <c r="AG391" s="27"/>
      <c r="AH391" s="27"/>
      <c r="AI391" s="27"/>
      <c r="AJ391" s="27"/>
      <c r="AK391" s="28"/>
    </row>
    <row r="392" spans="1:37" ht="15.75" customHeight="1" x14ac:dyDescent="0.25">
      <c r="A392" s="25"/>
      <c r="B392" s="29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30"/>
      <c r="AB392" s="30"/>
      <c r="AC392" s="30"/>
      <c r="AD392" s="30"/>
      <c r="AE392" s="30"/>
      <c r="AF392" s="27"/>
      <c r="AG392" s="27"/>
      <c r="AH392" s="27"/>
      <c r="AI392" s="27"/>
      <c r="AJ392" s="27"/>
      <c r="AK392" s="28"/>
    </row>
    <row r="393" spans="1:37" ht="15.75" customHeight="1" x14ac:dyDescent="0.25">
      <c r="A393" s="25"/>
      <c r="B393" s="29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30"/>
      <c r="AB393" s="30"/>
      <c r="AC393" s="30"/>
      <c r="AD393" s="30"/>
      <c r="AE393" s="30"/>
      <c r="AF393" s="27"/>
      <c r="AG393" s="27"/>
      <c r="AH393" s="27"/>
      <c r="AI393" s="27"/>
      <c r="AJ393" s="27"/>
      <c r="AK393" s="28"/>
    </row>
    <row r="394" spans="1:37" ht="15.75" customHeight="1" x14ac:dyDescent="0.25">
      <c r="A394" s="25"/>
      <c r="B394" s="29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30"/>
      <c r="AB394" s="30"/>
      <c r="AC394" s="30"/>
      <c r="AD394" s="30"/>
      <c r="AE394" s="30"/>
      <c r="AF394" s="27"/>
      <c r="AG394" s="27"/>
      <c r="AH394" s="27"/>
      <c r="AI394" s="27"/>
      <c r="AJ394" s="27"/>
      <c r="AK394" s="28"/>
    </row>
    <row r="395" spans="1:37" ht="15.75" customHeight="1" x14ac:dyDescent="0.25">
      <c r="A395" s="25"/>
      <c r="B395" s="29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30"/>
      <c r="AB395" s="30"/>
      <c r="AC395" s="30"/>
      <c r="AD395" s="30"/>
      <c r="AE395" s="30"/>
      <c r="AF395" s="27"/>
      <c r="AG395" s="27"/>
      <c r="AH395" s="27"/>
      <c r="AI395" s="27"/>
      <c r="AJ395" s="27"/>
      <c r="AK395" s="28"/>
    </row>
    <row r="396" spans="1:37" ht="15.75" customHeight="1" x14ac:dyDescent="0.25">
      <c r="A396" s="25"/>
      <c r="B396" s="29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30"/>
      <c r="AB396" s="30"/>
      <c r="AC396" s="30"/>
      <c r="AD396" s="30"/>
      <c r="AE396" s="30"/>
      <c r="AF396" s="27"/>
      <c r="AG396" s="27"/>
      <c r="AH396" s="27"/>
      <c r="AI396" s="27"/>
      <c r="AJ396" s="27"/>
      <c r="AK396" s="28"/>
    </row>
    <row r="397" spans="1:37" ht="15.75" customHeight="1" x14ac:dyDescent="0.25">
      <c r="A397" s="25"/>
      <c r="B397" s="29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30"/>
      <c r="AB397" s="30"/>
      <c r="AC397" s="30"/>
      <c r="AD397" s="30"/>
      <c r="AE397" s="30"/>
      <c r="AF397" s="27"/>
      <c r="AG397" s="27"/>
      <c r="AH397" s="27"/>
      <c r="AI397" s="27"/>
      <c r="AJ397" s="27"/>
      <c r="AK397" s="28"/>
    </row>
    <row r="398" spans="1:37" ht="15.75" customHeight="1" x14ac:dyDescent="0.25">
      <c r="A398" s="25"/>
      <c r="B398" s="29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30"/>
      <c r="AB398" s="30"/>
      <c r="AC398" s="30"/>
      <c r="AD398" s="30"/>
      <c r="AE398" s="30"/>
      <c r="AF398" s="27"/>
      <c r="AG398" s="27"/>
      <c r="AH398" s="27"/>
      <c r="AI398" s="27"/>
      <c r="AJ398" s="27"/>
      <c r="AK398" s="28"/>
    </row>
    <row r="399" spans="1:37" ht="15.75" customHeight="1" x14ac:dyDescent="0.25">
      <c r="A399" s="25"/>
      <c r="B399" s="29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30"/>
      <c r="AB399" s="30"/>
      <c r="AC399" s="30"/>
      <c r="AD399" s="30"/>
      <c r="AE399" s="30"/>
      <c r="AF399" s="27"/>
      <c r="AG399" s="27"/>
      <c r="AH399" s="27"/>
      <c r="AI399" s="27"/>
      <c r="AJ399" s="27"/>
      <c r="AK399" s="28"/>
    </row>
    <row r="400" spans="1:37" ht="15.75" customHeight="1" x14ac:dyDescent="0.25">
      <c r="A400" s="25"/>
      <c r="B400" s="29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30"/>
      <c r="AB400" s="30"/>
      <c r="AC400" s="30"/>
      <c r="AD400" s="30"/>
      <c r="AE400" s="30"/>
      <c r="AF400" s="27"/>
      <c r="AG400" s="27"/>
      <c r="AH400" s="27"/>
      <c r="AI400" s="27"/>
      <c r="AJ400" s="27"/>
      <c r="AK400" s="28"/>
    </row>
    <row r="401" spans="1:37" ht="15.75" customHeight="1" x14ac:dyDescent="0.25">
      <c r="A401" s="25"/>
      <c r="B401" s="29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30"/>
      <c r="AB401" s="30"/>
      <c r="AC401" s="30"/>
      <c r="AD401" s="30"/>
      <c r="AE401" s="30"/>
      <c r="AF401" s="27"/>
      <c r="AG401" s="27"/>
      <c r="AH401" s="27"/>
      <c r="AI401" s="27"/>
      <c r="AJ401" s="27"/>
      <c r="AK401" s="28"/>
    </row>
    <row r="402" spans="1:37" ht="15.75" customHeight="1" x14ac:dyDescent="0.25">
      <c r="A402" s="25"/>
      <c r="B402" s="29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30"/>
      <c r="AB402" s="30"/>
      <c r="AC402" s="30"/>
      <c r="AD402" s="30"/>
      <c r="AE402" s="30"/>
      <c r="AF402" s="27"/>
      <c r="AG402" s="27"/>
      <c r="AH402" s="27"/>
      <c r="AI402" s="27"/>
      <c r="AJ402" s="27"/>
      <c r="AK402" s="28"/>
    </row>
    <row r="403" spans="1:37" ht="15.75" customHeight="1" x14ac:dyDescent="0.25">
      <c r="A403" s="25"/>
      <c r="B403" s="29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30"/>
      <c r="AB403" s="30"/>
      <c r="AC403" s="30"/>
      <c r="AD403" s="30"/>
      <c r="AE403" s="30"/>
      <c r="AF403" s="27"/>
      <c r="AG403" s="27"/>
      <c r="AH403" s="27"/>
      <c r="AI403" s="27"/>
      <c r="AJ403" s="27"/>
      <c r="AK403" s="28"/>
    </row>
    <row r="404" spans="1:37" ht="15.75" customHeight="1" x14ac:dyDescent="0.25">
      <c r="A404" s="25"/>
      <c r="B404" s="29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30"/>
      <c r="AB404" s="30"/>
      <c r="AC404" s="30"/>
      <c r="AD404" s="30"/>
      <c r="AE404" s="30"/>
      <c r="AF404" s="27"/>
      <c r="AG404" s="27"/>
      <c r="AH404" s="27"/>
      <c r="AI404" s="27"/>
      <c r="AJ404" s="27"/>
      <c r="AK404" s="28"/>
    </row>
    <row r="405" spans="1:37" ht="15.75" customHeight="1" x14ac:dyDescent="0.25">
      <c r="A405" s="25"/>
      <c r="B405" s="29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30"/>
      <c r="AB405" s="30"/>
      <c r="AC405" s="30"/>
      <c r="AD405" s="30"/>
      <c r="AE405" s="30"/>
      <c r="AF405" s="27"/>
      <c r="AG405" s="27"/>
      <c r="AH405" s="27"/>
      <c r="AI405" s="27"/>
      <c r="AJ405" s="27"/>
      <c r="AK405" s="28"/>
    </row>
    <row r="406" spans="1:37" ht="15.75" customHeight="1" x14ac:dyDescent="0.25">
      <c r="A406" s="25"/>
      <c r="B406" s="29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30"/>
      <c r="AB406" s="30"/>
      <c r="AC406" s="30"/>
      <c r="AD406" s="30"/>
      <c r="AE406" s="30"/>
      <c r="AF406" s="27"/>
      <c r="AG406" s="27"/>
      <c r="AH406" s="27"/>
      <c r="AI406" s="27"/>
      <c r="AJ406" s="27"/>
      <c r="AK406" s="28"/>
    </row>
    <row r="407" spans="1:37" ht="15.75" customHeight="1" x14ac:dyDescent="0.25">
      <c r="A407" s="25"/>
      <c r="B407" s="29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30"/>
      <c r="AB407" s="30"/>
      <c r="AC407" s="30"/>
      <c r="AD407" s="30"/>
      <c r="AE407" s="30"/>
      <c r="AF407" s="27"/>
      <c r="AG407" s="27"/>
      <c r="AH407" s="27"/>
      <c r="AI407" s="27"/>
      <c r="AJ407" s="27"/>
      <c r="AK407" s="28"/>
    </row>
    <row r="408" spans="1:37" ht="15.75" customHeight="1" x14ac:dyDescent="0.25">
      <c r="A408" s="25"/>
      <c r="B408" s="29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30"/>
      <c r="AB408" s="30"/>
      <c r="AC408" s="30"/>
      <c r="AD408" s="30"/>
      <c r="AE408" s="30"/>
      <c r="AF408" s="27"/>
      <c r="AG408" s="27"/>
      <c r="AH408" s="27"/>
      <c r="AI408" s="27"/>
      <c r="AJ408" s="27"/>
      <c r="AK408" s="28"/>
    </row>
    <row r="409" spans="1:37" ht="15.75" customHeight="1" x14ac:dyDescent="0.25">
      <c r="A409" s="25"/>
      <c r="B409" s="29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30"/>
      <c r="AB409" s="30"/>
      <c r="AC409" s="30"/>
      <c r="AD409" s="30"/>
      <c r="AE409" s="30"/>
      <c r="AF409" s="27"/>
      <c r="AG409" s="27"/>
      <c r="AH409" s="27"/>
      <c r="AI409" s="27"/>
      <c r="AJ409" s="27"/>
      <c r="AK409" s="28"/>
    </row>
    <row r="410" spans="1:37" ht="15.75" customHeight="1" x14ac:dyDescent="0.25">
      <c r="A410" s="25"/>
      <c r="B410" s="29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30"/>
      <c r="AB410" s="30"/>
      <c r="AC410" s="30"/>
      <c r="AD410" s="30"/>
      <c r="AE410" s="30"/>
      <c r="AF410" s="27"/>
      <c r="AG410" s="27"/>
      <c r="AH410" s="27"/>
      <c r="AI410" s="27"/>
      <c r="AJ410" s="27"/>
      <c r="AK410" s="28"/>
    </row>
    <row r="411" spans="1:37" ht="15.75" customHeight="1" x14ac:dyDescent="0.25">
      <c r="A411" s="25"/>
      <c r="B411" s="29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30"/>
      <c r="AB411" s="30"/>
      <c r="AC411" s="30"/>
      <c r="AD411" s="30"/>
      <c r="AE411" s="30"/>
      <c r="AF411" s="27"/>
      <c r="AG411" s="27"/>
      <c r="AH411" s="27"/>
      <c r="AI411" s="27"/>
      <c r="AJ411" s="27"/>
      <c r="AK411" s="28"/>
    </row>
    <row r="412" spans="1:37" ht="15.75" customHeight="1" x14ac:dyDescent="0.25">
      <c r="A412" s="25"/>
      <c r="B412" s="29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30"/>
      <c r="AB412" s="30"/>
      <c r="AC412" s="30"/>
      <c r="AD412" s="30"/>
      <c r="AE412" s="30"/>
      <c r="AF412" s="27"/>
      <c r="AG412" s="27"/>
      <c r="AH412" s="27"/>
      <c r="AI412" s="27"/>
      <c r="AJ412" s="27"/>
      <c r="AK412" s="28"/>
    </row>
    <row r="413" spans="1:37" ht="15.75" customHeight="1" x14ac:dyDescent="0.25">
      <c r="A413" s="25"/>
      <c r="B413" s="29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30"/>
      <c r="AB413" s="30"/>
      <c r="AC413" s="30"/>
      <c r="AD413" s="30"/>
      <c r="AE413" s="30"/>
      <c r="AF413" s="27"/>
      <c r="AG413" s="27"/>
      <c r="AH413" s="27"/>
      <c r="AI413" s="27"/>
      <c r="AJ413" s="27"/>
      <c r="AK413" s="28"/>
    </row>
    <row r="414" spans="1:37" ht="15.75" customHeight="1" x14ac:dyDescent="0.25">
      <c r="A414" s="25"/>
      <c r="B414" s="29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30"/>
      <c r="AB414" s="30"/>
      <c r="AC414" s="30"/>
      <c r="AD414" s="30"/>
      <c r="AE414" s="30"/>
      <c r="AF414" s="27"/>
      <c r="AG414" s="27"/>
      <c r="AH414" s="27"/>
      <c r="AI414" s="27"/>
      <c r="AJ414" s="27"/>
      <c r="AK414" s="28"/>
    </row>
    <row r="415" spans="1:37" ht="15.75" customHeight="1" x14ac:dyDescent="0.25">
      <c r="A415" s="25"/>
      <c r="B415" s="29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30"/>
      <c r="AB415" s="30"/>
      <c r="AC415" s="30"/>
      <c r="AD415" s="30"/>
      <c r="AE415" s="30"/>
      <c r="AF415" s="27"/>
      <c r="AG415" s="27"/>
      <c r="AH415" s="27"/>
      <c r="AI415" s="27"/>
      <c r="AJ415" s="27"/>
      <c r="AK415" s="28"/>
    </row>
    <row r="416" spans="1:37" ht="15.75" customHeight="1" x14ac:dyDescent="0.25">
      <c r="A416" s="25"/>
      <c r="B416" s="29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30"/>
      <c r="AB416" s="30"/>
      <c r="AC416" s="30"/>
      <c r="AD416" s="30"/>
      <c r="AE416" s="30"/>
      <c r="AF416" s="27"/>
      <c r="AG416" s="27"/>
      <c r="AH416" s="27"/>
      <c r="AI416" s="27"/>
      <c r="AJ416" s="27"/>
      <c r="AK416" s="28"/>
    </row>
    <row r="417" spans="1:37" ht="15.75" customHeight="1" x14ac:dyDescent="0.25">
      <c r="A417" s="25"/>
      <c r="B417" s="29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30"/>
      <c r="AB417" s="30"/>
      <c r="AC417" s="30"/>
      <c r="AD417" s="30"/>
      <c r="AE417" s="30"/>
      <c r="AF417" s="27"/>
      <c r="AG417" s="27"/>
      <c r="AH417" s="27"/>
      <c r="AI417" s="27"/>
      <c r="AJ417" s="27"/>
      <c r="AK417" s="28"/>
    </row>
    <row r="418" spans="1:37" ht="15.75" customHeight="1" x14ac:dyDescent="0.25">
      <c r="A418" s="25"/>
      <c r="B418" s="29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30"/>
      <c r="AB418" s="30"/>
      <c r="AC418" s="30"/>
      <c r="AD418" s="30"/>
      <c r="AE418" s="30"/>
      <c r="AF418" s="27"/>
      <c r="AG418" s="27"/>
      <c r="AH418" s="27"/>
      <c r="AI418" s="27"/>
      <c r="AJ418" s="27"/>
      <c r="AK418" s="28"/>
    </row>
    <row r="419" spans="1:37" ht="15.75" customHeight="1" x14ac:dyDescent="0.25">
      <c r="A419" s="25"/>
      <c r="B419" s="29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30"/>
      <c r="AB419" s="30"/>
      <c r="AC419" s="30"/>
      <c r="AD419" s="30"/>
      <c r="AE419" s="30"/>
      <c r="AF419" s="27"/>
      <c r="AG419" s="27"/>
      <c r="AH419" s="27"/>
      <c r="AI419" s="27"/>
      <c r="AJ419" s="27"/>
      <c r="AK419" s="28"/>
    </row>
    <row r="420" spans="1:37" ht="15.75" customHeight="1" x14ac:dyDescent="0.25">
      <c r="A420" s="25"/>
      <c r="B420" s="29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30"/>
      <c r="AB420" s="30"/>
      <c r="AC420" s="30"/>
      <c r="AD420" s="30"/>
      <c r="AE420" s="30"/>
      <c r="AF420" s="27"/>
      <c r="AG420" s="27"/>
      <c r="AH420" s="27"/>
      <c r="AI420" s="27"/>
      <c r="AJ420" s="27"/>
      <c r="AK420" s="28"/>
    </row>
    <row r="421" spans="1:37" ht="15.75" customHeight="1" x14ac:dyDescent="0.25">
      <c r="A421" s="25"/>
      <c r="B421" s="29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30"/>
      <c r="AB421" s="30"/>
      <c r="AC421" s="30"/>
      <c r="AD421" s="30"/>
      <c r="AE421" s="30"/>
      <c r="AF421" s="27"/>
      <c r="AG421" s="27"/>
      <c r="AH421" s="27"/>
      <c r="AI421" s="27"/>
      <c r="AJ421" s="27"/>
      <c r="AK421" s="28"/>
    </row>
    <row r="422" spans="1:37" ht="15.75" customHeight="1" x14ac:dyDescent="0.25">
      <c r="A422" s="25"/>
      <c r="B422" s="29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30"/>
      <c r="AB422" s="30"/>
      <c r="AC422" s="30"/>
      <c r="AD422" s="30"/>
      <c r="AE422" s="30"/>
      <c r="AF422" s="27"/>
      <c r="AG422" s="27"/>
      <c r="AH422" s="27"/>
      <c r="AI422" s="27"/>
      <c r="AJ422" s="27"/>
      <c r="AK422" s="28"/>
    </row>
    <row r="423" spans="1:37" ht="15.75" customHeight="1" x14ac:dyDescent="0.25">
      <c r="A423" s="25"/>
      <c r="B423" s="29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30"/>
      <c r="AB423" s="30"/>
      <c r="AC423" s="30"/>
      <c r="AD423" s="30"/>
      <c r="AE423" s="30"/>
      <c r="AF423" s="27"/>
      <c r="AG423" s="27"/>
      <c r="AH423" s="27"/>
      <c r="AI423" s="27"/>
      <c r="AJ423" s="27"/>
      <c r="AK423" s="28"/>
    </row>
    <row r="424" spans="1:37" ht="15.75" customHeight="1" x14ac:dyDescent="0.25">
      <c r="A424" s="25"/>
      <c r="B424" s="29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30"/>
      <c r="AB424" s="30"/>
      <c r="AC424" s="30"/>
      <c r="AD424" s="30"/>
      <c r="AE424" s="30"/>
      <c r="AF424" s="27"/>
      <c r="AG424" s="27"/>
      <c r="AH424" s="27"/>
      <c r="AI424" s="27"/>
      <c r="AJ424" s="27"/>
      <c r="AK424" s="28"/>
    </row>
    <row r="425" spans="1:37" ht="15.75" customHeight="1" x14ac:dyDescent="0.25">
      <c r="A425" s="25"/>
      <c r="B425" s="29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30"/>
      <c r="AB425" s="30"/>
      <c r="AC425" s="30"/>
      <c r="AD425" s="30"/>
      <c r="AE425" s="30"/>
      <c r="AF425" s="27"/>
      <c r="AG425" s="27"/>
      <c r="AH425" s="27"/>
      <c r="AI425" s="27"/>
      <c r="AJ425" s="27"/>
      <c r="AK425" s="28"/>
    </row>
    <row r="426" spans="1:37" ht="15.75" customHeight="1" x14ac:dyDescent="0.25">
      <c r="A426" s="25"/>
      <c r="B426" s="29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30"/>
      <c r="AB426" s="30"/>
      <c r="AC426" s="30"/>
      <c r="AD426" s="30"/>
      <c r="AE426" s="30"/>
      <c r="AF426" s="27"/>
      <c r="AG426" s="27"/>
      <c r="AH426" s="27"/>
      <c r="AI426" s="27"/>
      <c r="AJ426" s="27"/>
      <c r="AK426" s="28"/>
    </row>
    <row r="427" spans="1:37" ht="15.75" customHeight="1" x14ac:dyDescent="0.25">
      <c r="A427" s="25"/>
      <c r="B427" s="29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30"/>
      <c r="AB427" s="30"/>
      <c r="AC427" s="30"/>
      <c r="AD427" s="30"/>
      <c r="AE427" s="30"/>
      <c r="AF427" s="27"/>
      <c r="AG427" s="27"/>
      <c r="AH427" s="27"/>
      <c r="AI427" s="27"/>
      <c r="AJ427" s="27"/>
      <c r="AK427" s="28"/>
    </row>
    <row r="428" spans="1:37" ht="15.75" customHeight="1" x14ac:dyDescent="0.25">
      <c r="A428" s="25"/>
      <c r="B428" s="29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30"/>
      <c r="AB428" s="30"/>
      <c r="AC428" s="30"/>
      <c r="AD428" s="30"/>
      <c r="AE428" s="30"/>
      <c r="AF428" s="27"/>
      <c r="AG428" s="27"/>
      <c r="AH428" s="27"/>
      <c r="AI428" s="27"/>
      <c r="AJ428" s="27"/>
      <c r="AK428" s="28"/>
    </row>
    <row r="429" spans="1:37" ht="15.75" customHeight="1" x14ac:dyDescent="0.25">
      <c r="A429" s="25"/>
      <c r="B429" s="29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30"/>
      <c r="AB429" s="30"/>
      <c r="AC429" s="30"/>
      <c r="AD429" s="30"/>
      <c r="AE429" s="30"/>
      <c r="AF429" s="27"/>
      <c r="AG429" s="27"/>
      <c r="AH429" s="27"/>
      <c r="AI429" s="27"/>
      <c r="AJ429" s="27"/>
      <c r="AK429" s="28"/>
    </row>
    <row r="430" spans="1:37" ht="15.75" customHeight="1" x14ac:dyDescent="0.25">
      <c r="A430" s="25"/>
      <c r="B430" s="29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30"/>
      <c r="AB430" s="30"/>
      <c r="AC430" s="30"/>
      <c r="AD430" s="30"/>
      <c r="AE430" s="30"/>
      <c r="AF430" s="27"/>
      <c r="AG430" s="27"/>
      <c r="AH430" s="27"/>
      <c r="AI430" s="27"/>
      <c r="AJ430" s="27"/>
      <c r="AK430" s="28"/>
    </row>
    <row r="431" spans="1:37" ht="15.75" customHeight="1" x14ac:dyDescent="0.25">
      <c r="A431" s="25"/>
      <c r="B431" s="29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30"/>
      <c r="AB431" s="30"/>
      <c r="AC431" s="30"/>
      <c r="AD431" s="30"/>
      <c r="AE431" s="30"/>
      <c r="AF431" s="27"/>
      <c r="AG431" s="27"/>
      <c r="AH431" s="27"/>
      <c r="AI431" s="27"/>
      <c r="AJ431" s="27"/>
      <c r="AK431" s="28"/>
    </row>
    <row r="432" spans="1:37" ht="15.75" customHeight="1" x14ac:dyDescent="0.25">
      <c r="A432" s="25"/>
      <c r="B432" s="29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30"/>
      <c r="AB432" s="30"/>
      <c r="AC432" s="30"/>
      <c r="AD432" s="30"/>
      <c r="AE432" s="30"/>
      <c r="AF432" s="27"/>
      <c r="AG432" s="27"/>
      <c r="AH432" s="27"/>
      <c r="AI432" s="27"/>
      <c r="AJ432" s="27"/>
      <c r="AK432" s="28"/>
    </row>
    <row r="433" spans="1:37" ht="15.75" customHeight="1" x14ac:dyDescent="0.25">
      <c r="A433" s="25"/>
      <c r="B433" s="29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30"/>
      <c r="AB433" s="30"/>
      <c r="AC433" s="30"/>
      <c r="AD433" s="30"/>
      <c r="AE433" s="30"/>
      <c r="AF433" s="27"/>
      <c r="AG433" s="27"/>
      <c r="AH433" s="27"/>
      <c r="AI433" s="27"/>
      <c r="AJ433" s="27"/>
      <c r="AK433" s="28"/>
    </row>
    <row r="434" spans="1:37" ht="15.75" customHeight="1" x14ac:dyDescent="0.25">
      <c r="A434" s="25"/>
      <c r="B434" s="29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30"/>
      <c r="AB434" s="30"/>
      <c r="AC434" s="30"/>
      <c r="AD434" s="30"/>
      <c r="AE434" s="30"/>
      <c r="AF434" s="27"/>
      <c r="AG434" s="27"/>
      <c r="AH434" s="27"/>
      <c r="AI434" s="27"/>
      <c r="AJ434" s="27"/>
      <c r="AK434" s="28"/>
    </row>
    <row r="435" spans="1:37" ht="15.75" customHeight="1" x14ac:dyDescent="0.25">
      <c r="A435" s="25"/>
      <c r="B435" s="29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30"/>
      <c r="AB435" s="30"/>
      <c r="AC435" s="30"/>
      <c r="AD435" s="30"/>
      <c r="AE435" s="30"/>
      <c r="AF435" s="27"/>
      <c r="AG435" s="27"/>
      <c r="AH435" s="27"/>
      <c r="AI435" s="27"/>
      <c r="AJ435" s="27"/>
      <c r="AK435" s="28"/>
    </row>
    <row r="436" spans="1:37" ht="15.75" customHeight="1" x14ac:dyDescent="0.25">
      <c r="A436" s="25"/>
      <c r="B436" s="29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30"/>
      <c r="AB436" s="30"/>
      <c r="AC436" s="30"/>
      <c r="AD436" s="30"/>
      <c r="AE436" s="30"/>
      <c r="AF436" s="27"/>
      <c r="AG436" s="27"/>
      <c r="AH436" s="27"/>
      <c r="AI436" s="27"/>
      <c r="AJ436" s="27"/>
      <c r="AK436" s="28"/>
    </row>
    <row r="437" spans="1:37" ht="15.75" customHeight="1" x14ac:dyDescent="0.25">
      <c r="A437" s="25"/>
      <c r="B437" s="29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30"/>
      <c r="AB437" s="30"/>
      <c r="AC437" s="30"/>
      <c r="AD437" s="30"/>
      <c r="AE437" s="30"/>
      <c r="AF437" s="27"/>
      <c r="AG437" s="27"/>
      <c r="AH437" s="27"/>
      <c r="AI437" s="27"/>
      <c r="AJ437" s="27"/>
      <c r="AK437" s="28"/>
    </row>
    <row r="438" spans="1:37" ht="15.75" customHeight="1" x14ac:dyDescent="0.25">
      <c r="A438" s="25"/>
      <c r="B438" s="29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30"/>
      <c r="AB438" s="30"/>
      <c r="AC438" s="30"/>
      <c r="AD438" s="30"/>
      <c r="AE438" s="30"/>
      <c r="AF438" s="27"/>
      <c r="AG438" s="27"/>
      <c r="AH438" s="27"/>
      <c r="AI438" s="27"/>
      <c r="AJ438" s="27"/>
      <c r="AK438" s="28"/>
    </row>
    <row r="439" spans="1:37" ht="15.75" customHeight="1" x14ac:dyDescent="0.25">
      <c r="A439" s="25"/>
      <c r="B439" s="29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30"/>
      <c r="AB439" s="30"/>
      <c r="AC439" s="30"/>
      <c r="AD439" s="30"/>
      <c r="AE439" s="30"/>
      <c r="AF439" s="27"/>
      <c r="AG439" s="27"/>
      <c r="AH439" s="27"/>
      <c r="AI439" s="27"/>
      <c r="AJ439" s="27"/>
      <c r="AK439" s="28"/>
    </row>
    <row r="440" spans="1:37" ht="15.75" customHeight="1" x14ac:dyDescent="0.25">
      <c r="A440" s="25"/>
      <c r="B440" s="29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30"/>
      <c r="AB440" s="30"/>
      <c r="AC440" s="30"/>
      <c r="AD440" s="30"/>
      <c r="AE440" s="30"/>
      <c r="AF440" s="27"/>
      <c r="AG440" s="27"/>
      <c r="AH440" s="27"/>
      <c r="AI440" s="27"/>
      <c r="AJ440" s="27"/>
      <c r="AK440" s="28"/>
    </row>
    <row r="441" spans="1:37" ht="15.75" customHeight="1" x14ac:dyDescent="0.25">
      <c r="A441" s="25"/>
      <c r="B441" s="29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30"/>
      <c r="AB441" s="30"/>
      <c r="AC441" s="30"/>
      <c r="AD441" s="30"/>
      <c r="AE441" s="30"/>
      <c r="AF441" s="27"/>
      <c r="AG441" s="27"/>
      <c r="AH441" s="27"/>
      <c r="AI441" s="27"/>
      <c r="AJ441" s="27"/>
      <c r="AK441" s="28"/>
    </row>
    <row r="442" spans="1:37" ht="15.75" customHeight="1" x14ac:dyDescent="0.25">
      <c r="A442" s="25"/>
      <c r="B442" s="29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30"/>
      <c r="AB442" s="30"/>
      <c r="AC442" s="30"/>
      <c r="AD442" s="30"/>
      <c r="AE442" s="30"/>
      <c r="AF442" s="27"/>
      <c r="AG442" s="27"/>
      <c r="AH442" s="27"/>
      <c r="AI442" s="27"/>
      <c r="AJ442" s="27"/>
      <c r="AK442" s="28"/>
    </row>
    <row r="443" spans="1:37" ht="15.75" customHeight="1" x14ac:dyDescent="0.25">
      <c r="A443" s="25"/>
      <c r="B443" s="29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30"/>
      <c r="AB443" s="30"/>
      <c r="AC443" s="30"/>
      <c r="AD443" s="30"/>
      <c r="AE443" s="30"/>
      <c r="AF443" s="27"/>
      <c r="AG443" s="27"/>
      <c r="AH443" s="27"/>
      <c r="AI443" s="27"/>
      <c r="AJ443" s="27"/>
      <c r="AK443" s="28"/>
    </row>
    <row r="444" spans="1:37" ht="15.75" customHeight="1" x14ac:dyDescent="0.25">
      <c r="A444" s="25"/>
      <c r="B444" s="29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30"/>
      <c r="AB444" s="30"/>
      <c r="AC444" s="30"/>
      <c r="AD444" s="30"/>
      <c r="AE444" s="30"/>
      <c r="AF444" s="27"/>
      <c r="AG444" s="27"/>
      <c r="AH444" s="27"/>
      <c r="AI444" s="27"/>
      <c r="AJ444" s="27"/>
      <c r="AK444" s="28"/>
    </row>
    <row r="445" spans="1:37" ht="15.75" customHeight="1" x14ac:dyDescent="0.25">
      <c r="A445" s="25"/>
      <c r="B445" s="29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30"/>
      <c r="AB445" s="30"/>
      <c r="AC445" s="30"/>
      <c r="AD445" s="30"/>
      <c r="AE445" s="30"/>
      <c r="AF445" s="27"/>
      <c r="AG445" s="27"/>
      <c r="AH445" s="27"/>
      <c r="AI445" s="27"/>
      <c r="AJ445" s="27"/>
      <c r="AK445" s="28"/>
    </row>
    <row r="446" spans="1:37" ht="15.75" customHeight="1" x14ac:dyDescent="0.25">
      <c r="A446" s="25"/>
      <c r="B446" s="29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30"/>
      <c r="AB446" s="30"/>
      <c r="AC446" s="30"/>
      <c r="AD446" s="30"/>
      <c r="AE446" s="30"/>
      <c r="AF446" s="27"/>
      <c r="AG446" s="27"/>
      <c r="AH446" s="27"/>
      <c r="AI446" s="27"/>
      <c r="AJ446" s="27"/>
      <c r="AK446" s="28"/>
    </row>
    <row r="447" spans="1:37" ht="15.75" customHeight="1" x14ac:dyDescent="0.25">
      <c r="A447" s="25"/>
      <c r="B447" s="29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30"/>
      <c r="AB447" s="30"/>
      <c r="AC447" s="30"/>
      <c r="AD447" s="30"/>
      <c r="AE447" s="30"/>
      <c r="AF447" s="27"/>
      <c r="AG447" s="27"/>
      <c r="AH447" s="27"/>
      <c r="AI447" s="27"/>
      <c r="AJ447" s="27"/>
      <c r="AK447" s="28"/>
    </row>
    <row r="448" spans="1:37" ht="15.75" customHeight="1" x14ac:dyDescent="0.25">
      <c r="A448" s="25"/>
      <c r="B448" s="29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30"/>
      <c r="AB448" s="30"/>
      <c r="AC448" s="30"/>
      <c r="AD448" s="30"/>
      <c r="AE448" s="30"/>
      <c r="AF448" s="27"/>
      <c r="AG448" s="27"/>
      <c r="AH448" s="27"/>
      <c r="AI448" s="27"/>
      <c r="AJ448" s="27"/>
      <c r="AK448" s="28"/>
    </row>
    <row r="449" spans="1:37" ht="15.75" customHeight="1" x14ac:dyDescent="0.25">
      <c r="A449" s="25"/>
      <c r="B449" s="29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30"/>
      <c r="AB449" s="30"/>
      <c r="AC449" s="30"/>
      <c r="AD449" s="30"/>
      <c r="AE449" s="30"/>
      <c r="AF449" s="27"/>
      <c r="AG449" s="27"/>
      <c r="AH449" s="27"/>
      <c r="AI449" s="27"/>
      <c r="AJ449" s="27"/>
      <c r="AK449" s="28"/>
    </row>
    <row r="450" spans="1:37" ht="15.75" customHeight="1" x14ac:dyDescent="0.25">
      <c r="A450" s="25"/>
      <c r="B450" s="29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30"/>
      <c r="AB450" s="30"/>
      <c r="AC450" s="30"/>
      <c r="AD450" s="30"/>
      <c r="AE450" s="30"/>
      <c r="AF450" s="27"/>
      <c r="AG450" s="27"/>
      <c r="AH450" s="27"/>
      <c r="AI450" s="27"/>
      <c r="AJ450" s="27"/>
      <c r="AK450" s="28"/>
    </row>
    <row r="451" spans="1:37" ht="15.75" customHeight="1" x14ac:dyDescent="0.25">
      <c r="A451" s="25"/>
      <c r="B451" s="29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30"/>
      <c r="AB451" s="30"/>
      <c r="AC451" s="30"/>
      <c r="AD451" s="30"/>
      <c r="AE451" s="30"/>
      <c r="AF451" s="27"/>
      <c r="AG451" s="27"/>
      <c r="AH451" s="27"/>
      <c r="AI451" s="27"/>
      <c r="AJ451" s="27"/>
      <c r="AK451" s="28"/>
    </row>
    <row r="452" spans="1:37" ht="15.75" customHeight="1" x14ac:dyDescent="0.25">
      <c r="A452" s="25"/>
      <c r="B452" s="29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30"/>
      <c r="AB452" s="30"/>
      <c r="AC452" s="30"/>
      <c r="AD452" s="30"/>
      <c r="AE452" s="30"/>
      <c r="AF452" s="27"/>
      <c r="AG452" s="27"/>
      <c r="AH452" s="27"/>
      <c r="AI452" s="27"/>
      <c r="AJ452" s="27"/>
      <c r="AK452" s="28"/>
    </row>
    <row r="453" spans="1:37" ht="15.75" customHeight="1" x14ac:dyDescent="0.25">
      <c r="A453" s="25"/>
      <c r="B453" s="29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30"/>
      <c r="AB453" s="30"/>
      <c r="AC453" s="30"/>
      <c r="AD453" s="30"/>
      <c r="AE453" s="30"/>
      <c r="AF453" s="27"/>
      <c r="AG453" s="27"/>
      <c r="AH453" s="27"/>
      <c r="AI453" s="27"/>
      <c r="AJ453" s="27"/>
      <c r="AK453" s="28"/>
    </row>
    <row r="454" spans="1:37" ht="15.75" customHeight="1" x14ac:dyDescent="0.25">
      <c r="A454" s="25"/>
      <c r="B454" s="29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30"/>
      <c r="AB454" s="30"/>
      <c r="AC454" s="30"/>
      <c r="AD454" s="30"/>
      <c r="AE454" s="30"/>
      <c r="AF454" s="27"/>
      <c r="AG454" s="27"/>
      <c r="AH454" s="27"/>
      <c r="AI454" s="27"/>
      <c r="AJ454" s="27"/>
      <c r="AK454" s="28"/>
    </row>
    <row r="455" spans="1:37" ht="15.75" customHeight="1" x14ac:dyDescent="0.25">
      <c r="A455" s="25"/>
      <c r="B455" s="29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30"/>
      <c r="AB455" s="30"/>
      <c r="AC455" s="30"/>
      <c r="AD455" s="30"/>
      <c r="AE455" s="30"/>
      <c r="AF455" s="27"/>
      <c r="AG455" s="27"/>
      <c r="AH455" s="27"/>
      <c r="AI455" s="27"/>
      <c r="AJ455" s="27"/>
      <c r="AK455" s="28"/>
    </row>
    <row r="456" spans="1:37" ht="15.75" customHeight="1" x14ac:dyDescent="0.25">
      <c r="A456" s="25"/>
      <c r="B456" s="29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30"/>
      <c r="AB456" s="30"/>
      <c r="AC456" s="30"/>
      <c r="AD456" s="30"/>
      <c r="AE456" s="30"/>
      <c r="AF456" s="27"/>
      <c r="AG456" s="27"/>
      <c r="AH456" s="27"/>
      <c r="AI456" s="27"/>
      <c r="AJ456" s="27"/>
      <c r="AK456" s="28"/>
    </row>
    <row r="457" spans="1:37" ht="15.75" customHeight="1" x14ac:dyDescent="0.25">
      <c r="A457" s="25"/>
      <c r="B457" s="29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30"/>
      <c r="AB457" s="30"/>
      <c r="AC457" s="30"/>
      <c r="AD457" s="30"/>
      <c r="AE457" s="30"/>
      <c r="AF457" s="27"/>
      <c r="AG457" s="27"/>
      <c r="AH457" s="27"/>
      <c r="AI457" s="27"/>
      <c r="AJ457" s="27"/>
      <c r="AK457" s="28"/>
    </row>
    <row r="458" spans="1:37" ht="15.75" customHeight="1" x14ac:dyDescent="0.25">
      <c r="A458" s="25"/>
      <c r="B458" s="29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30"/>
      <c r="AB458" s="30"/>
      <c r="AC458" s="30"/>
      <c r="AD458" s="30"/>
      <c r="AE458" s="30"/>
      <c r="AF458" s="27"/>
      <c r="AG458" s="27"/>
      <c r="AH458" s="27"/>
      <c r="AI458" s="27"/>
      <c r="AJ458" s="27"/>
      <c r="AK458" s="28"/>
    </row>
    <row r="459" spans="1:37" ht="15.75" customHeight="1" x14ac:dyDescent="0.25">
      <c r="A459" s="25"/>
      <c r="B459" s="29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30"/>
      <c r="AB459" s="30"/>
      <c r="AC459" s="30"/>
      <c r="AD459" s="30"/>
      <c r="AE459" s="30"/>
      <c r="AF459" s="27"/>
      <c r="AG459" s="27"/>
      <c r="AH459" s="27"/>
      <c r="AI459" s="27"/>
      <c r="AJ459" s="27"/>
      <c r="AK459" s="28"/>
    </row>
    <row r="460" spans="1:37" ht="15.75" customHeight="1" x14ac:dyDescent="0.25">
      <c r="A460" s="25"/>
      <c r="B460" s="29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30"/>
      <c r="AB460" s="30"/>
      <c r="AC460" s="30"/>
      <c r="AD460" s="30"/>
      <c r="AE460" s="30"/>
      <c r="AF460" s="27"/>
      <c r="AG460" s="27"/>
      <c r="AH460" s="27"/>
      <c r="AI460" s="27"/>
      <c r="AJ460" s="27"/>
      <c r="AK460" s="28"/>
    </row>
    <row r="461" spans="1:37" ht="15.75" customHeight="1" x14ac:dyDescent="0.25">
      <c r="A461" s="25"/>
      <c r="B461" s="29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30"/>
      <c r="AB461" s="30"/>
      <c r="AC461" s="30"/>
      <c r="AD461" s="30"/>
      <c r="AE461" s="30"/>
      <c r="AF461" s="27"/>
      <c r="AG461" s="27"/>
      <c r="AH461" s="27"/>
      <c r="AI461" s="27"/>
      <c r="AJ461" s="27"/>
      <c r="AK461" s="28"/>
    </row>
    <row r="462" spans="1:37" ht="15.75" customHeight="1" x14ac:dyDescent="0.25">
      <c r="A462" s="25"/>
      <c r="B462" s="29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30"/>
      <c r="AB462" s="30"/>
      <c r="AC462" s="30"/>
      <c r="AD462" s="30"/>
      <c r="AE462" s="30"/>
      <c r="AF462" s="27"/>
      <c r="AG462" s="27"/>
      <c r="AH462" s="27"/>
      <c r="AI462" s="27"/>
      <c r="AJ462" s="27"/>
      <c r="AK462" s="28"/>
    </row>
    <row r="463" spans="1:37" ht="15.75" customHeight="1" x14ac:dyDescent="0.25">
      <c r="A463" s="25"/>
      <c r="B463" s="29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30"/>
      <c r="AB463" s="30"/>
      <c r="AC463" s="30"/>
      <c r="AD463" s="30"/>
      <c r="AE463" s="30"/>
      <c r="AF463" s="27"/>
      <c r="AG463" s="27"/>
      <c r="AH463" s="27"/>
      <c r="AI463" s="27"/>
      <c r="AJ463" s="27"/>
      <c r="AK463" s="28"/>
    </row>
    <row r="464" spans="1:37" ht="15.75" customHeight="1" x14ac:dyDescent="0.25">
      <c r="A464" s="25"/>
      <c r="B464" s="29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30"/>
      <c r="AB464" s="30"/>
      <c r="AC464" s="30"/>
      <c r="AD464" s="30"/>
      <c r="AE464" s="30"/>
      <c r="AF464" s="27"/>
      <c r="AG464" s="27"/>
      <c r="AH464" s="27"/>
      <c r="AI464" s="27"/>
      <c r="AJ464" s="27"/>
      <c r="AK464" s="28"/>
    </row>
    <row r="465" spans="1:37" ht="15.75" customHeight="1" x14ac:dyDescent="0.25">
      <c r="A465" s="25"/>
      <c r="B465" s="29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30"/>
      <c r="AB465" s="30"/>
      <c r="AC465" s="30"/>
      <c r="AD465" s="30"/>
      <c r="AE465" s="30"/>
      <c r="AF465" s="27"/>
      <c r="AG465" s="27"/>
      <c r="AH465" s="27"/>
      <c r="AI465" s="27"/>
      <c r="AJ465" s="27"/>
      <c r="AK465" s="28"/>
    </row>
    <row r="466" spans="1:37" ht="15.75" customHeight="1" x14ac:dyDescent="0.25">
      <c r="A466" s="25"/>
      <c r="B466" s="29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30"/>
      <c r="AB466" s="30"/>
      <c r="AC466" s="30"/>
      <c r="AD466" s="30"/>
      <c r="AE466" s="30"/>
      <c r="AF466" s="27"/>
      <c r="AG466" s="27"/>
      <c r="AH466" s="27"/>
      <c r="AI466" s="27"/>
      <c r="AJ466" s="27"/>
      <c r="AK466" s="28"/>
    </row>
    <row r="467" spans="1:37" ht="15.75" customHeight="1" x14ac:dyDescent="0.25">
      <c r="A467" s="25"/>
      <c r="B467" s="29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30"/>
      <c r="AB467" s="30"/>
      <c r="AC467" s="30"/>
      <c r="AD467" s="30"/>
      <c r="AE467" s="30"/>
      <c r="AF467" s="27"/>
      <c r="AG467" s="27"/>
      <c r="AH467" s="27"/>
      <c r="AI467" s="27"/>
      <c r="AJ467" s="27"/>
      <c r="AK467" s="28"/>
    </row>
    <row r="468" spans="1:37" ht="15.75" customHeight="1" x14ac:dyDescent="0.25">
      <c r="A468" s="25"/>
      <c r="B468" s="29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30"/>
      <c r="AB468" s="30"/>
      <c r="AC468" s="30"/>
      <c r="AD468" s="30"/>
      <c r="AE468" s="30"/>
      <c r="AF468" s="27"/>
      <c r="AG468" s="27"/>
      <c r="AH468" s="27"/>
      <c r="AI468" s="27"/>
      <c r="AJ468" s="27"/>
      <c r="AK468" s="28"/>
    </row>
    <row r="469" spans="1:37" ht="15.75" customHeight="1" x14ac:dyDescent="0.25">
      <c r="A469" s="25"/>
      <c r="B469" s="29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30"/>
      <c r="AB469" s="30"/>
      <c r="AC469" s="30"/>
      <c r="AD469" s="30"/>
      <c r="AE469" s="30"/>
      <c r="AF469" s="27"/>
      <c r="AG469" s="27"/>
      <c r="AH469" s="27"/>
      <c r="AI469" s="27"/>
      <c r="AJ469" s="27"/>
      <c r="AK469" s="28"/>
    </row>
    <row r="470" spans="1:37" ht="15.75" customHeight="1" x14ac:dyDescent="0.25">
      <c r="A470" s="25"/>
      <c r="B470" s="29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30"/>
      <c r="AB470" s="30"/>
      <c r="AC470" s="30"/>
      <c r="AD470" s="30"/>
      <c r="AE470" s="30"/>
      <c r="AF470" s="27"/>
      <c r="AG470" s="27"/>
      <c r="AH470" s="27"/>
      <c r="AI470" s="27"/>
      <c r="AJ470" s="27"/>
      <c r="AK470" s="28"/>
    </row>
    <row r="471" spans="1:37" ht="15.75" customHeight="1" x14ac:dyDescent="0.25">
      <c r="A471" s="25"/>
      <c r="B471" s="29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30"/>
      <c r="AB471" s="30"/>
      <c r="AC471" s="30"/>
      <c r="AD471" s="30"/>
      <c r="AE471" s="30"/>
      <c r="AF471" s="27"/>
      <c r="AG471" s="27"/>
      <c r="AH471" s="27"/>
      <c r="AI471" s="27"/>
      <c r="AJ471" s="27"/>
      <c r="AK471" s="28"/>
    </row>
    <row r="472" spans="1:37" ht="15.75" customHeight="1" x14ac:dyDescent="0.25">
      <c r="A472" s="25"/>
      <c r="B472" s="29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30"/>
      <c r="AB472" s="30"/>
      <c r="AC472" s="30"/>
      <c r="AD472" s="30"/>
      <c r="AE472" s="30"/>
      <c r="AF472" s="27"/>
      <c r="AG472" s="27"/>
      <c r="AH472" s="27"/>
      <c r="AI472" s="27"/>
      <c r="AJ472" s="27"/>
      <c r="AK472" s="28"/>
    </row>
    <row r="473" spans="1:37" ht="15.75" customHeight="1" x14ac:dyDescent="0.25">
      <c r="A473" s="25"/>
      <c r="B473" s="29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30"/>
      <c r="AB473" s="30"/>
      <c r="AC473" s="30"/>
      <c r="AD473" s="30"/>
      <c r="AE473" s="30"/>
      <c r="AF473" s="27"/>
      <c r="AG473" s="27"/>
      <c r="AH473" s="27"/>
      <c r="AI473" s="27"/>
      <c r="AJ473" s="27"/>
      <c r="AK473" s="28"/>
    </row>
    <row r="474" spans="1:37" ht="15.75" customHeight="1" x14ac:dyDescent="0.25">
      <c r="A474" s="25"/>
      <c r="B474" s="29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30"/>
      <c r="AB474" s="30"/>
      <c r="AC474" s="30"/>
      <c r="AD474" s="30"/>
      <c r="AE474" s="30"/>
      <c r="AF474" s="27"/>
      <c r="AG474" s="27"/>
      <c r="AH474" s="27"/>
      <c r="AI474" s="27"/>
      <c r="AJ474" s="27"/>
      <c r="AK474" s="28"/>
    </row>
    <row r="475" spans="1:37" ht="15.75" customHeight="1" x14ac:dyDescent="0.25">
      <c r="A475" s="25"/>
      <c r="B475" s="29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30"/>
      <c r="AB475" s="30"/>
      <c r="AC475" s="30"/>
      <c r="AD475" s="30"/>
      <c r="AE475" s="30"/>
      <c r="AF475" s="27"/>
      <c r="AG475" s="27"/>
      <c r="AH475" s="27"/>
      <c r="AI475" s="27"/>
      <c r="AJ475" s="27"/>
      <c r="AK475" s="28"/>
    </row>
    <row r="476" spans="1:37" ht="15.75" customHeight="1" x14ac:dyDescent="0.25">
      <c r="A476" s="25"/>
      <c r="B476" s="29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30"/>
      <c r="AB476" s="30"/>
      <c r="AC476" s="30"/>
      <c r="AD476" s="30"/>
      <c r="AE476" s="30"/>
      <c r="AF476" s="27"/>
      <c r="AG476" s="27"/>
      <c r="AH476" s="27"/>
      <c r="AI476" s="27"/>
      <c r="AJ476" s="27"/>
      <c r="AK476" s="28"/>
    </row>
    <row r="477" spans="1:37" ht="15.75" customHeight="1" x14ac:dyDescent="0.25">
      <c r="A477" s="25"/>
      <c r="B477" s="29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30"/>
      <c r="AB477" s="30"/>
      <c r="AC477" s="30"/>
      <c r="AD477" s="30"/>
      <c r="AE477" s="30"/>
      <c r="AF477" s="27"/>
      <c r="AG477" s="27"/>
      <c r="AH477" s="27"/>
      <c r="AI477" s="27"/>
      <c r="AJ477" s="27"/>
      <c r="AK477" s="28"/>
    </row>
    <row r="478" spans="1:37" ht="15.75" customHeight="1" x14ac:dyDescent="0.25">
      <c r="A478" s="25"/>
      <c r="B478" s="29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30"/>
      <c r="AB478" s="30"/>
      <c r="AC478" s="30"/>
      <c r="AD478" s="30"/>
      <c r="AE478" s="30"/>
      <c r="AF478" s="27"/>
      <c r="AG478" s="27"/>
      <c r="AH478" s="27"/>
      <c r="AI478" s="27"/>
      <c r="AJ478" s="27"/>
      <c r="AK478" s="28"/>
    </row>
    <row r="479" spans="1:37" ht="15.75" customHeight="1" x14ac:dyDescent="0.25">
      <c r="A479" s="25"/>
      <c r="B479" s="29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30"/>
      <c r="AB479" s="30"/>
      <c r="AC479" s="30"/>
      <c r="AD479" s="30"/>
      <c r="AE479" s="30"/>
      <c r="AF479" s="27"/>
      <c r="AG479" s="27"/>
      <c r="AH479" s="27"/>
      <c r="AI479" s="27"/>
      <c r="AJ479" s="27"/>
      <c r="AK479" s="28"/>
    </row>
    <row r="480" spans="1:37" ht="15.75" customHeight="1" x14ac:dyDescent="0.25">
      <c r="A480" s="25"/>
      <c r="B480" s="29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30"/>
      <c r="AB480" s="30"/>
      <c r="AC480" s="30"/>
      <c r="AD480" s="30"/>
      <c r="AE480" s="30"/>
      <c r="AF480" s="27"/>
      <c r="AG480" s="27"/>
      <c r="AH480" s="27"/>
      <c r="AI480" s="27"/>
      <c r="AJ480" s="27"/>
      <c r="AK480" s="28"/>
    </row>
    <row r="481" spans="1:37" ht="15.75" customHeight="1" x14ac:dyDescent="0.25">
      <c r="A481" s="25"/>
      <c r="B481" s="29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30"/>
      <c r="AB481" s="30"/>
      <c r="AC481" s="30"/>
      <c r="AD481" s="30"/>
      <c r="AE481" s="30"/>
      <c r="AF481" s="27"/>
      <c r="AG481" s="27"/>
      <c r="AH481" s="27"/>
      <c r="AI481" s="27"/>
      <c r="AJ481" s="27"/>
      <c r="AK481" s="28"/>
    </row>
    <row r="482" spans="1:37" ht="15.75" customHeight="1" x14ac:dyDescent="0.25">
      <c r="A482" s="25"/>
      <c r="B482" s="29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30"/>
      <c r="AB482" s="30"/>
      <c r="AC482" s="30"/>
      <c r="AD482" s="30"/>
      <c r="AE482" s="30"/>
      <c r="AF482" s="27"/>
      <c r="AG482" s="27"/>
      <c r="AH482" s="27"/>
      <c r="AI482" s="27"/>
      <c r="AJ482" s="27"/>
      <c r="AK482" s="28"/>
    </row>
    <row r="483" spans="1:37" ht="15.75" customHeight="1" x14ac:dyDescent="0.25">
      <c r="A483" s="25"/>
      <c r="B483" s="29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30"/>
      <c r="AB483" s="30"/>
      <c r="AC483" s="30"/>
      <c r="AD483" s="30"/>
      <c r="AE483" s="30"/>
      <c r="AF483" s="27"/>
      <c r="AG483" s="27"/>
      <c r="AH483" s="27"/>
      <c r="AI483" s="27"/>
      <c r="AJ483" s="27"/>
      <c r="AK483" s="28"/>
    </row>
    <row r="484" spans="1:37" ht="15.75" customHeight="1" x14ac:dyDescent="0.25">
      <c r="A484" s="25"/>
      <c r="B484" s="29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30"/>
      <c r="AB484" s="30"/>
      <c r="AC484" s="30"/>
      <c r="AD484" s="30"/>
      <c r="AE484" s="30"/>
      <c r="AF484" s="27"/>
      <c r="AG484" s="27"/>
      <c r="AH484" s="27"/>
      <c r="AI484" s="27"/>
      <c r="AJ484" s="27"/>
      <c r="AK484" s="28"/>
    </row>
    <row r="485" spans="1:37" ht="15.75" customHeight="1" x14ac:dyDescent="0.25">
      <c r="A485" s="25"/>
      <c r="B485" s="29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30"/>
      <c r="AB485" s="30"/>
      <c r="AC485" s="30"/>
      <c r="AD485" s="30"/>
      <c r="AE485" s="30"/>
      <c r="AF485" s="27"/>
      <c r="AG485" s="27"/>
      <c r="AH485" s="27"/>
      <c r="AI485" s="27"/>
      <c r="AJ485" s="27"/>
      <c r="AK485" s="28"/>
    </row>
    <row r="486" spans="1:37" ht="15.75" customHeight="1" x14ac:dyDescent="0.25">
      <c r="A486" s="25"/>
      <c r="B486" s="29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30"/>
      <c r="AB486" s="30"/>
      <c r="AC486" s="30"/>
      <c r="AD486" s="30"/>
      <c r="AE486" s="30"/>
      <c r="AF486" s="27"/>
      <c r="AG486" s="27"/>
      <c r="AH486" s="27"/>
      <c r="AI486" s="27"/>
      <c r="AJ486" s="27"/>
      <c r="AK486" s="28"/>
    </row>
    <row r="487" spans="1:37" ht="15.75" customHeight="1" x14ac:dyDescent="0.25">
      <c r="A487" s="25"/>
      <c r="B487" s="29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30"/>
      <c r="AB487" s="30"/>
      <c r="AC487" s="30"/>
      <c r="AD487" s="30"/>
      <c r="AE487" s="30"/>
      <c r="AF487" s="27"/>
      <c r="AG487" s="27"/>
      <c r="AH487" s="27"/>
      <c r="AI487" s="27"/>
      <c r="AJ487" s="27"/>
      <c r="AK487" s="28"/>
    </row>
    <row r="488" spans="1:37" ht="15.75" customHeight="1" x14ac:dyDescent="0.25">
      <c r="A488" s="25"/>
      <c r="B488" s="29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30"/>
      <c r="AB488" s="30"/>
      <c r="AC488" s="30"/>
      <c r="AD488" s="30"/>
      <c r="AE488" s="30"/>
      <c r="AF488" s="27"/>
      <c r="AG488" s="27"/>
      <c r="AH488" s="27"/>
      <c r="AI488" s="27"/>
      <c r="AJ488" s="27"/>
      <c r="AK488" s="28"/>
    </row>
    <row r="489" spans="1:37" ht="15.75" customHeight="1" x14ac:dyDescent="0.25">
      <c r="A489" s="25"/>
      <c r="B489" s="29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30"/>
      <c r="AB489" s="30"/>
      <c r="AC489" s="30"/>
      <c r="AD489" s="30"/>
      <c r="AE489" s="30"/>
      <c r="AF489" s="27"/>
      <c r="AG489" s="27"/>
      <c r="AH489" s="27"/>
      <c r="AI489" s="27"/>
      <c r="AJ489" s="27"/>
      <c r="AK489" s="28"/>
    </row>
    <row r="490" spans="1:37" ht="15.75" customHeight="1" x14ac:dyDescent="0.25">
      <c r="A490" s="25"/>
      <c r="B490" s="29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30"/>
      <c r="AB490" s="30"/>
      <c r="AC490" s="30"/>
      <c r="AD490" s="30"/>
      <c r="AE490" s="30"/>
      <c r="AF490" s="27"/>
      <c r="AG490" s="27"/>
      <c r="AH490" s="27"/>
      <c r="AI490" s="27"/>
      <c r="AJ490" s="27"/>
      <c r="AK490" s="28"/>
    </row>
    <row r="491" spans="1:37" ht="15.75" customHeight="1" x14ac:dyDescent="0.25">
      <c r="A491" s="25"/>
      <c r="B491" s="29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30"/>
      <c r="AB491" s="30"/>
      <c r="AC491" s="30"/>
      <c r="AD491" s="30"/>
      <c r="AE491" s="30"/>
      <c r="AF491" s="27"/>
      <c r="AG491" s="27"/>
      <c r="AH491" s="27"/>
      <c r="AI491" s="27"/>
      <c r="AJ491" s="27"/>
      <c r="AK491" s="28"/>
    </row>
    <row r="492" spans="1:37" ht="15.75" customHeight="1" x14ac:dyDescent="0.25">
      <c r="A492" s="25"/>
      <c r="B492" s="29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30"/>
      <c r="AB492" s="30"/>
      <c r="AC492" s="30"/>
      <c r="AD492" s="30"/>
      <c r="AE492" s="30"/>
      <c r="AF492" s="27"/>
      <c r="AG492" s="27"/>
      <c r="AH492" s="27"/>
      <c r="AI492" s="27"/>
      <c r="AJ492" s="27"/>
      <c r="AK492" s="28"/>
    </row>
    <row r="493" spans="1:37" ht="15.75" customHeight="1" x14ac:dyDescent="0.25">
      <c r="A493" s="25"/>
      <c r="B493" s="29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30"/>
      <c r="AB493" s="30"/>
      <c r="AC493" s="30"/>
      <c r="AD493" s="30"/>
      <c r="AE493" s="30"/>
      <c r="AF493" s="27"/>
      <c r="AG493" s="27"/>
      <c r="AH493" s="27"/>
      <c r="AI493" s="27"/>
      <c r="AJ493" s="27"/>
      <c r="AK493" s="28"/>
    </row>
    <row r="494" spans="1:37" ht="15.75" customHeight="1" x14ac:dyDescent="0.25">
      <c r="A494" s="25"/>
      <c r="B494" s="29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30"/>
      <c r="AB494" s="30"/>
      <c r="AC494" s="30"/>
      <c r="AD494" s="30"/>
      <c r="AE494" s="30"/>
      <c r="AF494" s="27"/>
      <c r="AG494" s="27"/>
      <c r="AH494" s="27"/>
      <c r="AI494" s="27"/>
      <c r="AJ494" s="27"/>
      <c r="AK494" s="28"/>
    </row>
    <row r="495" spans="1:37" ht="15.75" customHeight="1" x14ac:dyDescent="0.25">
      <c r="A495" s="25"/>
      <c r="B495" s="29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30"/>
      <c r="AB495" s="30"/>
      <c r="AC495" s="30"/>
      <c r="AD495" s="30"/>
      <c r="AE495" s="30"/>
      <c r="AF495" s="27"/>
      <c r="AG495" s="27"/>
      <c r="AH495" s="27"/>
      <c r="AI495" s="27"/>
      <c r="AJ495" s="27"/>
      <c r="AK495" s="28"/>
    </row>
    <row r="496" spans="1:37" ht="15.75" customHeight="1" x14ac:dyDescent="0.25">
      <c r="A496" s="25"/>
      <c r="B496" s="29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30"/>
      <c r="AB496" s="30"/>
      <c r="AC496" s="30"/>
      <c r="AD496" s="30"/>
      <c r="AE496" s="30"/>
      <c r="AF496" s="27"/>
      <c r="AG496" s="27"/>
      <c r="AH496" s="27"/>
      <c r="AI496" s="27"/>
      <c r="AJ496" s="27"/>
      <c r="AK496" s="28"/>
    </row>
    <row r="497" spans="1:37" ht="15.75" customHeight="1" x14ac:dyDescent="0.25">
      <c r="A497" s="25"/>
      <c r="B497" s="29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30"/>
      <c r="AB497" s="30"/>
      <c r="AC497" s="30"/>
      <c r="AD497" s="30"/>
      <c r="AE497" s="30"/>
      <c r="AF497" s="27"/>
      <c r="AG497" s="27"/>
      <c r="AH497" s="27"/>
      <c r="AI497" s="27"/>
      <c r="AJ497" s="27"/>
      <c r="AK497" s="28"/>
    </row>
    <row r="498" spans="1:37" ht="15.75" customHeight="1" x14ac:dyDescent="0.25">
      <c r="A498" s="25"/>
      <c r="B498" s="29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30"/>
      <c r="AB498" s="30"/>
      <c r="AC498" s="30"/>
      <c r="AD498" s="30"/>
      <c r="AE498" s="30"/>
      <c r="AF498" s="27"/>
      <c r="AG498" s="27"/>
      <c r="AH498" s="27"/>
      <c r="AI498" s="27"/>
      <c r="AJ498" s="27"/>
      <c r="AK498" s="28"/>
    </row>
    <row r="499" spans="1:37" ht="15.75" customHeight="1" x14ac:dyDescent="0.25">
      <c r="A499" s="25"/>
      <c r="B499" s="29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30"/>
      <c r="AB499" s="30"/>
      <c r="AC499" s="30"/>
      <c r="AD499" s="30"/>
      <c r="AE499" s="30"/>
      <c r="AF499" s="27"/>
      <c r="AG499" s="27"/>
      <c r="AH499" s="27"/>
      <c r="AI499" s="27"/>
      <c r="AJ499" s="27"/>
      <c r="AK499" s="28"/>
    </row>
    <row r="500" spans="1:37" ht="15.75" customHeight="1" x14ac:dyDescent="0.25">
      <c r="A500" s="25"/>
      <c r="B500" s="29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30"/>
      <c r="AB500" s="30"/>
      <c r="AC500" s="30"/>
      <c r="AD500" s="30"/>
      <c r="AE500" s="30"/>
      <c r="AF500" s="27"/>
      <c r="AG500" s="27"/>
      <c r="AH500" s="27"/>
      <c r="AI500" s="27"/>
      <c r="AJ500" s="27"/>
      <c r="AK500" s="28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9" t="s">
        <v>96</v>
      </c>
      <c r="B1" s="9"/>
      <c r="C1" s="9"/>
      <c r="D1" s="9"/>
      <c r="E1" s="9"/>
      <c r="F1" s="9"/>
      <c r="G1" s="9"/>
      <c r="H1" s="9"/>
    </row>
    <row r="2" spans="1:9" ht="21.75" customHeight="1" x14ac:dyDescent="0.25">
      <c r="A2" s="31" t="s">
        <v>97</v>
      </c>
      <c r="B2" s="31" t="s">
        <v>98</v>
      </c>
      <c r="C2" s="31" t="s">
        <v>99</v>
      </c>
      <c r="D2" s="31" t="s">
        <v>100</v>
      </c>
      <c r="E2" s="31" t="s">
        <v>101</v>
      </c>
      <c r="F2" s="31" t="s">
        <v>102</v>
      </c>
      <c r="G2" s="31" t="s">
        <v>103</v>
      </c>
      <c r="H2" s="31" t="s">
        <v>104</v>
      </c>
      <c r="I2" s="31" t="s">
        <v>105</v>
      </c>
    </row>
    <row r="3" spans="1:9" ht="15.75" customHeight="1" x14ac:dyDescent="0.25">
      <c r="A3" s="32" t="s">
        <v>106</v>
      </c>
      <c r="B3" s="32" t="s">
        <v>107</v>
      </c>
      <c r="C3" s="33">
        <v>46096</v>
      </c>
      <c r="D3" s="33">
        <v>46157</v>
      </c>
      <c r="E3" s="34">
        <f ca="1">IFERROR(D3-TODAY(),"")</f>
        <v>0</v>
      </c>
      <c r="F3" s="35">
        <v>320000</v>
      </c>
      <c r="G3" s="29">
        <v>1197</v>
      </c>
      <c r="H3" s="36">
        <f>IFERROR(F3*G3,0)</f>
        <v>383040000</v>
      </c>
      <c r="I3" s="32" t="s">
        <v>108</v>
      </c>
    </row>
    <row r="4" spans="1:9" ht="15.75" customHeight="1" x14ac:dyDescent="0.25">
      <c r="A4" s="32" t="s">
        <v>109</v>
      </c>
      <c r="B4" s="32" t="s">
        <v>110</v>
      </c>
      <c r="C4" s="33">
        <v>46113</v>
      </c>
      <c r="D4" s="33">
        <v>46172</v>
      </c>
      <c r="E4" s="34">
        <f ca="1">IFERROR(D4-TODAY(),"")</f>
        <v>15</v>
      </c>
      <c r="F4" s="35">
        <v>185000</v>
      </c>
      <c r="G4" s="29">
        <v>1197</v>
      </c>
      <c r="H4" s="36">
        <f>IFERROR(F4*G4,0)</f>
        <v>221445000</v>
      </c>
      <c r="I4" s="32" t="s">
        <v>108</v>
      </c>
    </row>
    <row r="5" spans="1:9" ht="15.75" customHeight="1" x14ac:dyDescent="0.25">
      <c r="A5" s="32" t="s">
        <v>111</v>
      </c>
      <c r="B5" s="32" t="s">
        <v>112</v>
      </c>
      <c r="C5" s="33">
        <v>46122</v>
      </c>
      <c r="D5" s="33">
        <v>46183</v>
      </c>
      <c r="E5" s="34">
        <f ca="1">IFERROR(D5-TODAY(),"")</f>
        <v>26</v>
      </c>
      <c r="F5" s="35">
        <v>240000</v>
      </c>
      <c r="G5" s="29">
        <v>1197</v>
      </c>
      <c r="H5" s="36">
        <f>IFERROR(F5*G5,0)</f>
        <v>287280000</v>
      </c>
      <c r="I5" s="32" t="s">
        <v>108</v>
      </c>
    </row>
    <row r="6" spans="1:9" ht="15.75" customHeight="1" x14ac:dyDescent="0.25">
      <c r="A6" s="32" t="s">
        <v>113</v>
      </c>
      <c r="B6" s="32" t="s">
        <v>114</v>
      </c>
      <c r="C6" s="33">
        <v>46132</v>
      </c>
      <c r="D6" s="33">
        <v>46193</v>
      </c>
      <c r="E6" s="34">
        <f ca="1">IFERROR(D6-TODAY(),"")</f>
        <v>36</v>
      </c>
      <c r="F6" s="35">
        <v>495000</v>
      </c>
      <c r="G6" s="29">
        <v>1197</v>
      </c>
      <c r="H6" s="36">
        <f>IFERROR(F6*G6,0)</f>
        <v>592515000</v>
      </c>
      <c r="I6" s="32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9" t="s">
        <v>115</v>
      </c>
      <c r="B1" s="9"/>
      <c r="C1" s="9"/>
      <c r="D1" s="9"/>
      <c r="E1" s="9"/>
      <c r="F1" s="9"/>
    </row>
    <row r="2" spans="1:6" ht="21.75" customHeight="1" x14ac:dyDescent="0.25">
      <c r="A2" s="31" t="s">
        <v>60</v>
      </c>
      <c r="B2" s="31" t="s">
        <v>116</v>
      </c>
      <c r="C2" s="31" t="s">
        <v>117</v>
      </c>
      <c r="D2" s="31" t="s">
        <v>118</v>
      </c>
      <c r="E2" s="31" t="s">
        <v>119</v>
      </c>
      <c r="F2" s="31" t="s">
        <v>120</v>
      </c>
    </row>
    <row r="3" spans="1:6" ht="15.75" customHeight="1" x14ac:dyDescent="0.25">
      <c r="A3" s="33">
        <v>46140</v>
      </c>
      <c r="B3" s="29">
        <v>1194</v>
      </c>
      <c r="C3" s="35">
        <v>285000</v>
      </c>
      <c r="D3" s="35">
        <v>140000</v>
      </c>
      <c r="E3" s="37">
        <f>C3+D3</f>
        <v>425000</v>
      </c>
      <c r="F3" s="35">
        <v>87000</v>
      </c>
    </row>
    <row r="4" spans="1:6" ht="15.75" customHeight="1" x14ac:dyDescent="0.25">
      <c r="A4" s="33">
        <v>46141</v>
      </c>
      <c r="B4" s="29">
        <v>1196</v>
      </c>
      <c r="C4" s="35">
        <v>268000</v>
      </c>
      <c r="D4" s="35">
        <v>135000</v>
      </c>
      <c r="E4" s="37">
        <f>C4+D4</f>
        <v>403000</v>
      </c>
      <c r="F4" s="35">
        <v>72000</v>
      </c>
    </row>
    <row r="5" spans="1:6" ht="15.75" customHeight="1" x14ac:dyDescent="0.25">
      <c r="A5" s="33">
        <v>46142</v>
      </c>
      <c r="B5" s="29">
        <v>1197</v>
      </c>
      <c r="C5" s="35">
        <v>301000</v>
      </c>
      <c r="D5" s="35">
        <v>148000</v>
      </c>
      <c r="E5" s="37">
        <f>C5+D5</f>
        <v>449000</v>
      </c>
      <c r="F5" s="35">
        <v>95000</v>
      </c>
    </row>
    <row r="6" spans="1:6" ht="15.75" customHeight="1" x14ac:dyDescent="0.25">
      <c r="A6" s="33">
        <v>46144</v>
      </c>
      <c r="B6" s="29">
        <v>1198.5</v>
      </c>
      <c r="C6" s="35">
        <v>275000</v>
      </c>
      <c r="D6" s="35">
        <v>128000</v>
      </c>
      <c r="E6" s="37">
        <f>C6+D6</f>
        <v>403000</v>
      </c>
      <c r="F6" s="35">
        <v>68000</v>
      </c>
    </row>
    <row r="7" spans="1:6" ht="15.75" customHeight="1" x14ac:dyDescent="0.25">
      <c r="A7" s="33">
        <v>46147</v>
      </c>
      <c r="B7" s="29">
        <v>1197</v>
      </c>
      <c r="C7" s="35">
        <v>285000</v>
      </c>
      <c r="D7" s="35">
        <v>140000</v>
      </c>
      <c r="E7" s="37">
        <f>C7+D7</f>
        <v>425000</v>
      </c>
      <c r="F7" s="35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9" t="s">
        <v>121</v>
      </c>
      <c r="B1" s="9"/>
      <c r="C1" s="9"/>
      <c r="D1" s="9"/>
      <c r="E1" s="9"/>
      <c r="F1" s="9"/>
      <c r="G1" s="9"/>
    </row>
    <row r="2" spans="1:7" ht="15.75" customHeight="1" x14ac:dyDescent="0.25">
      <c r="A2" s="4" t="s">
        <v>122</v>
      </c>
      <c r="B2" s="4"/>
      <c r="C2" s="4"/>
      <c r="D2" s="4"/>
      <c r="E2" s="4"/>
      <c r="F2" s="4"/>
      <c r="G2" s="4"/>
    </row>
    <row r="3" spans="1:7" ht="21.75" customHeight="1" x14ac:dyDescent="0.25">
      <c r="A3" s="31" t="s">
        <v>60</v>
      </c>
      <c r="B3" s="31" t="s">
        <v>123</v>
      </c>
      <c r="C3" s="31" t="s">
        <v>124</v>
      </c>
      <c r="D3" s="31" t="s">
        <v>125</v>
      </c>
      <c r="E3" s="31" t="s">
        <v>126</v>
      </c>
      <c r="F3" s="31" t="s">
        <v>102</v>
      </c>
      <c r="G3" s="31" t="s">
        <v>105</v>
      </c>
    </row>
    <row r="4" spans="1:7" ht="15.75" customHeight="1" x14ac:dyDescent="0.25">
      <c r="A4" s="25">
        <v>46148</v>
      </c>
      <c r="B4" s="38" t="s">
        <v>127</v>
      </c>
      <c r="C4" s="39" t="s">
        <v>128</v>
      </c>
      <c r="D4" s="27">
        <v>42000000</v>
      </c>
      <c r="E4" s="40">
        <v>1197</v>
      </c>
      <c r="F4" s="41">
        <f t="shared" ref="F4:F12" si="0">IFERROR(D4/E4,0)</f>
        <v>35087.719298245611</v>
      </c>
      <c r="G4" s="28" t="s">
        <v>108</v>
      </c>
    </row>
    <row r="5" spans="1:7" ht="15.75" customHeight="1" x14ac:dyDescent="0.25">
      <c r="A5" s="25">
        <v>46149</v>
      </c>
      <c r="B5" s="42" t="s">
        <v>129</v>
      </c>
      <c r="C5" s="39" t="s">
        <v>130</v>
      </c>
      <c r="D5" s="27">
        <v>87000000</v>
      </c>
      <c r="E5" s="40">
        <v>1197</v>
      </c>
      <c r="F5" s="43">
        <f t="shared" si="0"/>
        <v>72681.704260651633</v>
      </c>
      <c r="G5" s="28" t="s">
        <v>108</v>
      </c>
    </row>
    <row r="6" spans="1:7" ht="15.75" customHeight="1" x14ac:dyDescent="0.25">
      <c r="A6" s="25">
        <v>46150</v>
      </c>
      <c r="B6" s="38" t="s">
        <v>127</v>
      </c>
      <c r="C6" s="39" t="s">
        <v>131</v>
      </c>
      <c r="D6" s="27">
        <v>65000000</v>
      </c>
      <c r="E6" s="40">
        <v>1197</v>
      </c>
      <c r="F6" s="41">
        <f t="shared" si="0"/>
        <v>54302.422723475356</v>
      </c>
      <c r="G6" s="28" t="s">
        <v>108</v>
      </c>
    </row>
    <row r="7" spans="1:7" ht="15.75" customHeight="1" x14ac:dyDescent="0.25">
      <c r="A7" s="25">
        <v>46151</v>
      </c>
      <c r="B7" s="42" t="s">
        <v>129</v>
      </c>
      <c r="C7" s="39" t="s">
        <v>132</v>
      </c>
      <c r="D7" s="27">
        <v>48500000</v>
      </c>
      <c r="E7" s="40">
        <v>1197</v>
      </c>
      <c r="F7" s="43">
        <f t="shared" si="0"/>
        <v>40517.96157059315</v>
      </c>
      <c r="G7" s="28" t="s">
        <v>108</v>
      </c>
    </row>
    <row r="8" spans="1:7" ht="15.75" customHeight="1" x14ac:dyDescent="0.25">
      <c r="A8" s="25">
        <v>46152</v>
      </c>
      <c r="B8" s="38" t="s">
        <v>127</v>
      </c>
      <c r="C8" s="39" t="s">
        <v>133</v>
      </c>
      <c r="D8" s="27">
        <v>113715000</v>
      </c>
      <c r="E8" s="40">
        <v>1197</v>
      </c>
      <c r="F8" s="41">
        <f t="shared" si="0"/>
        <v>95000</v>
      </c>
      <c r="G8" s="28" t="s">
        <v>108</v>
      </c>
    </row>
    <row r="9" spans="1:7" ht="15.75" customHeight="1" x14ac:dyDescent="0.25">
      <c r="A9" s="25">
        <v>46152</v>
      </c>
      <c r="B9" s="42" t="s">
        <v>129</v>
      </c>
      <c r="C9" s="39" t="s">
        <v>134</v>
      </c>
      <c r="D9" s="27">
        <v>96000000</v>
      </c>
      <c r="E9" s="40">
        <v>1197</v>
      </c>
      <c r="F9" s="43">
        <f t="shared" si="0"/>
        <v>80200.501253132839</v>
      </c>
      <c r="G9" s="28" t="s">
        <v>108</v>
      </c>
    </row>
    <row r="10" spans="1:7" ht="15.75" customHeight="1" x14ac:dyDescent="0.25">
      <c r="A10" s="25">
        <v>46154</v>
      </c>
      <c r="B10" s="42" t="s">
        <v>129</v>
      </c>
      <c r="C10" s="39" t="s">
        <v>135</v>
      </c>
      <c r="D10" s="27">
        <v>23000000</v>
      </c>
      <c r="E10" s="40">
        <v>1197</v>
      </c>
      <c r="F10" s="43">
        <f t="shared" si="0"/>
        <v>19214.703425229742</v>
      </c>
      <c r="G10" s="28" t="s">
        <v>108</v>
      </c>
    </row>
    <row r="11" spans="1:7" ht="15.75" customHeight="1" x14ac:dyDescent="0.25">
      <c r="A11" s="25">
        <v>46157</v>
      </c>
      <c r="B11" s="38" t="s">
        <v>127</v>
      </c>
      <c r="C11" s="39" t="s">
        <v>136</v>
      </c>
      <c r="D11" s="27">
        <v>145000000</v>
      </c>
      <c r="E11" s="40">
        <v>1197</v>
      </c>
      <c r="F11" s="41">
        <f t="shared" si="0"/>
        <v>121136.17376775271</v>
      </c>
      <c r="G11" s="28" t="s">
        <v>108</v>
      </c>
    </row>
    <row r="12" spans="1:7" ht="15.75" customHeight="1" x14ac:dyDescent="0.25">
      <c r="A12" s="25">
        <v>46162</v>
      </c>
      <c r="B12" s="42" t="s">
        <v>129</v>
      </c>
      <c r="C12" s="39" t="s">
        <v>137</v>
      </c>
      <c r="D12" s="27">
        <v>95760000</v>
      </c>
      <c r="E12" s="40">
        <v>1197</v>
      </c>
      <c r="F12" s="43">
        <f t="shared" si="0"/>
        <v>80000</v>
      </c>
      <c r="G12" s="28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8" activePane="bottomRight" state="frozen"/>
      <selection pane="topRight" activeCell="B1" sqref="B1"/>
      <selection pane="bottomLeft" activeCell="A4" sqref="A4"/>
      <selection pane="bottomRight" sqref="A1:H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9" t="s">
        <v>138</v>
      </c>
      <c r="B1" s="9"/>
      <c r="C1" s="9"/>
      <c r="D1" s="9"/>
      <c r="E1" s="9"/>
      <c r="F1" s="9"/>
      <c r="G1" s="9"/>
      <c r="H1" s="9"/>
    </row>
    <row r="2" spans="1:8" ht="18" customHeight="1" x14ac:dyDescent="0.25">
      <c r="A2" s="3" t="s">
        <v>139</v>
      </c>
      <c r="B2" s="3"/>
      <c r="C2" s="3"/>
      <c r="D2" s="3"/>
      <c r="E2" s="3"/>
      <c r="F2" s="3"/>
      <c r="G2" s="3"/>
      <c r="H2" s="3"/>
    </row>
    <row r="3" spans="1:8" ht="31.5" customHeight="1" x14ac:dyDescent="0.25">
      <c r="A3" s="31" t="s">
        <v>60</v>
      </c>
      <c r="B3" s="31" t="s">
        <v>116</v>
      </c>
      <c r="C3" s="31" t="s">
        <v>140</v>
      </c>
      <c r="D3" s="31" t="s">
        <v>141</v>
      </c>
      <c r="E3" s="31" t="s">
        <v>142</v>
      </c>
      <c r="F3" s="44" t="s">
        <v>143</v>
      </c>
      <c r="G3" s="44" t="s">
        <v>144</v>
      </c>
      <c r="H3" s="31" t="s">
        <v>145</v>
      </c>
    </row>
    <row r="4" spans="1:8" ht="15.75" customHeight="1" x14ac:dyDescent="0.25">
      <c r="A4" s="45">
        <f>IF(CARGA_DIARIA!A4="","",CARGA_DIARIA!A4)</f>
        <v>46029</v>
      </c>
      <c r="B4" s="46">
        <f>IF(CARGA_DIARIA!A4="","",CARGA_DIARIA!B4)</f>
        <v>1463</v>
      </c>
      <c r="C4" s="47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48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48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49" t="s">
        <v>146</v>
      </c>
      <c r="G4" s="49" t="s">
        <v>146</v>
      </c>
      <c r="H4" s="50">
        <f>IF(CARGA_DIARIA!A4="","",C4-D4-E4)</f>
        <v>2022212.7026657555</v>
      </c>
    </row>
    <row r="5" spans="1:8" ht="15.75" customHeight="1" x14ac:dyDescent="0.25">
      <c r="A5" s="45">
        <f>IF(CARGA_DIARIA!A5="","",CARGA_DIARIA!A5)</f>
        <v>46030</v>
      </c>
      <c r="B5" s="46">
        <f>IF(CARGA_DIARIA!A5="","",CARGA_DIARIA!B5)</f>
        <v>1469</v>
      </c>
      <c r="C5" s="47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48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48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49" t="s">
        <v>146</v>
      </c>
      <c r="G5" s="49" t="s">
        <v>146</v>
      </c>
      <c r="H5" s="50">
        <f>IF(CARGA_DIARIA!A5="","",C5-D5-E5)</f>
        <v>1104020.9305990487</v>
      </c>
    </row>
    <row r="6" spans="1:8" ht="15.75" customHeight="1" x14ac:dyDescent="0.25">
      <c r="A6" s="45">
        <f>IF(CARGA_DIARIA!A6="","",CARGA_DIARIA!A6)</f>
        <v>46031</v>
      </c>
      <c r="B6" s="46">
        <f>IF(CARGA_DIARIA!A6="","",CARGA_DIARIA!B6)</f>
        <v>1455</v>
      </c>
      <c r="C6" s="47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48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48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49" t="s">
        <v>146</v>
      </c>
      <c r="G6" s="49" t="s">
        <v>146</v>
      </c>
      <c r="H6" s="50">
        <f>IF(CARGA_DIARIA!A6="","",C6-D6-E6)</f>
        <v>2839726.9552302416</v>
      </c>
    </row>
    <row r="7" spans="1:8" ht="15.75" customHeight="1" x14ac:dyDescent="0.25">
      <c r="A7" s="45">
        <f>IF(CARGA_DIARIA!A7="","",CARGA_DIARIA!A7)</f>
        <v>46034</v>
      </c>
      <c r="B7" s="46">
        <f>IF(CARGA_DIARIA!A7="","",CARGA_DIARIA!B7)</f>
        <v>1465.5</v>
      </c>
      <c r="C7" s="47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48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48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49" t="s">
        <v>146</v>
      </c>
      <c r="G7" s="49" t="s">
        <v>146</v>
      </c>
      <c r="H7" s="50">
        <f>IF(CARGA_DIARIA!A7="","",C7-D7-E7)</f>
        <v>2507577.1027226225</v>
      </c>
    </row>
    <row r="8" spans="1:8" ht="15.75" customHeight="1" x14ac:dyDescent="0.25">
      <c r="A8" s="45">
        <f>IF(CARGA_DIARIA!A8="","",CARGA_DIARIA!A8)</f>
        <v>46035</v>
      </c>
      <c r="B8" s="46">
        <f>IF(CARGA_DIARIA!A8="","",CARGA_DIARIA!B8)</f>
        <v>1462</v>
      </c>
      <c r="C8" s="47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48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48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49" t="s">
        <v>146</v>
      </c>
      <c r="G8" s="49" t="s">
        <v>146</v>
      </c>
      <c r="H8" s="50">
        <f>IF(CARGA_DIARIA!A8="","",C8-D8-E8)</f>
        <v>3093407.3359781131</v>
      </c>
    </row>
    <row r="9" spans="1:8" ht="19.5" customHeight="1" x14ac:dyDescent="0.25">
      <c r="A9" s="45">
        <f>IF(CARGA_DIARIA!A9="","",CARGA_DIARIA!A9)</f>
        <v>46036</v>
      </c>
      <c r="B9" s="46">
        <f>IF(CARGA_DIARIA!A9="","",CARGA_DIARIA!B9)</f>
        <v>1464.5</v>
      </c>
      <c r="C9" s="47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48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48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51" t="s">
        <v>146</v>
      </c>
      <c r="G9" s="51" t="s">
        <v>146</v>
      </c>
      <c r="H9" s="50">
        <f>IF(CARGA_DIARIA!A9="","",C9-D9-E9)</f>
        <v>2815560.8539672233</v>
      </c>
    </row>
    <row r="10" spans="1:8" ht="15.75" customHeight="1" x14ac:dyDescent="0.25">
      <c r="A10" s="45">
        <f>IF(CARGA_DIARIA!A10="","",CARGA_DIARIA!A10)</f>
        <v>46037</v>
      </c>
      <c r="B10" s="46">
        <f>IF(CARGA_DIARIA!A10="","",CARGA_DIARIA!B10)</f>
        <v>1450</v>
      </c>
      <c r="C10" s="47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48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48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51" t="s">
        <v>146</v>
      </c>
      <c r="G10" s="51" t="s">
        <v>146</v>
      </c>
      <c r="H10" s="50">
        <f>IF(CARGA_DIARIA!A10="","",C10-D10-E10)</f>
        <v>3029261.7688275855</v>
      </c>
    </row>
    <row r="11" spans="1:8" ht="15.75" customHeight="1" x14ac:dyDescent="0.25">
      <c r="A11" s="45">
        <f>IF(CARGA_DIARIA!A11="","",CARGA_DIARIA!A11)</f>
        <v>46038</v>
      </c>
      <c r="B11" s="46">
        <f>IF(CARGA_DIARIA!A11="","",CARGA_DIARIA!B11)</f>
        <v>1440</v>
      </c>
      <c r="C11" s="47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48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48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51" t="s">
        <v>146</v>
      </c>
      <c r="G11" s="51" t="s">
        <v>146</v>
      </c>
      <c r="H11" s="50">
        <f>IF(CARGA_DIARIA!A11="","",C11-D11-E11)</f>
        <v>3978145.2409513909</v>
      </c>
    </row>
    <row r="12" spans="1:8" ht="15.75" customHeight="1" x14ac:dyDescent="0.25">
      <c r="A12" s="45">
        <f>IF(CARGA_DIARIA!A12="","",CARGA_DIARIA!A12)</f>
        <v>46041</v>
      </c>
      <c r="B12" s="46">
        <f>IF(CARGA_DIARIA!A12="","",CARGA_DIARIA!B12)</f>
        <v>1428</v>
      </c>
      <c r="C12" s="47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48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48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51" t="s">
        <v>146</v>
      </c>
      <c r="G12" s="51" t="s">
        <v>146</v>
      </c>
      <c r="H12" s="50">
        <f>IF(CARGA_DIARIA!A12="","",C12-D12-E12)</f>
        <v>5725340.1900560204</v>
      </c>
    </row>
    <row r="13" spans="1:8" ht="15.75" customHeight="1" x14ac:dyDescent="0.25">
      <c r="A13" s="45">
        <f>IF(CARGA_DIARIA!A13="","",CARGA_DIARIA!A13)</f>
        <v>46042</v>
      </c>
      <c r="B13" s="46">
        <f>IF(CARGA_DIARIA!A13="","",CARGA_DIARIA!B13)</f>
        <v>1428.5</v>
      </c>
      <c r="C13" s="47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48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48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51" t="s">
        <v>146</v>
      </c>
      <c r="G13" s="51" t="s">
        <v>146</v>
      </c>
      <c r="H13" s="50">
        <f>IF(CARGA_DIARIA!A13="","",C13-D13-E13)</f>
        <v>5332231.657271089</v>
      </c>
    </row>
    <row r="14" spans="1:8" ht="15.75" customHeight="1" x14ac:dyDescent="0.25">
      <c r="A14" s="45">
        <f>IF(CARGA_DIARIA!A14="","",CARGA_DIARIA!A14)</f>
        <v>46043</v>
      </c>
      <c r="B14" s="46">
        <f>IF(CARGA_DIARIA!A14="","",CARGA_DIARIA!B14)</f>
        <v>1432</v>
      </c>
      <c r="C14" s="47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48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48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51" t="s">
        <v>146</v>
      </c>
      <c r="G14" s="51" t="s">
        <v>146</v>
      </c>
      <c r="H14" s="50">
        <f>IF(CARGA_DIARIA!A14="","",C14-D14-E14)</f>
        <v>5676988.6943296082</v>
      </c>
    </row>
    <row r="15" spans="1:8" ht="15.75" customHeight="1" x14ac:dyDescent="0.25">
      <c r="A15" s="45">
        <f>IF(CARGA_DIARIA!A15="","",CARGA_DIARIA!A15)</f>
        <v>46044</v>
      </c>
      <c r="B15" s="46">
        <f>IF(CARGA_DIARIA!A15="","",CARGA_DIARIA!B15)</f>
        <v>1427</v>
      </c>
      <c r="C15" s="47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48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48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51" t="s">
        <v>146</v>
      </c>
      <c r="G15" s="51" t="s">
        <v>146</v>
      </c>
      <c r="H15" s="50">
        <f>IF(CARGA_DIARIA!A15="","",C15-D15-E15)</f>
        <v>6240611.6957813632</v>
      </c>
    </row>
    <row r="16" spans="1:8" ht="15.75" customHeight="1" x14ac:dyDescent="0.25">
      <c r="A16" s="45">
        <f>IF(CARGA_DIARIA!A16="","",CARGA_DIARIA!A16)</f>
        <v>46045</v>
      </c>
      <c r="B16" s="46">
        <f>IF(CARGA_DIARIA!A16="","",CARGA_DIARIA!B16)</f>
        <v>1421</v>
      </c>
      <c r="C16" s="47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48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48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51" t="s">
        <v>146</v>
      </c>
      <c r="G16" s="51" t="s">
        <v>146</v>
      </c>
      <c r="H16" s="50">
        <f>IF(CARGA_DIARIA!A16="","",C16-D16-E16)</f>
        <v>7138318.9665165376</v>
      </c>
    </row>
    <row r="17" spans="1:8" ht="15.75" customHeight="1" x14ac:dyDescent="0.25">
      <c r="A17" s="45">
        <f>IF(CARGA_DIARIA!A17="","",CARGA_DIARIA!A17)</f>
        <v>46048</v>
      </c>
      <c r="B17" s="46">
        <f>IF(CARGA_DIARIA!A17="","",CARGA_DIARIA!B17)</f>
        <v>1428</v>
      </c>
      <c r="C17" s="47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48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48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51" t="s">
        <v>146</v>
      </c>
      <c r="G17" s="51" t="s">
        <v>146</v>
      </c>
      <c r="H17" s="50">
        <f>IF(CARGA_DIARIA!A17="","",C17-D17-E17)</f>
        <v>8092604.4317086842</v>
      </c>
    </row>
    <row r="18" spans="1:8" ht="15.75" customHeight="1" x14ac:dyDescent="0.25">
      <c r="A18" s="45">
        <f>IF(CARGA_DIARIA!A18="","",CARGA_DIARIA!A18)</f>
        <v>46049</v>
      </c>
      <c r="B18" s="46">
        <f>IF(CARGA_DIARIA!A18="","",CARGA_DIARIA!B18)</f>
        <v>1435</v>
      </c>
      <c r="C18" s="47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48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48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51" t="s">
        <v>146</v>
      </c>
      <c r="G18" s="51" t="s">
        <v>146</v>
      </c>
      <c r="H18" s="50">
        <f>IF(CARGA_DIARIA!A18="","",C18-D18-E18)</f>
        <v>7513249.912333101</v>
      </c>
    </row>
    <row r="19" spans="1:8" ht="15.75" customHeight="1" x14ac:dyDescent="0.25">
      <c r="A19" s="45">
        <f>IF(CARGA_DIARIA!A19="","",CARGA_DIARIA!A19)</f>
        <v>46050</v>
      </c>
      <c r="B19" s="46">
        <f>IF(CARGA_DIARIA!A19="","",CARGA_DIARIA!B19)</f>
        <v>1437</v>
      </c>
      <c r="C19" s="47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48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48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51" t="s">
        <v>146</v>
      </c>
      <c r="G19" s="51" t="s">
        <v>146</v>
      </c>
      <c r="H19" s="50">
        <f>IF(CARGA_DIARIA!A19="","",C19-D19-E19)</f>
        <v>8114158.3859916478</v>
      </c>
    </row>
    <row r="20" spans="1:8" ht="15.75" customHeight="1" x14ac:dyDescent="0.25">
      <c r="A20" s="45">
        <f>IF(CARGA_DIARIA!A20="","",CARGA_DIARIA!A20)</f>
        <v>46051</v>
      </c>
      <c r="B20" s="46">
        <f>IF(CARGA_DIARIA!A20="","",CARGA_DIARIA!B20)</f>
        <v>1437</v>
      </c>
      <c r="C20" s="47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48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48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51" t="s">
        <v>146</v>
      </c>
      <c r="G20" s="51" t="s">
        <v>146</v>
      </c>
      <c r="H20" s="50">
        <f>IF(CARGA_DIARIA!A20="","",C20-D20-E20)</f>
        <v>12450884.631955115</v>
      </c>
    </row>
    <row r="21" spans="1:8" ht="15.75" customHeight="1" x14ac:dyDescent="0.25">
      <c r="A21" s="45">
        <f>IF(CARGA_DIARIA!A21="","",CARGA_DIARIA!A21)</f>
        <v>46052</v>
      </c>
      <c r="B21" s="46">
        <f>IF(CARGA_DIARIA!A21="","",CARGA_DIARIA!B21)</f>
        <v>1443</v>
      </c>
      <c r="C21" s="47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48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48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51" t="s">
        <v>146</v>
      </c>
      <c r="G21" s="51" t="s">
        <v>146</v>
      </c>
      <c r="H21" s="50">
        <f>IF(CARGA_DIARIA!A21="","",C21-D21-E21)</f>
        <v>11549906.623603601</v>
      </c>
    </row>
    <row r="22" spans="1:8" ht="15.75" customHeight="1" x14ac:dyDescent="0.25">
      <c r="A22" s="45">
        <f>IF(CARGA_DIARIA!A22="","",CARGA_DIARIA!A22)</f>
        <v>46055</v>
      </c>
      <c r="B22" s="46">
        <f>IF(CARGA_DIARIA!A22="","",CARGA_DIARIA!B22)</f>
        <v>1444</v>
      </c>
      <c r="C22" s="47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48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48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51" t="s">
        <v>146</v>
      </c>
      <c r="G22" s="51" t="s">
        <v>146</v>
      </c>
      <c r="H22" s="50">
        <f>IF(CARGA_DIARIA!A22="","",C22-D22-E22)</f>
        <v>12745644.168202113</v>
      </c>
    </row>
    <row r="23" spans="1:8" ht="15.75" customHeight="1" x14ac:dyDescent="0.25">
      <c r="A23" s="45">
        <f>IF(CARGA_DIARIA!A23="","",CARGA_DIARIA!A23)</f>
        <v>46056</v>
      </c>
      <c r="B23" s="46">
        <f>IF(CARGA_DIARIA!A23="","",CARGA_DIARIA!B23)</f>
        <v>1447</v>
      </c>
      <c r="C23" s="47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48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48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51" t="s">
        <v>146</v>
      </c>
      <c r="G23" s="51" t="s">
        <v>146</v>
      </c>
      <c r="H23" s="50">
        <f>IF(CARGA_DIARIA!A23="","",C23-D23-E23)</f>
        <v>11214664.150914893</v>
      </c>
    </row>
    <row r="24" spans="1:8" ht="15.75" customHeight="1" x14ac:dyDescent="0.25">
      <c r="A24" s="45">
        <f>IF(CARGA_DIARIA!A24="","",CARGA_DIARIA!A24)</f>
        <v>46057</v>
      </c>
      <c r="B24" s="46">
        <f>IF(CARGA_DIARIA!A24="","",CARGA_DIARIA!B24)</f>
        <v>1444</v>
      </c>
      <c r="C24" s="47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48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48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51" t="s">
        <v>146</v>
      </c>
      <c r="G24" s="51" t="s">
        <v>146</v>
      </c>
      <c r="H24" s="50">
        <f>IF(CARGA_DIARIA!A24="","",C24-D24-E24)</f>
        <v>9013853.5075372905</v>
      </c>
    </row>
    <row r="25" spans="1:8" ht="15.75" customHeight="1" x14ac:dyDescent="0.25">
      <c r="A25" s="45">
        <f>IF(CARGA_DIARIA!A25="","",CARGA_DIARIA!A25)</f>
        <v>46058</v>
      </c>
      <c r="B25" s="46">
        <f>IF(CARGA_DIARIA!A25="","",CARGA_DIARIA!B25)</f>
        <v>1444.5</v>
      </c>
      <c r="C25" s="47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48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48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51" t="s">
        <v>146</v>
      </c>
      <c r="G25" s="51" t="s">
        <v>146</v>
      </c>
      <c r="H25" s="50">
        <f>IF(CARGA_DIARIA!A25="","",C25-D25-E25)</f>
        <v>10723783.512467913</v>
      </c>
    </row>
    <row r="26" spans="1:8" ht="15.75" customHeight="1" x14ac:dyDescent="0.25">
      <c r="A26" s="45">
        <f>IF(CARGA_DIARIA!A26="","",CARGA_DIARIA!A26)</f>
        <v>46059</v>
      </c>
      <c r="B26" s="46">
        <f>IF(CARGA_DIARIA!A26="","",CARGA_DIARIA!B26)</f>
        <v>1444.5</v>
      </c>
      <c r="C26" s="47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48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48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51" t="s">
        <v>146</v>
      </c>
      <c r="G26" s="51" t="s">
        <v>146</v>
      </c>
      <c r="H26" s="50">
        <f>IF(CARGA_DIARIA!A26="","",C26-D26-E26)</f>
        <v>12208352.848381378</v>
      </c>
    </row>
    <row r="27" spans="1:8" ht="15.75" customHeight="1" x14ac:dyDescent="0.25">
      <c r="A27" s="45">
        <f>IF(CARGA_DIARIA!A27="","",CARGA_DIARIA!A27)</f>
        <v>46062</v>
      </c>
      <c r="B27" s="46">
        <f>IF(CARGA_DIARIA!A27="","",CARGA_DIARIA!B27)</f>
        <v>1420</v>
      </c>
      <c r="C27" s="47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48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48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51" t="s">
        <v>146</v>
      </c>
      <c r="G27" s="51" t="s">
        <v>146</v>
      </c>
      <c r="H27" s="50">
        <f>IF(CARGA_DIARIA!A27="","",C27-D27-E27)</f>
        <v>14428136.856430877</v>
      </c>
    </row>
    <row r="28" spans="1:8" ht="15.75" customHeight="1" x14ac:dyDescent="0.25">
      <c r="A28" s="45">
        <f>IF(CARGA_DIARIA!A28="","",CARGA_DIARIA!A28)</f>
        <v>46063</v>
      </c>
      <c r="B28" s="46">
        <f>IF(CARGA_DIARIA!A28="","",CARGA_DIARIA!B28)</f>
        <v>1424</v>
      </c>
      <c r="C28" s="47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48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48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51" t="s">
        <v>146</v>
      </c>
      <c r="G28" s="51" t="s">
        <v>146</v>
      </c>
      <c r="H28" s="50">
        <f>IF(CARGA_DIARIA!A28="","",C28-D28-E28)</f>
        <v>13200091.590193432</v>
      </c>
    </row>
    <row r="29" spans="1:8" ht="15.75" customHeight="1" x14ac:dyDescent="0.25">
      <c r="A29" s="45">
        <f>IF(CARGA_DIARIA!A29="","",CARGA_DIARIA!A29)</f>
        <v>46064</v>
      </c>
      <c r="B29" s="46">
        <f>IF(CARGA_DIARIA!A29="","",CARGA_DIARIA!B29)</f>
        <v>1401</v>
      </c>
      <c r="C29" s="47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48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48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51" t="s">
        <v>146</v>
      </c>
      <c r="G29" s="51" t="s">
        <v>146</v>
      </c>
      <c r="H29" s="50">
        <f>IF(CARGA_DIARIA!A29="","",C29-D29-E29)</f>
        <v>17126335.802834939</v>
      </c>
    </row>
    <row r="30" spans="1:8" ht="15.75" customHeight="1" x14ac:dyDescent="0.25">
      <c r="A30" s="45">
        <f>IF(CARGA_DIARIA!A30="","",CARGA_DIARIA!A30)</f>
        <v>46065</v>
      </c>
      <c r="B30" s="46">
        <f>IF(CARGA_DIARIA!A30="","",CARGA_DIARIA!B30)</f>
        <v>1397</v>
      </c>
      <c r="C30" s="47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48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48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51" t="s">
        <v>146</v>
      </c>
      <c r="G30" s="51" t="s">
        <v>146</v>
      </c>
      <c r="H30" s="50">
        <f>IF(CARGA_DIARIA!A30="","",C30-D30-E30)</f>
        <v>18514420.360084575</v>
      </c>
    </row>
    <row r="31" spans="1:8" ht="15.75" customHeight="1" x14ac:dyDescent="0.25">
      <c r="A31" s="45">
        <f>IF(CARGA_DIARIA!A31="","",CARGA_DIARIA!A31)</f>
        <v>46066</v>
      </c>
      <c r="B31" s="46">
        <f>IF(CARGA_DIARIA!A31="","",CARGA_DIARIA!B31)</f>
        <v>1390</v>
      </c>
      <c r="C31" s="47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48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48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51" t="s">
        <v>146</v>
      </c>
      <c r="G31" s="51" t="s">
        <v>146</v>
      </c>
      <c r="H31" s="50">
        <f>IF(CARGA_DIARIA!A31="","",C31-D31-E31)</f>
        <v>19091373.077658165</v>
      </c>
    </row>
    <row r="32" spans="1:8" ht="15.75" customHeight="1" x14ac:dyDescent="0.25">
      <c r="A32" s="45">
        <f>IF(CARGA_DIARIA!A32="","",CARGA_DIARIA!A32)</f>
        <v>46071</v>
      </c>
      <c r="B32" s="46">
        <f>IF(CARGA_DIARIA!A32="","",CARGA_DIARIA!B32)</f>
        <v>1392</v>
      </c>
      <c r="C32" s="47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48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48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51" t="s">
        <v>146</v>
      </c>
      <c r="G32" s="51" t="s">
        <v>146</v>
      </c>
      <c r="H32" s="50">
        <f>IF(CARGA_DIARIA!A32="","",C32-D32-E32)</f>
        <v>22208310.782843173</v>
      </c>
    </row>
    <row r="33" spans="1:8" ht="15.75" customHeight="1" x14ac:dyDescent="0.25">
      <c r="A33" s="45">
        <f>IF(CARGA_DIARIA!A33="","",CARGA_DIARIA!A33)</f>
        <v>46072</v>
      </c>
      <c r="B33" s="46">
        <f>IF(CARGA_DIARIA!A33="","",CARGA_DIARIA!B33)</f>
        <v>1400</v>
      </c>
      <c r="C33" s="47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48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48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51" t="s">
        <v>146</v>
      </c>
      <c r="G33" s="51" t="s">
        <v>146</v>
      </c>
      <c r="H33" s="50">
        <f>IF(CARGA_DIARIA!A33="","",C33-D33-E33)</f>
        <v>22317010.824115608</v>
      </c>
    </row>
    <row r="34" spans="1:8" ht="15.75" customHeight="1" x14ac:dyDescent="0.25">
      <c r="A34" s="45">
        <f>IF(CARGA_DIARIA!A34="","",CARGA_DIARIA!A34)</f>
        <v>46073</v>
      </c>
      <c r="B34" s="46">
        <f>IF(CARGA_DIARIA!A34="","",CARGA_DIARIA!B34)</f>
        <v>1400</v>
      </c>
      <c r="C34" s="47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48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48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51" t="s">
        <v>146</v>
      </c>
      <c r="G34" s="51" t="s">
        <v>146</v>
      </c>
      <c r="H34" s="50">
        <f>IF(CARGA_DIARIA!A34="","",C34-D34-E34)</f>
        <v>21679717.817937039</v>
      </c>
    </row>
    <row r="35" spans="1:8" ht="15.75" customHeight="1" x14ac:dyDescent="0.25">
      <c r="A35" s="45">
        <f>IF(CARGA_DIARIA!A35="","",CARGA_DIARIA!A35)</f>
        <v>46076</v>
      </c>
      <c r="B35" s="46">
        <f>IF(CARGA_DIARIA!A35="","",CARGA_DIARIA!B35)</f>
        <v>1381</v>
      </c>
      <c r="C35" s="47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48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48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51" t="s">
        <v>146</v>
      </c>
      <c r="G35" s="51" t="s">
        <v>146</v>
      </c>
      <c r="H35" s="50">
        <f>IF(CARGA_DIARIA!A35="","",C35-D35-E35)</f>
        <v>26287582.891807731</v>
      </c>
    </row>
    <row r="36" spans="1:8" ht="15.75" customHeight="1" x14ac:dyDescent="0.25">
      <c r="A36" s="45">
        <f>IF(CARGA_DIARIA!A36="","",CARGA_DIARIA!A36)</f>
        <v>46077</v>
      </c>
      <c r="B36" s="46">
        <f>IF(CARGA_DIARIA!A36="","",CARGA_DIARIA!B36)</f>
        <v>1360.5</v>
      </c>
      <c r="C36" s="47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48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48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51" t="s">
        <v>146</v>
      </c>
      <c r="G36" s="51" t="s">
        <v>146</v>
      </c>
      <c r="H36" s="50">
        <f>IF(CARGA_DIARIA!A36="","",C36-D36-E36)</f>
        <v>27079535.867413267</v>
      </c>
    </row>
    <row r="37" spans="1:8" ht="15.75" customHeight="1" x14ac:dyDescent="0.25">
      <c r="A37" s="45">
        <f>IF(CARGA_DIARIA!A37="","",CARGA_DIARIA!A37)</f>
        <v>46078</v>
      </c>
      <c r="B37" s="46">
        <f>IF(CARGA_DIARIA!A37="","",CARGA_DIARIA!B37)</f>
        <v>1373.5</v>
      </c>
      <c r="C37" s="47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48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48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51" t="s">
        <v>146</v>
      </c>
      <c r="G37" s="51" t="s">
        <v>146</v>
      </c>
      <c r="H37" s="50">
        <f>IF(CARGA_DIARIA!A37="","",C37-D37-E37)</f>
        <v>21449880.460704595</v>
      </c>
    </row>
    <row r="38" spans="1:8" ht="15.75" customHeight="1" x14ac:dyDescent="0.25">
      <c r="A38" s="45">
        <f>IF(CARGA_DIARIA!A38="","",CARGA_DIARIA!A38)</f>
        <v>46079</v>
      </c>
      <c r="B38" s="46">
        <f>IF(CARGA_DIARIA!A38="","",CARGA_DIARIA!B38)</f>
        <v>1383.5</v>
      </c>
      <c r="C38" s="47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48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48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51" t="s">
        <v>146</v>
      </c>
      <c r="G38" s="51" t="s">
        <v>146</v>
      </c>
      <c r="H38" s="50">
        <f>IF(CARGA_DIARIA!A38="","",C38-D38-E38)</f>
        <v>21716652.234856188</v>
      </c>
    </row>
    <row r="39" spans="1:8" ht="15.75" customHeight="1" x14ac:dyDescent="0.25">
      <c r="A39" s="45">
        <f>IF(CARGA_DIARIA!A39="","",CARGA_DIARIA!A39)</f>
        <v>46080</v>
      </c>
      <c r="B39" s="46">
        <f>IF(CARGA_DIARIA!A39="","",CARGA_DIARIA!B39)</f>
        <v>1401</v>
      </c>
      <c r="C39" s="47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48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48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51" t="s">
        <v>146</v>
      </c>
      <c r="G39" s="51" t="s">
        <v>146</v>
      </c>
      <c r="H39" s="50">
        <f>IF(CARGA_DIARIA!A39="","",C39-D39-E39)</f>
        <v>17957095.069332551</v>
      </c>
    </row>
    <row r="40" spans="1:8" ht="15.75" customHeight="1" x14ac:dyDescent="0.25">
      <c r="A40" s="45">
        <f>IF(CARGA_DIARIA!A40="","",CARGA_DIARIA!A40)</f>
        <v>46083</v>
      </c>
      <c r="B40" s="46">
        <f>IF(CARGA_DIARIA!A40="","",CARGA_DIARIA!B40)</f>
        <v>1407</v>
      </c>
      <c r="C40" s="47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48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48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51" t="s">
        <v>146</v>
      </c>
      <c r="G40" s="51" t="s">
        <v>146</v>
      </c>
      <c r="H40" s="50">
        <f>IF(CARGA_DIARIA!A40="","",C40-D40-E40)</f>
        <v>16633283.10577016</v>
      </c>
    </row>
    <row r="41" spans="1:8" ht="15.75" customHeight="1" x14ac:dyDescent="0.25">
      <c r="A41" s="45">
        <f>IF(CARGA_DIARIA!A41="","",CARGA_DIARIA!A41)</f>
        <v>46084</v>
      </c>
      <c r="B41" s="46">
        <f>IF(CARGA_DIARIA!A41="","",CARGA_DIARIA!B41)</f>
        <v>1403</v>
      </c>
      <c r="C41" s="47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48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48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51" t="s">
        <v>146</v>
      </c>
      <c r="G41" s="51" t="s">
        <v>146</v>
      </c>
      <c r="H41" s="50">
        <f>IF(CARGA_DIARIA!A41="","",C41-D41-E41)</f>
        <v>16853819.340071499</v>
      </c>
    </row>
    <row r="42" spans="1:8" ht="15.75" customHeight="1" x14ac:dyDescent="0.25">
      <c r="A42" s="45">
        <f>IF(CARGA_DIARIA!A42="","",CARGA_DIARIA!A42)</f>
        <v>46085</v>
      </c>
      <c r="B42" s="46">
        <f>IF(CARGA_DIARIA!A42="","",CARGA_DIARIA!B42)</f>
        <v>1407</v>
      </c>
      <c r="C42" s="47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48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48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51" t="s">
        <v>146</v>
      </c>
      <c r="G42" s="51" t="s">
        <v>146</v>
      </c>
      <c r="H42" s="50">
        <f>IF(CARGA_DIARIA!A42="","",C42-D42-E42)</f>
        <v>10435847.112941448</v>
      </c>
    </row>
    <row r="43" spans="1:8" ht="15.75" customHeight="1" x14ac:dyDescent="0.25">
      <c r="A43" s="45">
        <f>IF(CARGA_DIARIA!A43="","",CARGA_DIARIA!A43)</f>
        <v>46086</v>
      </c>
      <c r="B43" s="46">
        <f>IF(CARGA_DIARIA!A43="","",CARGA_DIARIA!B43)</f>
        <v>1400.5</v>
      </c>
      <c r="C43" s="47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48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48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51" t="s">
        <v>146</v>
      </c>
      <c r="G43" s="51" t="s">
        <v>146</v>
      </c>
      <c r="H43" s="50">
        <f>IF(CARGA_DIARIA!A43="","",C43-D43-E43)</f>
        <v>11965844.43775326</v>
      </c>
    </row>
    <row r="44" spans="1:8" ht="15.75" customHeight="1" x14ac:dyDescent="0.25">
      <c r="A44" s="45">
        <f>IF(CARGA_DIARIA!A44="","",CARGA_DIARIA!A44)</f>
        <v>46087</v>
      </c>
      <c r="B44" s="46">
        <f>IF(CARGA_DIARIA!A44="","",CARGA_DIARIA!B44)</f>
        <v>1405</v>
      </c>
      <c r="C44" s="47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48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48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51" t="s">
        <v>146</v>
      </c>
      <c r="G44" s="51" t="s">
        <v>146</v>
      </c>
      <c r="H44" s="50">
        <f>IF(CARGA_DIARIA!A44="","",C44-D44-E44)</f>
        <v>11620119.730233308</v>
      </c>
    </row>
    <row r="45" spans="1:8" ht="15.75" customHeight="1" x14ac:dyDescent="0.25">
      <c r="A45" s="45">
        <f>IF(CARGA_DIARIA!A45="","",CARGA_DIARIA!A45)</f>
        <v>46090</v>
      </c>
      <c r="B45" s="46">
        <f>IF(CARGA_DIARIA!A45="","",CARGA_DIARIA!B45)</f>
        <v>1405</v>
      </c>
      <c r="C45" s="47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48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48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51" t="s">
        <v>146</v>
      </c>
      <c r="G45" s="51" t="s">
        <v>146</v>
      </c>
      <c r="H45" s="50">
        <f>IF(CARGA_DIARIA!A45="","",C45-D45-E45)</f>
        <v>14412290.136046827</v>
      </c>
    </row>
    <row r="46" spans="1:8" ht="15.75" customHeight="1" x14ac:dyDescent="0.25">
      <c r="A46" s="45">
        <f>IF(CARGA_DIARIA!A46="","",CARGA_DIARIA!A46)</f>
        <v>46091</v>
      </c>
      <c r="B46" s="46">
        <f>IF(CARGA_DIARIA!A46="","",CARGA_DIARIA!B46)</f>
        <v>1417</v>
      </c>
      <c r="C46" s="47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48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48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51" t="s">
        <v>146</v>
      </c>
      <c r="G46" s="51" t="s">
        <v>146</v>
      </c>
      <c r="H46" s="50">
        <f>IF(CARGA_DIARIA!A46="","",C46-D46-E46)</f>
        <v>12119947.134390917</v>
      </c>
    </row>
    <row r="47" spans="1:8" ht="15.75" customHeight="1" x14ac:dyDescent="0.25">
      <c r="A47" s="45">
        <f>IF(CARGA_DIARIA!A47="","",CARGA_DIARIA!A47)</f>
        <v>46092</v>
      </c>
      <c r="B47" s="46">
        <f>IF(CARGA_DIARIA!A47="","",CARGA_DIARIA!B47)</f>
        <v>1401</v>
      </c>
      <c r="C47" s="47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48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48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51" t="s">
        <v>146</v>
      </c>
      <c r="G47" s="51" t="s">
        <v>146</v>
      </c>
      <c r="H47" s="50">
        <f>IF(CARGA_DIARIA!A47="","",C47-D47-E47)</f>
        <v>11243440.055020519</v>
      </c>
    </row>
    <row r="48" spans="1:8" ht="15.75" customHeight="1" x14ac:dyDescent="0.25">
      <c r="A48" s="45">
        <f>IF(CARGA_DIARIA!A48="","",CARGA_DIARIA!A48)</f>
        <v>46093</v>
      </c>
      <c r="B48" s="46">
        <f>IF(CARGA_DIARIA!A48="","",CARGA_DIARIA!B48)</f>
        <v>1393</v>
      </c>
      <c r="C48" s="47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48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48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51" t="s">
        <v>146</v>
      </c>
      <c r="G48" s="51" t="s">
        <v>146</v>
      </c>
      <c r="H48" s="50">
        <f>IF(CARGA_DIARIA!A48="","",C48-D48-E48)</f>
        <v>11578415.30095692</v>
      </c>
    </row>
    <row r="49" spans="1:8" ht="15.75" customHeight="1" x14ac:dyDescent="0.25">
      <c r="A49" s="45">
        <f>IF(CARGA_DIARIA!A49="","",CARGA_DIARIA!A49)</f>
        <v>46094</v>
      </c>
      <c r="B49" s="46">
        <f>IF(CARGA_DIARIA!A49="","",CARGA_DIARIA!B49)</f>
        <v>1397</v>
      </c>
      <c r="C49" s="47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48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48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51" t="s">
        <v>146</v>
      </c>
      <c r="G49" s="51" t="s">
        <v>146</v>
      </c>
      <c r="H49" s="50">
        <f>IF(CARGA_DIARIA!A49="","",C49-D49-E49)</f>
        <v>11639769.023119705</v>
      </c>
    </row>
    <row r="50" spans="1:8" ht="15.75" customHeight="1" x14ac:dyDescent="0.25">
      <c r="A50" s="45">
        <f>IF(CARGA_DIARIA!A50="","",CARGA_DIARIA!A50)</f>
        <v>46097</v>
      </c>
      <c r="B50" s="46">
        <f>IF(CARGA_DIARIA!A50="","",CARGA_DIARIA!B50)</f>
        <v>1386</v>
      </c>
      <c r="C50" s="47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48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48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51" t="s">
        <v>146</v>
      </c>
      <c r="G50" s="51" t="s">
        <v>146</v>
      </c>
      <c r="H50" s="50">
        <f>IF(CARGA_DIARIA!A50="","",C50-D50-E50)</f>
        <v>13244502.321332803</v>
      </c>
    </row>
    <row r="51" spans="1:8" ht="15.75" customHeight="1" x14ac:dyDescent="0.25">
      <c r="A51" s="45">
        <f>IF(CARGA_DIARIA!A51="","",CARGA_DIARIA!A51)</f>
        <v>46098</v>
      </c>
      <c r="B51" s="46">
        <f>IF(CARGA_DIARIA!A51="","",CARGA_DIARIA!B51)</f>
        <v>1390</v>
      </c>
      <c r="C51" s="47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48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48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51" t="s">
        <v>146</v>
      </c>
      <c r="G51" s="51" t="s">
        <v>146</v>
      </c>
      <c r="H51" s="50">
        <f>IF(CARGA_DIARIA!A51="","",C51-D51-E51)</f>
        <v>13507880.763376949</v>
      </c>
    </row>
    <row r="52" spans="1:8" ht="15.75" customHeight="1" x14ac:dyDescent="0.25">
      <c r="A52" s="45">
        <f>IF(CARGA_DIARIA!A52="","",CARGA_DIARIA!A52)</f>
        <v>46099</v>
      </c>
      <c r="B52" s="46">
        <f>IF(CARGA_DIARIA!A52="","",CARGA_DIARIA!B52)</f>
        <v>1394</v>
      </c>
      <c r="C52" s="47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48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48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51" t="s">
        <v>146</v>
      </c>
      <c r="G52" s="51" t="s">
        <v>146</v>
      </c>
      <c r="H52" s="50">
        <f>IF(CARGA_DIARIA!A52="","",C52-D52-E52)</f>
        <v>13286689.102183172</v>
      </c>
    </row>
    <row r="53" spans="1:8" ht="15.75" customHeight="1" x14ac:dyDescent="0.25">
      <c r="A53" s="45">
        <f>IF(CARGA_DIARIA!A53="","",CARGA_DIARIA!A53)</f>
        <v>46100</v>
      </c>
      <c r="B53" s="46">
        <f>IF(CARGA_DIARIA!A53="","",CARGA_DIARIA!B53)</f>
        <v>1397</v>
      </c>
      <c r="C53" s="47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48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48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51" t="s">
        <v>146</v>
      </c>
      <c r="G53" s="51" t="s">
        <v>146</v>
      </c>
      <c r="H53" s="50">
        <f>IF(CARGA_DIARIA!A53="","",C53-D53-E53)</f>
        <v>12529570.949529974</v>
      </c>
    </row>
    <row r="54" spans="1:8" ht="15.75" customHeight="1" x14ac:dyDescent="0.25">
      <c r="A54" s="45">
        <f>IF(CARGA_DIARIA!A54="","",CARGA_DIARIA!A54)</f>
        <v>46101</v>
      </c>
      <c r="B54" s="46">
        <f>IF(CARGA_DIARIA!A54="","",CARGA_DIARIA!B54)</f>
        <v>1391</v>
      </c>
      <c r="C54" s="47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48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48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51" t="s">
        <v>146</v>
      </c>
      <c r="G54" s="51" t="s">
        <v>146</v>
      </c>
      <c r="H54" s="50">
        <f>IF(CARGA_DIARIA!A54="","",C54-D54-E54)</f>
        <v>13573846.982598355</v>
      </c>
    </row>
    <row r="55" spans="1:8" ht="15.75" customHeight="1" x14ac:dyDescent="0.25">
      <c r="A55" s="45">
        <f>IF(CARGA_DIARIA!A55="","",CARGA_DIARIA!A55)</f>
        <v>46106</v>
      </c>
      <c r="B55" s="46">
        <f>IF(CARGA_DIARIA!A55="","",CARGA_DIARIA!B55)</f>
        <v>1392</v>
      </c>
      <c r="C55" s="47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48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48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51" t="s">
        <v>146</v>
      </c>
      <c r="G55" s="51" t="s">
        <v>146</v>
      </c>
      <c r="H55" s="50">
        <f>IF(CARGA_DIARIA!A55="","",C55-D55-E55)</f>
        <v>15348097.709244724</v>
      </c>
    </row>
    <row r="56" spans="1:8" ht="15.75" customHeight="1" x14ac:dyDescent="0.25">
      <c r="A56" s="45">
        <f>IF(CARGA_DIARIA!A56="","",CARGA_DIARIA!A56)</f>
        <v>46107</v>
      </c>
      <c r="B56" s="46">
        <f>IF(CARGA_DIARIA!A56="","",CARGA_DIARIA!B56)</f>
        <v>1375</v>
      </c>
      <c r="C56" s="47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48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48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51" t="s">
        <v>146</v>
      </c>
      <c r="G56" s="51" t="s">
        <v>146</v>
      </c>
      <c r="H56" s="50">
        <f>IF(CARGA_DIARIA!A56="","",C56-D56-E56)</f>
        <v>15231921.689944575</v>
      </c>
    </row>
    <row r="57" spans="1:8" ht="15.75" customHeight="1" x14ac:dyDescent="0.25">
      <c r="A57" s="45">
        <f>IF(CARGA_DIARIA!A57="","",CARGA_DIARIA!A57)</f>
        <v>46108</v>
      </c>
      <c r="B57" s="46">
        <f>IF(CARGA_DIARIA!A57="","",CARGA_DIARIA!B57)</f>
        <v>1366</v>
      </c>
      <c r="C57" s="47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48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48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51" t="s">
        <v>146</v>
      </c>
      <c r="G57" s="51" t="s">
        <v>146</v>
      </c>
      <c r="H57" s="50">
        <f>IF(CARGA_DIARIA!A57="","",C57-D57-E57)</f>
        <v>15255978.689658633</v>
      </c>
    </row>
    <row r="58" spans="1:8" ht="15.75" customHeight="1" x14ac:dyDescent="0.25">
      <c r="A58" s="45">
        <f>IF(CARGA_DIARIA!A58="","",CARGA_DIARIA!A58)</f>
        <v>46111</v>
      </c>
      <c r="B58" s="46">
        <f>IF(CARGA_DIARIA!A58="","",CARGA_DIARIA!B58)</f>
        <v>1371.5</v>
      </c>
      <c r="C58" s="47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48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48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51" t="s">
        <v>146</v>
      </c>
      <c r="G58" s="51" t="s">
        <v>146</v>
      </c>
      <c r="H58" s="50">
        <f>IF(CARGA_DIARIA!A58="","",C58-D58-E58)</f>
        <v>14955457.340499904</v>
      </c>
    </row>
    <row r="59" spans="1:8" ht="15.75" customHeight="1" x14ac:dyDescent="0.25">
      <c r="A59" s="45">
        <f>IF(CARGA_DIARIA!A59="","",CARGA_DIARIA!A59)</f>
        <v>46112</v>
      </c>
      <c r="B59" s="46">
        <f>IF(CARGA_DIARIA!A59="","",CARGA_DIARIA!B59)</f>
        <v>1371.5</v>
      </c>
      <c r="C59" s="47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48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48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51" t="s">
        <v>146</v>
      </c>
      <c r="G59" s="51" t="s">
        <v>146</v>
      </c>
      <c r="H59" s="50">
        <f>IF(CARGA_DIARIA!A59="","",C59-D59-E59)</f>
        <v>11979978.178068439</v>
      </c>
    </row>
    <row r="60" spans="1:8" ht="15.75" customHeight="1" x14ac:dyDescent="0.25">
      <c r="A60" s="45">
        <f>IF(CARGA_DIARIA!A60="","",CARGA_DIARIA!A60)</f>
        <v>46118</v>
      </c>
      <c r="B60" s="46">
        <f>IF(CARGA_DIARIA!A60="","",CARGA_DIARIA!B60)</f>
        <v>1383</v>
      </c>
      <c r="C60" s="47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48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48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51" t="s">
        <v>146</v>
      </c>
      <c r="G60" s="51" t="s">
        <v>146</v>
      </c>
      <c r="H60" s="50">
        <f>IF(CARGA_DIARIA!A60="","",C60-D60-E60)</f>
        <v>11401799.13942774</v>
      </c>
    </row>
    <row r="61" spans="1:8" ht="15.75" customHeight="1" x14ac:dyDescent="0.25">
      <c r="A61" s="45">
        <f>IF(CARGA_DIARIA!A61="","",CARGA_DIARIA!A61)</f>
        <v>46119</v>
      </c>
      <c r="B61" s="46">
        <f>IF(CARGA_DIARIA!A61="","",CARGA_DIARIA!B61)</f>
        <v>1382</v>
      </c>
      <c r="C61" s="47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48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48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51" t="s">
        <v>146</v>
      </c>
      <c r="G61" s="51" t="s">
        <v>146</v>
      </c>
      <c r="H61" s="50">
        <f>IF(CARGA_DIARIA!A61="","",C61-D61-E61)</f>
        <v>11095639.535447203</v>
      </c>
    </row>
    <row r="62" spans="1:8" ht="15.75" customHeight="1" x14ac:dyDescent="0.25">
      <c r="A62" s="45">
        <f>IF(CARGA_DIARIA!A62="","",CARGA_DIARIA!A62)</f>
        <v>46120</v>
      </c>
      <c r="B62" s="46">
        <f>IF(CARGA_DIARIA!A62="","",CARGA_DIARIA!B62)</f>
        <v>1382.5</v>
      </c>
      <c r="C62" s="47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48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48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51" t="s">
        <v>146</v>
      </c>
      <c r="G62" s="51" t="s">
        <v>146</v>
      </c>
      <c r="H62" s="50">
        <f>IF(CARGA_DIARIA!A62="","",C62-D62-E62)</f>
        <v>11126010.388287738</v>
      </c>
    </row>
    <row r="63" spans="1:8" ht="15.75" customHeight="1" x14ac:dyDescent="0.25">
      <c r="A63" s="45">
        <f>IF(CARGA_DIARIA!A63="","",CARGA_DIARIA!A63)</f>
        <v>46121</v>
      </c>
      <c r="B63" s="46">
        <f>IF(CARGA_DIARIA!A63="","",CARGA_DIARIA!B63)</f>
        <v>1382.5</v>
      </c>
      <c r="C63" s="47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48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48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51" t="s">
        <v>146</v>
      </c>
      <c r="G63" s="51" t="s">
        <v>146</v>
      </c>
      <c r="H63" s="50">
        <f>IF(CARGA_DIARIA!A63="","",C63-D63-E63)</f>
        <v>13224406.672602389</v>
      </c>
    </row>
    <row r="64" spans="1:8" ht="15.75" customHeight="1" x14ac:dyDescent="0.25">
      <c r="A64" s="45">
        <f>IF(CARGA_DIARIA!A64="","",CARGA_DIARIA!A64)</f>
        <v>46122</v>
      </c>
      <c r="B64" s="46">
        <f>IF(CARGA_DIARIA!A64="","",CARGA_DIARIA!B64)</f>
        <v>1382</v>
      </c>
      <c r="C64" s="47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48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48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51" t="s">
        <v>146</v>
      </c>
      <c r="G64" s="51" t="s">
        <v>146</v>
      </c>
      <c r="H64" s="50">
        <f>IF(CARGA_DIARIA!A64="","",C64-D64-E64)</f>
        <v>15077311.222036928</v>
      </c>
    </row>
    <row r="65" spans="1:8" ht="15.75" customHeight="1" x14ac:dyDescent="0.25">
      <c r="A65" s="45">
        <f>IF(CARGA_DIARIA!A65="","",CARGA_DIARIA!A65)</f>
        <v>46125</v>
      </c>
      <c r="B65" s="46">
        <f>IF(CARGA_DIARIA!A65="","",CARGA_DIARIA!B65)</f>
        <v>1371.5</v>
      </c>
      <c r="C65" s="47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48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48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51" t="s">
        <v>146</v>
      </c>
      <c r="G65" s="51" t="s">
        <v>146</v>
      </c>
      <c r="H65" s="50">
        <f>IF(CARGA_DIARIA!A65="","",C65-D65-E65)</f>
        <v>14567493.864838257</v>
      </c>
    </row>
    <row r="66" spans="1:8" ht="15.75" customHeight="1" x14ac:dyDescent="0.25">
      <c r="A66" s="45">
        <f>IF(CARGA_DIARIA!A66="","",CARGA_DIARIA!A66)</f>
        <v>46126</v>
      </c>
      <c r="B66" s="46">
        <f>IF(CARGA_DIARIA!A66="","",CARGA_DIARIA!B66)</f>
        <v>1360</v>
      </c>
      <c r="C66" s="47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48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48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51" t="s">
        <v>146</v>
      </c>
      <c r="G66" s="51" t="s">
        <v>146</v>
      </c>
      <c r="H66" s="50">
        <f>IF(CARGA_DIARIA!A66="","",C66-D66-E66)</f>
        <v>13346685.89335167</v>
      </c>
    </row>
    <row r="67" spans="1:8" ht="15.75" customHeight="1" x14ac:dyDescent="0.25">
      <c r="A67" s="45">
        <f>IF(CARGA_DIARIA!A67="","",CARGA_DIARIA!A67)</f>
        <v>46127</v>
      </c>
      <c r="B67" s="46">
        <f>IF(CARGA_DIARIA!A67="","",CARGA_DIARIA!B67)</f>
        <v>1352</v>
      </c>
      <c r="C67" s="47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48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48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51" t="s">
        <v>146</v>
      </c>
      <c r="G67" s="51" t="s">
        <v>146</v>
      </c>
      <c r="H67" s="50">
        <f>IF(CARGA_DIARIA!A67="","",C67-D67-E67)</f>
        <v>12921703.513471894</v>
      </c>
    </row>
    <row r="68" spans="1:8" ht="15.75" customHeight="1" x14ac:dyDescent="0.25">
      <c r="A68" s="45">
        <f>IF(CARGA_DIARIA!A68="","",CARGA_DIARIA!A68)</f>
        <v>46128</v>
      </c>
      <c r="B68" s="46">
        <f>IF(CARGA_DIARIA!A68="","",CARGA_DIARIA!B68)</f>
        <v>1360</v>
      </c>
      <c r="C68" s="47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48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48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51" t="s">
        <v>146</v>
      </c>
      <c r="G68" s="51" t="s">
        <v>146</v>
      </c>
      <c r="H68" s="50">
        <f>IF(CARGA_DIARIA!A68="","",C68-D68-E68)</f>
        <v>12648661.215028144</v>
      </c>
    </row>
    <row r="69" spans="1:8" ht="15.75" customHeight="1" x14ac:dyDescent="0.25">
      <c r="A69" s="45">
        <f>IF(CARGA_DIARIA!A69="","",CARGA_DIARIA!A69)</f>
        <v>46129</v>
      </c>
      <c r="B69" s="46">
        <f>IF(CARGA_DIARIA!A69="","",CARGA_DIARIA!B69)</f>
        <v>1350.5</v>
      </c>
      <c r="C69" s="47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48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48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51" t="s">
        <v>146</v>
      </c>
      <c r="G69" s="51" t="s">
        <v>146</v>
      </c>
      <c r="H69" s="50">
        <f>IF(CARGA_DIARIA!A69="","",C69-D69-E69)</f>
        <v>12628684.678054757</v>
      </c>
    </row>
    <row r="70" spans="1:8" ht="15.75" customHeight="1" x14ac:dyDescent="0.25">
      <c r="A70" s="45">
        <f>IF(CARGA_DIARIA!A70="","",CARGA_DIARIA!A70)</f>
        <v>46132</v>
      </c>
      <c r="B70" s="46">
        <f>IF(CARGA_DIARIA!A70="","",CARGA_DIARIA!B70)</f>
        <v>1355.5</v>
      </c>
      <c r="C70" s="47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48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48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51" t="s">
        <v>146</v>
      </c>
      <c r="G70" s="51" t="s">
        <v>146</v>
      </c>
      <c r="H70" s="50">
        <f>IF(CARGA_DIARIA!A70="","",C70-D70-E70)</f>
        <v>13734825.83936785</v>
      </c>
    </row>
    <row r="71" spans="1:8" ht="15.75" customHeight="1" x14ac:dyDescent="0.25">
      <c r="A71" s="45">
        <f>IF(CARGA_DIARIA!A71="","",CARGA_DIARIA!A71)</f>
        <v>46133</v>
      </c>
      <c r="B71" s="46">
        <f>IF(CARGA_DIARIA!A71="","",CARGA_DIARIA!B71)</f>
        <v>1372</v>
      </c>
      <c r="C71" s="47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48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48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51" t="s">
        <v>146</v>
      </c>
      <c r="G71" s="51" t="s">
        <v>146</v>
      </c>
      <c r="H71" s="50">
        <f>IF(CARGA_DIARIA!A71="","",C71-D71-E71)</f>
        <v>15008627.273551526</v>
      </c>
    </row>
    <row r="72" spans="1:8" ht="15.75" customHeight="1" x14ac:dyDescent="0.25">
      <c r="A72" s="45">
        <f>IF(CARGA_DIARIA!A72="","",CARGA_DIARIA!A72)</f>
        <v>46134</v>
      </c>
      <c r="B72" s="46">
        <f>IF(CARGA_DIARIA!A72="","",CARGA_DIARIA!B72)</f>
        <v>1377</v>
      </c>
      <c r="C72" s="47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48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48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51" t="s">
        <v>146</v>
      </c>
      <c r="G72" s="51" t="s">
        <v>146</v>
      </c>
      <c r="H72" s="50">
        <f>IF(CARGA_DIARIA!A72="","",C72-D72-E72)</f>
        <v>15304240.355589228</v>
      </c>
    </row>
    <row r="73" spans="1:8" ht="15.75" customHeight="1" x14ac:dyDescent="0.25">
      <c r="A73" s="45">
        <f>IF(CARGA_DIARIA!A73="","",CARGA_DIARIA!A73)</f>
        <v>46135</v>
      </c>
      <c r="B73" s="46">
        <f>IF(CARGA_DIARIA!A73="","",CARGA_DIARIA!B73)</f>
        <v>1373.5</v>
      </c>
      <c r="C73" s="47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48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48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51" t="s">
        <v>146</v>
      </c>
      <c r="G73" s="51" t="s">
        <v>146</v>
      </c>
      <c r="H73" s="50">
        <f>IF(CARGA_DIARIA!A73="","",C73-D73-E73)</f>
        <v>15479928.446675641</v>
      </c>
    </row>
    <row r="74" spans="1:8" ht="15.75" customHeight="1" x14ac:dyDescent="0.25">
      <c r="A74" s="45">
        <f>IF(CARGA_DIARIA!A74="","",CARGA_DIARIA!A74)</f>
        <v>46136</v>
      </c>
      <c r="B74" s="46">
        <f>IF(CARGA_DIARIA!A74="","",CARGA_DIARIA!B74)</f>
        <v>1382</v>
      </c>
      <c r="C74" s="47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48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48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51" t="s">
        <v>146</v>
      </c>
      <c r="G74" s="51" t="s">
        <v>146</v>
      </c>
      <c r="H74" s="50">
        <f>IF(CARGA_DIARIA!A74="","",C74-D74-E74)</f>
        <v>16150389.834201183</v>
      </c>
    </row>
    <row r="75" spans="1:8" ht="15.75" customHeight="1" x14ac:dyDescent="0.25">
      <c r="A75" s="45">
        <f>IF(CARGA_DIARIA!A75="","",CARGA_DIARIA!A75)</f>
        <v>46139</v>
      </c>
      <c r="B75" s="46">
        <f>IF(CARGA_DIARIA!A75="","",CARGA_DIARIA!B75)</f>
        <v>1392</v>
      </c>
      <c r="C75" s="47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48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48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51" t="s">
        <v>146</v>
      </c>
      <c r="G75" s="51" t="s">
        <v>146</v>
      </c>
      <c r="H75" s="50">
        <f>IF(CARGA_DIARIA!A75="","",C75-D75-E75)</f>
        <v>18054693.702074267</v>
      </c>
    </row>
    <row r="76" spans="1:8" ht="15.75" customHeight="1" x14ac:dyDescent="0.25">
      <c r="A76" s="45">
        <f>IF(CARGA_DIARIA!A76="","",CARGA_DIARIA!A76)</f>
        <v>46140</v>
      </c>
      <c r="B76" s="46">
        <f>IF(CARGA_DIARIA!A76="","",CARGA_DIARIA!B76)</f>
        <v>1406</v>
      </c>
      <c r="C76" s="47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48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48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51" t="s">
        <v>146</v>
      </c>
      <c r="G76" s="51" t="s">
        <v>146</v>
      </c>
      <c r="H76" s="50">
        <f>IF(CARGA_DIARIA!A76="","",C76-D76-E76)</f>
        <v>18093199.671149969</v>
      </c>
    </row>
    <row r="77" spans="1:8" ht="15.75" customHeight="1" x14ac:dyDescent="0.25">
      <c r="A77" s="45">
        <f>IF(CARGA_DIARIA!A77="","",CARGA_DIARIA!A77)</f>
        <v>46141</v>
      </c>
      <c r="B77" s="46">
        <f>IF(CARGA_DIARIA!A77="","",CARGA_DIARIA!B77)</f>
        <v>1400</v>
      </c>
      <c r="C77" s="47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48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48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51" t="s">
        <v>146</v>
      </c>
      <c r="G77" s="51" t="s">
        <v>146</v>
      </c>
      <c r="H77" s="50">
        <f>IF(CARGA_DIARIA!A77="","",C77-D77-E77)</f>
        <v>17723700.394414037</v>
      </c>
    </row>
    <row r="78" spans="1:8" ht="15.75" customHeight="1" x14ac:dyDescent="0.25">
      <c r="A78" s="45">
        <f>IF(CARGA_DIARIA!A78="","",CARGA_DIARIA!A78)</f>
        <v>46142</v>
      </c>
      <c r="B78" s="46">
        <f>IF(CARGA_DIARIA!A78="","",CARGA_DIARIA!B78)</f>
        <v>1400</v>
      </c>
      <c r="C78" s="47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48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48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51" t="s">
        <v>146</v>
      </c>
      <c r="G78" s="51" t="s">
        <v>146</v>
      </c>
      <c r="H78" s="50">
        <f>IF(CARGA_DIARIA!A78="","",C78-D78-E78)</f>
        <v>8335026.1058426127</v>
      </c>
    </row>
    <row r="79" spans="1:8" ht="15.75" customHeight="1" x14ac:dyDescent="0.25">
      <c r="A79" s="45">
        <f>IF(CARGA_DIARIA!A79="","",CARGA_DIARIA!A79)</f>
        <v>46146</v>
      </c>
      <c r="B79" s="46">
        <f>IF(CARGA_DIARIA!A79="","",CARGA_DIARIA!B79)</f>
        <v>1375</v>
      </c>
      <c r="C79" s="47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48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48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51" t="s">
        <v>146</v>
      </c>
      <c r="G79" s="51" t="s">
        <v>146</v>
      </c>
      <c r="H79" s="50">
        <f>IF(CARGA_DIARIA!A79="","",C79-D79-E79)</f>
        <v>8169869.8710482121</v>
      </c>
    </row>
    <row r="80" spans="1:8" ht="15.75" customHeight="1" x14ac:dyDescent="0.25">
      <c r="A80" s="45">
        <f>IF(CARGA_DIARIA!A80="","",CARGA_DIARIA!A80)</f>
        <v>46147</v>
      </c>
      <c r="B80" s="46">
        <f>IF(CARGA_DIARIA!A80="","",CARGA_DIARIA!B80)</f>
        <v>1396.5</v>
      </c>
      <c r="C80" s="47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48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48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51" t="s">
        <v>146</v>
      </c>
      <c r="G80" s="51" t="s">
        <v>146</v>
      </c>
      <c r="H80" s="50">
        <f>IF(CARGA_DIARIA!A80="","",C80-D80-E80)</f>
        <v>7219948.6381040327</v>
      </c>
    </row>
    <row r="81" spans="1:8" ht="15.75" customHeight="1" x14ac:dyDescent="0.25">
      <c r="A81" s="45">
        <f>IF(CARGA_DIARIA!A81="","",CARGA_DIARIA!A81)</f>
        <v>46148</v>
      </c>
      <c r="B81" s="46">
        <f>IF(CARGA_DIARIA!A81="","",CARGA_DIARIA!B81)</f>
        <v>1394</v>
      </c>
      <c r="C81" s="47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48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48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51" t="s">
        <v>146</v>
      </c>
      <c r="G81" s="51" t="s">
        <v>146</v>
      </c>
      <c r="H81" s="50">
        <f>IF(CARGA_DIARIA!A81="","",C81-D81-E81)</f>
        <v>7725852.1428503953</v>
      </c>
    </row>
    <row r="82" spans="1:8" ht="15.75" customHeight="1" x14ac:dyDescent="0.25">
      <c r="A82" s="45">
        <f>IF(CARGA_DIARIA!A82="","",CARGA_DIARIA!A82)</f>
        <v>46149</v>
      </c>
      <c r="B82" s="46">
        <f>IF(CARGA_DIARIA!A82="","",CARGA_DIARIA!B82)</f>
        <v>1383</v>
      </c>
      <c r="C82" s="47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48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48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51" t="s">
        <v>146</v>
      </c>
      <c r="G82" s="51" t="s">
        <v>146</v>
      </c>
      <c r="H82" s="50">
        <f>IF(CARGA_DIARIA!A82="","",C82-D82-E82)</f>
        <v>8135864.6082401089</v>
      </c>
    </row>
    <row r="83" spans="1:8" ht="15.75" customHeight="1" x14ac:dyDescent="0.25">
      <c r="A83" s="45">
        <f>IF(CARGA_DIARIA!A83="","",CARGA_DIARIA!A83)</f>
        <v>46150</v>
      </c>
      <c r="B83" s="46">
        <f>IF(CARGA_DIARIA!A83="","",CARGA_DIARIA!B83)</f>
        <v>1388</v>
      </c>
      <c r="C83" s="47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48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48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51" t="s">
        <v>146</v>
      </c>
      <c r="G83" s="51" t="s">
        <v>146</v>
      </c>
      <c r="H83" s="50">
        <f>IF(CARGA_DIARIA!A83="","",C83-D83-E83)</f>
        <v>7652026.3249853291</v>
      </c>
    </row>
    <row r="84" spans="1:8" ht="15.75" customHeight="1" x14ac:dyDescent="0.25">
      <c r="A84" s="45">
        <f>IF(CARGA_DIARIA!A84="","",CARGA_DIARIA!A84)</f>
        <v>46153</v>
      </c>
      <c r="B84" s="46">
        <f>IF(CARGA_DIARIA!A84="","",CARGA_DIARIA!B84)</f>
        <v>1389</v>
      </c>
      <c r="C84" s="47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48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48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51" t="s">
        <v>146</v>
      </c>
      <c r="G84" s="51" t="s">
        <v>146</v>
      </c>
      <c r="H84" s="50">
        <f>IF(CARGA_DIARIA!A84="","",C84-D84-E84)</f>
        <v>7994450.6873919703</v>
      </c>
    </row>
    <row r="85" spans="1:8" ht="15.75" customHeight="1" x14ac:dyDescent="0.25">
      <c r="A85" s="45">
        <f>IF(CARGA_DIARIA!A85="","",CARGA_DIARIA!A85)</f>
        <v>46154</v>
      </c>
      <c r="B85" s="46">
        <f>IF(CARGA_DIARIA!A85="","",CARGA_DIARIA!B85)</f>
        <v>1391</v>
      </c>
      <c r="C85" s="47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48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48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51" t="s">
        <v>146</v>
      </c>
      <c r="G85" s="51" t="s">
        <v>146</v>
      </c>
      <c r="H85" s="50">
        <f>IF(CARGA_DIARIA!A85="","",C85-D85-E85)</f>
        <v>9004398.9018395878</v>
      </c>
    </row>
    <row r="86" spans="1:8" ht="15.75" customHeight="1" x14ac:dyDescent="0.25">
      <c r="A86" s="45">
        <f>IF(CARGA_DIARIA!A86="","",CARGA_DIARIA!A86)</f>
        <v>46155</v>
      </c>
      <c r="B86" s="46">
        <f>IF(CARGA_DIARIA!A86="","",CARGA_DIARIA!B86)</f>
        <v>1382.5</v>
      </c>
      <c r="C86" s="47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48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48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51" t="s">
        <v>146</v>
      </c>
      <c r="G86" s="51" t="s">
        <v>146</v>
      </c>
      <c r="H86" s="50">
        <f>IF(CARGA_DIARIA!A86="","",C86-D86-E86)</f>
        <v>8778679.9555377401</v>
      </c>
    </row>
    <row r="87" spans="1:8" ht="15.75" customHeight="1" x14ac:dyDescent="0.25">
      <c r="A87" s="45">
        <f>IF(CARGA_DIARIA!A87="","",CARGA_DIARIA!A87)</f>
        <v>46156</v>
      </c>
      <c r="B87" s="46">
        <f>IF(CARGA_DIARIA!A87="","",CARGA_DIARIA!B87)</f>
        <v>1386</v>
      </c>
      <c r="C87" s="47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48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48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51" t="s">
        <v>146</v>
      </c>
      <c r="G87" s="51" t="s">
        <v>146</v>
      </c>
      <c r="H87" s="50">
        <f>IF(CARGA_DIARIA!A87="","",C87-D87-E87)</f>
        <v>8955905.8585281223</v>
      </c>
    </row>
    <row r="88" spans="1:8" ht="15.75" customHeight="1" x14ac:dyDescent="0.25">
      <c r="A88" s="45">
        <f>IF(CARGA_DIARIA!A88="","",CARGA_DIARIA!A88)</f>
        <v>46157</v>
      </c>
      <c r="B88" s="46">
        <f>IF(CARGA_DIARIA!A88="","",CARGA_DIARIA!B88)</f>
        <v>1392</v>
      </c>
      <c r="C88" s="47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48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48">
        <f>IF(CARGA_DIARIA!A88="","",IF(CARGA_DIARIA!B88=0,0,(CARGA_DIARIA!X88+CARGA_DIARIA!Y88+CARGA_DIARIA!Z88+CARGA_DIARIA!AA88)/CARGA_DIARIA!B88+CARGA_DIARIA!AB88+CARGA_DIARIA!AC88+CARGA_DIARIA!AD88+CARGA_DIARIA!AE88))</f>
        <v>17562487.878849868</v>
      </c>
      <c r="F88" s="51" t="s">
        <v>146</v>
      </c>
      <c r="G88" s="51" t="s">
        <v>146</v>
      </c>
      <c r="H88" s="50">
        <f>IF(CARGA_DIARIA!A88="","",C88-D88-E88)</f>
        <v>9849305.2598397844</v>
      </c>
    </row>
    <row r="89" spans="1:8" ht="15.75" customHeight="1" x14ac:dyDescent="0.25">
      <c r="A89" s="45" t="str">
        <f>IF(CARGA_DIARIA!A89="","",CARGA_DIARIA!A89)</f>
        <v/>
      </c>
      <c r="B89" s="46" t="str">
        <f>IF(CARGA_DIARIA!A89="","",CARGA_DIARIA!B89)</f>
        <v/>
      </c>
      <c r="C89" s="47" t="str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/>
      </c>
      <c r="D89" s="48" t="str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48" t="str">
        <f>IF(CARGA_DIARIA!A89="","",IF(CARGA_DIARIA!B89=0,0,(CARGA_DIARIA!X89+CARGA_DIARIA!Y89+CARGA_DIARIA!Z89+CARGA_DIARIA!AA89)/CARGA_DIARIA!B89+CARGA_DIARIA!AB89+CARGA_DIARIA!AC89+CARGA_DIARIA!AD89+CARGA_DIARIA!AE89))</f>
        <v/>
      </c>
      <c r="F89" s="51" t="s">
        <v>146</v>
      </c>
      <c r="G89" s="51" t="s">
        <v>146</v>
      </c>
      <c r="H89" s="50" t="str">
        <f>IF(CARGA_DIARIA!A89="","",C89-D89-E89)</f>
        <v/>
      </c>
    </row>
    <row r="90" spans="1:8" ht="15.75" customHeight="1" x14ac:dyDescent="0.25">
      <c r="A90" s="45" t="str">
        <f>IF(CARGA_DIARIA!A90="","",CARGA_DIARIA!A90)</f>
        <v/>
      </c>
      <c r="B90" s="46" t="str">
        <f>IF(CARGA_DIARIA!A90="","",CARGA_DIARIA!B90)</f>
        <v/>
      </c>
      <c r="C90" s="47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48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48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51" t="s">
        <v>146</v>
      </c>
      <c r="G90" s="51" t="s">
        <v>146</v>
      </c>
      <c r="H90" s="50" t="str">
        <f>IF(CARGA_DIARIA!A90="","",C90-D90-E90)</f>
        <v/>
      </c>
    </row>
    <row r="91" spans="1:8" ht="15.75" customHeight="1" x14ac:dyDescent="0.25">
      <c r="A91" s="45" t="str">
        <f>IF(CARGA_DIARIA!A91="","",CARGA_DIARIA!A91)</f>
        <v/>
      </c>
      <c r="B91" s="46" t="str">
        <f>IF(CARGA_DIARIA!A91="","",CARGA_DIARIA!B91)</f>
        <v/>
      </c>
      <c r="C91" s="47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48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48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51" t="s">
        <v>146</v>
      </c>
      <c r="G91" s="51" t="s">
        <v>146</v>
      </c>
      <c r="H91" s="50" t="str">
        <f>IF(CARGA_DIARIA!A91="","",C91-D91-E91)</f>
        <v/>
      </c>
    </row>
    <row r="92" spans="1:8" ht="15.75" customHeight="1" x14ac:dyDescent="0.25">
      <c r="A92" s="45" t="str">
        <f>IF(CARGA_DIARIA!A92="","",CARGA_DIARIA!A92)</f>
        <v/>
      </c>
      <c r="B92" s="46" t="str">
        <f>IF(CARGA_DIARIA!A92="","",CARGA_DIARIA!B92)</f>
        <v/>
      </c>
      <c r="C92" s="47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48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48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51" t="s">
        <v>146</v>
      </c>
      <c r="G92" s="51" t="s">
        <v>146</v>
      </c>
      <c r="H92" s="50" t="str">
        <f>IF(CARGA_DIARIA!A92="","",C92-D92-E92)</f>
        <v/>
      </c>
    </row>
    <row r="93" spans="1:8" ht="15.75" customHeight="1" x14ac:dyDescent="0.25">
      <c r="A93" s="45" t="str">
        <f>IF(CARGA_DIARIA!A93="","",CARGA_DIARIA!A93)</f>
        <v/>
      </c>
      <c r="B93" s="46" t="str">
        <f>IF(CARGA_DIARIA!A93="","",CARGA_DIARIA!B93)</f>
        <v/>
      </c>
      <c r="C93" s="47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48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48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51" t="s">
        <v>146</v>
      </c>
      <c r="G93" s="51" t="s">
        <v>146</v>
      </c>
      <c r="H93" s="50" t="str">
        <f>IF(CARGA_DIARIA!A93="","",C93-D93-E93)</f>
        <v/>
      </c>
    </row>
    <row r="94" spans="1:8" ht="15.75" customHeight="1" x14ac:dyDescent="0.25">
      <c r="A94" s="45" t="str">
        <f>IF(CARGA_DIARIA!A94="","",CARGA_DIARIA!A94)</f>
        <v/>
      </c>
      <c r="B94" s="46" t="str">
        <f>IF(CARGA_DIARIA!A94="","",CARGA_DIARIA!B94)</f>
        <v/>
      </c>
      <c r="C94" s="47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48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48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51" t="s">
        <v>146</v>
      </c>
      <c r="G94" s="51" t="s">
        <v>146</v>
      </c>
      <c r="H94" s="50" t="str">
        <f>IF(CARGA_DIARIA!A94="","",C94-D94-E94)</f>
        <v/>
      </c>
    </row>
    <row r="95" spans="1:8" ht="15.75" customHeight="1" x14ac:dyDescent="0.25">
      <c r="A95" s="45" t="str">
        <f>IF(CARGA_DIARIA!A95="","",CARGA_DIARIA!A95)</f>
        <v/>
      </c>
      <c r="B95" s="46" t="str">
        <f>IF(CARGA_DIARIA!A95="","",CARGA_DIARIA!B95)</f>
        <v/>
      </c>
      <c r="C95" s="47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48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48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51" t="s">
        <v>146</v>
      </c>
      <c r="G95" s="51" t="s">
        <v>146</v>
      </c>
      <c r="H95" s="50" t="str">
        <f>IF(CARGA_DIARIA!A95="","",C95-D95-E95)</f>
        <v/>
      </c>
    </row>
    <row r="96" spans="1:8" ht="15.75" customHeight="1" x14ac:dyDescent="0.25">
      <c r="A96" s="45" t="str">
        <f>IF(CARGA_DIARIA!A96="","",CARGA_DIARIA!A96)</f>
        <v/>
      </c>
      <c r="B96" s="46" t="str">
        <f>IF(CARGA_DIARIA!A96="","",CARGA_DIARIA!B96)</f>
        <v/>
      </c>
      <c r="C96" s="47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48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48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51" t="s">
        <v>146</v>
      </c>
      <c r="G96" s="51" t="s">
        <v>146</v>
      </c>
      <c r="H96" s="50" t="str">
        <f>IF(CARGA_DIARIA!A96="","",C96-D96-E96)</f>
        <v/>
      </c>
    </row>
    <row r="97" spans="1:8" ht="15.75" customHeight="1" x14ac:dyDescent="0.25">
      <c r="A97" s="45" t="str">
        <f>IF(CARGA_DIARIA!A97="","",CARGA_DIARIA!A97)</f>
        <v/>
      </c>
      <c r="B97" s="46" t="str">
        <f>IF(CARGA_DIARIA!A97="","",CARGA_DIARIA!B97)</f>
        <v/>
      </c>
      <c r="C97" s="47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48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48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51" t="s">
        <v>146</v>
      </c>
      <c r="G97" s="51" t="s">
        <v>146</v>
      </c>
      <c r="H97" s="50" t="str">
        <f>IF(CARGA_DIARIA!A97="","",C97-D97-E97)</f>
        <v/>
      </c>
    </row>
    <row r="98" spans="1:8" ht="15.75" customHeight="1" x14ac:dyDescent="0.25">
      <c r="A98" s="45" t="str">
        <f>IF(CARGA_DIARIA!A98="","",CARGA_DIARIA!A98)</f>
        <v/>
      </c>
      <c r="B98" s="46" t="str">
        <f>IF(CARGA_DIARIA!A98="","",CARGA_DIARIA!B98)</f>
        <v/>
      </c>
      <c r="C98" s="47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48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48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51" t="s">
        <v>146</v>
      </c>
      <c r="G98" s="51" t="s">
        <v>146</v>
      </c>
      <c r="H98" s="50" t="str">
        <f>IF(CARGA_DIARIA!A98="","",C98-D98-E98)</f>
        <v/>
      </c>
    </row>
    <row r="99" spans="1:8" ht="15.75" customHeight="1" x14ac:dyDescent="0.25">
      <c r="A99" s="45" t="str">
        <f>IF(CARGA_DIARIA!A99="","",CARGA_DIARIA!A99)</f>
        <v/>
      </c>
      <c r="B99" s="46" t="str">
        <f>IF(CARGA_DIARIA!A99="","",CARGA_DIARIA!B99)</f>
        <v/>
      </c>
      <c r="C99" s="47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48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48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51" t="s">
        <v>146</v>
      </c>
      <c r="G99" s="51" t="s">
        <v>146</v>
      </c>
      <c r="H99" s="50" t="str">
        <f>IF(CARGA_DIARIA!A99="","",C99-D99-E99)</f>
        <v/>
      </c>
    </row>
    <row r="100" spans="1:8" ht="15.75" customHeight="1" x14ac:dyDescent="0.25">
      <c r="A100" s="45" t="str">
        <f>IF(CARGA_DIARIA!A100="","",CARGA_DIARIA!A100)</f>
        <v/>
      </c>
      <c r="B100" s="46" t="str">
        <f>IF(CARGA_DIARIA!A100="","",CARGA_DIARIA!B100)</f>
        <v/>
      </c>
      <c r="C100" s="47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48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48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51" t="s">
        <v>146</v>
      </c>
      <c r="G100" s="51" t="s">
        <v>146</v>
      </c>
      <c r="H100" s="50" t="str">
        <f>IF(CARGA_DIARIA!A100="","",C100-D100-E100)</f>
        <v/>
      </c>
    </row>
    <row r="101" spans="1:8" ht="15.75" customHeight="1" x14ac:dyDescent="0.25">
      <c r="A101" s="45" t="str">
        <f>IF(CARGA_DIARIA!A101="","",CARGA_DIARIA!A101)</f>
        <v/>
      </c>
      <c r="B101" s="46" t="str">
        <f>IF(CARGA_DIARIA!A101="","",CARGA_DIARIA!B101)</f>
        <v/>
      </c>
      <c r="C101" s="47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48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48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51" t="s">
        <v>146</v>
      </c>
      <c r="G101" s="51" t="s">
        <v>146</v>
      </c>
      <c r="H101" s="50" t="str">
        <f>IF(CARGA_DIARIA!A101="","",C101-D101-E101)</f>
        <v/>
      </c>
    </row>
    <row r="102" spans="1:8" ht="15.75" customHeight="1" x14ac:dyDescent="0.25">
      <c r="A102" s="45" t="str">
        <f>IF(CARGA_DIARIA!A102="","",CARGA_DIARIA!A102)</f>
        <v/>
      </c>
      <c r="B102" s="46" t="str">
        <f>IF(CARGA_DIARIA!A102="","",CARGA_DIARIA!B102)</f>
        <v/>
      </c>
      <c r="C102" s="47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48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48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51" t="s">
        <v>146</v>
      </c>
      <c r="G102" s="51" t="s">
        <v>146</v>
      </c>
      <c r="H102" s="50" t="str">
        <f>IF(CARGA_DIARIA!A102="","",C102-D102-E102)</f>
        <v/>
      </c>
    </row>
    <row r="103" spans="1:8" ht="15.75" customHeight="1" x14ac:dyDescent="0.25">
      <c r="A103" s="45" t="str">
        <f>IF(CARGA_DIARIA!A103="","",CARGA_DIARIA!A103)</f>
        <v/>
      </c>
      <c r="B103" s="46" t="str">
        <f>IF(CARGA_DIARIA!A103="","",CARGA_DIARIA!B103)</f>
        <v/>
      </c>
      <c r="C103" s="47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48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48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51" t="s">
        <v>146</v>
      </c>
      <c r="G103" s="51" t="s">
        <v>146</v>
      </c>
      <c r="H103" s="50" t="str">
        <f>IF(CARGA_DIARIA!A103="","",C103-D103-E103)</f>
        <v/>
      </c>
    </row>
    <row r="104" spans="1:8" ht="15.75" customHeight="1" x14ac:dyDescent="0.25">
      <c r="A104" s="45" t="str">
        <f>IF(CARGA_DIARIA!A104="","",CARGA_DIARIA!A104)</f>
        <v/>
      </c>
      <c r="B104" s="46" t="str">
        <f>IF(CARGA_DIARIA!A104="","",CARGA_DIARIA!B104)</f>
        <v/>
      </c>
      <c r="C104" s="47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48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48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51" t="s">
        <v>146</v>
      </c>
      <c r="G104" s="51" t="s">
        <v>146</v>
      </c>
      <c r="H104" s="50" t="str">
        <f>IF(CARGA_DIARIA!A104="","",C104-D104-E104)</f>
        <v/>
      </c>
    </row>
    <row r="105" spans="1:8" ht="15.75" customHeight="1" x14ac:dyDescent="0.25">
      <c r="A105" s="45" t="str">
        <f>IF(CARGA_DIARIA!A105="","",CARGA_DIARIA!A105)</f>
        <v/>
      </c>
      <c r="B105" s="46" t="str">
        <f>IF(CARGA_DIARIA!A105="","",CARGA_DIARIA!B105)</f>
        <v/>
      </c>
      <c r="C105" s="47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48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48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51" t="s">
        <v>146</v>
      </c>
      <c r="G105" s="51" t="s">
        <v>146</v>
      </c>
      <c r="H105" s="50" t="str">
        <f>IF(CARGA_DIARIA!A105="","",C105-D105-E105)</f>
        <v/>
      </c>
    </row>
    <row r="106" spans="1:8" ht="15.75" customHeight="1" x14ac:dyDescent="0.25">
      <c r="A106" s="45" t="str">
        <f>IF(CARGA_DIARIA!A106="","",CARGA_DIARIA!A106)</f>
        <v/>
      </c>
      <c r="B106" s="46" t="str">
        <f>IF(CARGA_DIARIA!A106="","",CARGA_DIARIA!B106)</f>
        <v/>
      </c>
      <c r="C106" s="47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48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48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51" t="s">
        <v>146</v>
      </c>
      <c r="G106" s="51" t="s">
        <v>146</v>
      </c>
      <c r="H106" s="50" t="str">
        <f>IF(CARGA_DIARIA!A106="","",C106-D106-E106)</f>
        <v/>
      </c>
    </row>
    <row r="107" spans="1:8" ht="15.75" customHeight="1" x14ac:dyDescent="0.25">
      <c r="A107" s="45" t="str">
        <f>IF(CARGA_DIARIA!A107="","",CARGA_DIARIA!A107)</f>
        <v/>
      </c>
      <c r="B107" s="46" t="str">
        <f>IF(CARGA_DIARIA!A107="","",CARGA_DIARIA!B107)</f>
        <v/>
      </c>
      <c r="C107" s="47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48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48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51" t="s">
        <v>146</v>
      </c>
      <c r="G107" s="51" t="s">
        <v>146</v>
      </c>
      <c r="H107" s="50" t="str">
        <f>IF(CARGA_DIARIA!A107="","",C107-D107-E107)</f>
        <v/>
      </c>
    </row>
    <row r="108" spans="1:8" ht="15.75" customHeight="1" x14ac:dyDescent="0.25">
      <c r="A108" s="45" t="str">
        <f>IF(CARGA_DIARIA!A108="","",CARGA_DIARIA!A108)</f>
        <v/>
      </c>
      <c r="B108" s="46" t="str">
        <f>IF(CARGA_DIARIA!A108="","",CARGA_DIARIA!B108)</f>
        <v/>
      </c>
      <c r="C108" s="47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48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48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51" t="s">
        <v>146</v>
      </c>
      <c r="G108" s="51" t="s">
        <v>146</v>
      </c>
      <c r="H108" s="50" t="str">
        <f>IF(CARGA_DIARIA!A108="","",C108-D108-E108)</f>
        <v/>
      </c>
    </row>
    <row r="109" spans="1:8" ht="15.75" customHeight="1" x14ac:dyDescent="0.25">
      <c r="A109" s="45" t="str">
        <f>IF(CARGA_DIARIA!A109="","",CARGA_DIARIA!A109)</f>
        <v/>
      </c>
      <c r="B109" s="46" t="str">
        <f>IF(CARGA_DIARIA!A109="","",CARGA_DIARIA!B109)</f>
        <v/>
      </c>
      <c r="C109" s="47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48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48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51" t="s">
        <v>146</v>
      </c>
      <c r="G109" s="51" t="s">
        <v>146</v>
      </c>
      <c r="H109" s="50" t="str">
        <f>IF(CARGA_DIARIA!A109="","",C109-D109-E109)</f>
        <v/>
      </c>
    </row>
    <row r="110" spans="1:8" ht="15.75" customHeight="1" x14ac:dyDescent="0.25">
      <c r="A110" s="45" t="str">
        <f>IF(CARGA_DIARIA!A110="","",CARGA_DIARIA!A110)</f>
        <v/>
      </c>
      <c r="B110" s="46" t="str">
        <f>IF(CARGA_DIARIA!A110="","",CARGA_DIARIA!B110)</f>
        <v/>
      </c>
      <c r="C110" s="47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48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48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51" t="s">
        <v>146</v>
      </c>
      <c r="G110" s="51" t="s">
        <v>146</v>
      </c>
      <c r="H110" s="50" t="str">
        <f>IF(CARGA_DIARIA!A110="","",C110-D110-E110)</f>
        <v/>
      </c>
    </row>
    <row r="111" spans="1:8" ht="15.75" customHeight="1" x14ac:dyDescent="0.25">
      <c r="A111" s="45" t="str">
        <f>IF(CARGA_DIARIA!A111="","",CARGA_DIARIA!A111)</f>
        <v/>
      </c>
      <c r="B111" s="46" t="str">
        <f>IF(CARGA_DIARIA!A111="","",CARGA_DIARIA!B111)</f>
        <v/>
      </c>
      <c r="C111" s="47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48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48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51" t="s">
        <v>146</v>
      </c>
      <c r="G111" s="51" t="s">
        <v>146</v>
      </c>
      <c r="H111" s="50" t="str">
        <f>IF(CARGA_DIARIA!A111="","",C111-D111-E111)</f>
        <v/>
      </c>
    </row>
    <row r="112" spans="1:8" ht="15.75" customHeight="1" x14ac:dyDescent="0.25">
      <c r="A112" s="45" t="str">
        <f>IF(CARGA_DIARIA!A112="","",CARGA_DIARIA!A112)</f>
        <v/>
      </c>
      <c r="B112" s="46" t="str">
        <f>IF(CARGA_DIARIA!A112="","",CARGA_DIARIA!B112)</f>
        <v/>
      </c>
      <c r="C112" s="47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48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48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51" t="s">
        <v>146</v>
      </c>
      <c r="G112" s="51" t="s">
        <v>146</v>
      </c>
      <c r="H112" s="50" t="str">
        <f>IF(CARGA_DIARIA!A112="","",C112-D112-E112)</f>
        <v/>
      </c>
    </row>
    <row r="113" spans="1:8" ht="15.75" customHeight="1" x14ac:dyDescent="0.25">
      <c r="A113" s="45" t="str">
        <f>IF(CARGA_DIARIA!A113="","",CARGA_DIARIA!A113)</f>
        <v/>
      </c>
      <c r="B113" s="46" t="str">
        <f>IF(CARGA_DIARIA!A113="","",CARGA_DIARIA!B113)</f>
        <v/>
      </c>
      <c r="C113" s="47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48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48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51" t="s">
        <v>146</v>
      </c>
      <c r="G113" s="51" t="s">
        <v>146</v>
      </c>
      <c r="H113" s="50" t="str">
        <f>IF(CARGA_DIARIA!A113="","",C113-D113-E113)</f>
        <v/>
      </c>
    </row>
    <row r="114" spans="1:8" ht="15.75" customHeight="1" x14ac:dyDescent="0.25">
      <c r="A114" s="45" t="str">
        <f>IF(CARGA_DIARIA!A114="","",CARGA_DIARIA!A114)</f>
        <v/>
      </c>
      <c r="B114" s="46" t="str">
        <f>IF(CARGA_DIARIA!A114="","",CARGA_DIARIA!B114)</f>
        <v/>
      </c>
      <c r="C114" s="47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48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48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51" t="s">
        <v>146</v>
      </c>
      <c r="G114" s="51" t="s">
        <v>146</v>
      </c>
      <c r="H114" s="50" t="str">
        <f>IF(CARGA_DIARIA!A114="","",C114-D114-E114)</f>
        <v/>
      </c>
    </row>
    <row r="115" spans="1:8" ht="15.75" customHeight="1" x14ac:dyDescent="0.25">
      <c r="A115" s="45" t="str">
        <f>IF(CARGA_DIARIA!A115="","",CARGA_DIARIA!A115)</f>
        <v/>
      </c>
      <c r="B115" s="46" t="str">
        <f>IF(CARGA_DIARIA!A115="","",CARGA_DIARIA!B115)</f>
        <v/>
      </c>
      <c r="C115" s="47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48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48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51" t="s">
        <v>146</v>
      </c>
      <c r="G115" s="51" t="s">
        <v>146</v>
      </c>
      <c r="H115" s="50" t="str">
        <f>IF(CARGA_DIARIA!A115="","",C115-D115-E115)</f>
        <v/>
      </c>
    </row>
    <row r="116" spans="1:8" ht="15.75" customHeight="1" x14ac:dyDescent="0.25">
      <c r="A116" s="45" t="str">
        <f>IF(CARGA_DIARIA!A116="","",CARGA_DIARIA!A116)</f>
        <v/>
      </c>
      <c r="B116" s="46" t="str">
        <f>IF(CARGA_DIARIA!A116="","",CARGA_DIARIA!B116)</f>
        <v/>
      </c>
      <c r="C116" s="47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48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48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51" t="s">
        <v>146</v>
      </c>
      <c r="G116" s="51" t="s">
        <v>146</v>
      </c>
      <c r="H116" s="50" t="str">
        <f>IF(CARGA_DIARIA!A116="","",C116-D116-E116)</f>
        <v/>
      </c>
    </row>
    <row r="117" spans="1:8" ht="15.75" customHeight="1" x14ac:dyDescent="0.25">
      <c r="A117" s="45" t="str">
        <f>IF(CARGA_DIARIA!A117="","",CARGA_DIARIA!A117)</f>
        <v/>
      </c>
      <c r="B117" s="46" t="str">
        <f>IF(CARGA_DIARIA!A117="","",CARGA_DIARIA!B117)</f>
        <v/>
      </c>
      <c r="C117" s="47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48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48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51" t="s">
        <v>146</v>
      </c>
      <c r="G117" s="51" t="s">
        <v>146</v>
      </c>
      <c r="H117" s="50" t="str">
        <f>IF(CARGA_DIARIA!A117="","",C117-D117-E117)</f>
        <v/>
      </c>
    </row>
    <row r="118" spans="1:8" ht="15.75" customHeight="1" x14ac:dyDescent="0.25">
      <c r="A118" s="45" t="str">
        <f>IF(CARGA_DIARIA!A118="","",CARGA_DIARIA!A118)</f>
        <v/>
      </c>
      <c r="B118" s="46" t="str">
        <f>IF(CARGA_DIARIA!A118="","",CARGA_DIARIA!B118)</f>
        <v/>
      </c>
      <c r="C118" s="47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48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48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51" t="s">
        <v>146</v>
      </c>
      <c r="G118" s="51" t="s">
        <v>146</v>
      </c>
      <c r="H118" s="50" t="str">
        <f>IF(CARGA_DIARIA!A118="","",C118-D118-E118)</f>
        <v/>
      </c>
    </row>
    <row r="119" spans="1:8" ht="15.75" customHeight="1" x14ac:dyDescent="0.25">
      <c r="A119" s="45" t="str">
        <f>IF(CARGA_DIARIA!A119="","",CARGA_DIARIA!A119)</f>
        <v/>
      </c>
      <c r="B119" s="46" t="str">
        <f>IF(CARGA_DIARIA!A119="","",CARGA_DIARIA!B119)</f>
        <v/>
      </c>
      <c r="C119" s="47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48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48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51" t="s">
        <v>146</v>
      </c>
      <c r="G119" s="51" t="s">
        <v>146</v>
      </c>
      <c r="H119" s="50" t="str">
        <f>IF(CARGA_DIARIA!A119="","",C119-D119-E119)</f>
        <v/>
      </c>
    </row>
    <row r="120" spans="1:8" ht="15.75" customHeight="1" x14ac:dyDescent="0.25">
      <c r="A120" s="45" t="str">
        <f>IF(CARGA_DIARIA!A120="","",CARGA_DIARIA!A120)</f>
        <v/>
      </c>
      <c r="B120" s="46" t="str">
        <f>IF(CARGA_DIARIA!A120="","",CARGA_DIARIA!B120)</f>
        <v/>
      </c>
      <c r="C120" s="47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48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48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51" t="s">
        <v>146</v>
      </c>
      <c r="G120" s="51" t="s">
        <v>146</v>
      </c>
      <c r="H120" s="50" t="str">
        <f>IF(CARGA_DIARIA!A120="","",C120-D120-E120)</f>
        <v/>
      </c>
    </row>
    <row r="121" spans="1:8" ht="15.75" customHeight="1" x14ac:dyDescent="0.25">
      <c r="A121" s="45" t="str">
        <f>IF(CARGA_DIARIA!A121="","",CARGA_DIARIA!A121)</f>
        <v/>
      </c>
      <c r="B121" s="46" t="str">
        <f>IF(CARGA_DIARIA!A121="","",CARGA_DIARIA!B121)</f>
        <v/>
      </c>
      <c r="C121" s="47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48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48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51" t="s">
        <v>146</v>
      </c>
      <c r="G121" s="51" t="s">
        <v>146</v>
      </c>
      <c r="H121" s="50" t="str">
        <f>IF(CARGA_DIARIA!A121="","",C121-D121-E121)</f>
        <v/>
      </c>
    </row>
    <row r="122" spans="1:8" ht="15.75" customHeight="1" x14ac:dyDescent="0.25">
      <c r="A122" s="45" t="str">
        <f>IF(CARGA_DIARIA!A122="","",CARGA_DIARIA!A122)</f>
        <v/>
      </c>
      <c r="B122" s="46" t="str">
        <f>IF(CARGA_DIARIA!A122="","",CARGA_DIARIA!B122)</f>
        <v/>
      </c>
      <c r="C122" s="47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48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48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51" t="s">
        <v>146</v>
      </c>
      <c r="G122" s="51" t="s">
        <v>146</v>
      </c>
      <c r="H122" s="50" t="str">
        <f>IF(CARGA_DIARIA!A122="","",C122-D122-E122)</f>
        <v/>
      </c>
    </row>
    <row r="123" spans="1:8" ht="15.75" customHeight="1" x14ac:dyDescent="0.25">
      <c r="A123" s="45" t="str">
        <f>IF(CARGA_DIARIA!A123="","",CARGA_DIARIA!A123)</f>
        <v/>
      </c>
      <c r="B123" s="46" t="str">
        <f>IF(CARGA_DIARIA!A123="","",CARGA_DIARIA!B123)</f>
        <v/>
      </c>
      <c r="C123" s="47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48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48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51" t="s">
        <v>146</v>
      </c>
      <c r="G123" s="51" t="s">
        <v>146</v>
      </c>
      <c r="H123" s="50" t="str">
        <f>IF(CARGA_DIARIA!A123="","",C123-D123-E123)</f>
        <v/>
      </c>
    </row>
    <row r="124" spans="1:8" ht="15.75" customHeight="1" x14ac:dyDescent="0.25">
      <c r="A124" s="45" t="str">
        <f>IF(CARGA_DIARIA!A124="","",CARGA_DIARIA!A124)</f>
        <v/>
      </c>
      <c r="B124" s="46" t="str">
        <f>IF(CARGA_DIARIA!A124="","",CARGA_DIARIA!B124)</f>
        <v/>
      </c>
      <c r="C124" s="47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48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48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51" t="s">
        <v>146</v>
      </c>
      <c r="G124" s="51" t="s">
        <v>146</v>
      </c>
      <c r="H124" s="50" t="str">
        <f>IF(CARGA_DIARIA!A124="","",C124-D124-E124)</f>
        <v/>
      </c>
    </row>
    <row r="125" spans="1:8" ht="15.75" customHeight="1" x14ac:dyDescent="0.25">
      <c r="A125" s="45" t="str">
        <f>IF(CARGA_DIARIA!A125="","",CARGA_DIARIA!A125)</f>
        <v/>
      </c>
      <c r="B125" s="46" t="str">
        <f>IF(CARGA_DIARIA!A125="","",CARGA_DIARIA!B125)</f>
        <v/>
      </c>
      <c r="C125" s="47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48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48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51" t="s">
        <v>146</v>
      </c>
      <c r="G125" s="51" t="s">
        <v>146</v>
      </c>
      <c r="H125" s="50" t="str">
        <f>IF(CARGA_DIARIA!A125="","",C125-D125-E125)</f>
        <v/>
      </c>
    </row>
    <row r="126" spans="1:8" ht="15.75" customHeight="1" x14ac:dyDescent="0.25">
      <c r="A126" s="45" t="str">
        <f>IF(CARGA_DIARIA!A126="","",CARGA_DIARIA!A126)</f>
        <v/>
      </c>
      <c r="B126" s="46" t="str">
        <f>IF(CARGA_DIARIA!A126="","",CARGA_DIARIA!B126)</f>
        <v/>
      </c>
      <c r="C126" s="47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48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48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51" t="s">
        <v>146</v>
      </c>
      <c r="G126" s="51" t="s">
        <v>146</v>
      </c>
      <c r="H126" s="50" t="str">
        <f>IF(CARGA_DIARIA!A126="","",C126-D126-E126)</f>
        <v/>
      </c>
    </row>
    <row r="127" spans="1:8" ht="15.75" customHeight="1" x14ac:dyDescent="0.25">
      <c r="A127" s="45" t="str">
        <f>IF(CARGA_DIARIA!A127="","",CARGA_DIARIA!A127)</f>
        <v/>
      </c>
      <c r="B127" s="46" t="str">
        <f>IF(CARGA_DIARIA!A127="","",CARGA_DIARIA!B127)</f>
        <v/>
      </c>
      <c r="C127" s="47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48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48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51" t="s">
        <v>146</v>
      </c>
      <c r="G127" s="51" t="s">
        <v>146</v>
      </c>
      <c r="H127" s="50" t="str">
        <f>IF(CARGA_DIARIA!A127="","",C127-D127-E127)</f>
        <v/>
      </c>
    </row>
    <row r="128" spans="1:8" ht="15.75" customHeight="1" x14ac:dyDescent="0.25">
      <c r="A128" s="45" t="str">
        <f>IF(CARGA_DIARIA!A128="","",CARGA_DIARIA!A128)</f>
        <v/>
      </c>
      <c r="B128" s="46" t="str">
        <f>IF(CARGA_DIARIA!A128="","",CARGA_DIARIA!B128)</f>
        <v/>
      </c>
      <c r="C128" s="47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48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48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51" t="s">
        <v>146</v>
      </c>
      <c r="G128" s="51" t="s">
        <v>146</v>
      </c>
      <c r="H128" s="50" t="str">
        <f>IF(CARGA_DIARIA!A128="","",C128-D128-E128)</f>
        <v/>
      </c>
    </row>
    <row r="129" spans="1:8" ht="15.75" customHeight="1" x14ac:dyDescent="0.25">
      <c r="A129" s="45" t="str">
        <f>IF(CARGA_DIARIA!A129="","",CARGA_DIARIA!A129)</f>
        <v/>
      </c>
      <c r="B129" s="46" t="str">
        <f>IF(CARGA_DIARIA!A129="","",CARGA_DIARIA!B129)</f>
        <v/>
      </c>
      <c r="C129" s="47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48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48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51" t="s">
        <v>146</v>
      </c>
      <c r="G129" s="51" t="s">
        <v>146</v>
      </c>
      <c r="H129" s="50" t="str">
        <f>IF(CARGA_DIARIA!A129="","",C129-D129-E129)</f>
        <v/>
      </c>
    </row>
    <row r="130" spans="1:8" ht="15.75" customHeight="1" x14ac:dyDescent="0.25">
      <c r="A130" s="45" t="str">
        <f>IF(CARGA_DIARIA!A130="","",CARGA_DIARIA!A130)</f>
        <v/>
      </c>
      <c r="B130" s="46" t="str">
        <f>IF(CARGA_DIARIA!A130="","",CARGA_DIARIA!B130)</f>
        <v/>
      </c>
      <c r="C130" s="47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48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48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51" t="s">
        <v>146</v>
      </c>
      <c r="G130" s="51" t="s">
        <v>146</v>
      </c>
      <c r="H130" s="50" t="str">
        <f>IF(CARGA_DIARIA!A130="","",C130-D130-E130)</f>
        <v/>
      </c>
    </row>
    <row r="131" spans="1:8" ht="15.75" customHeight="1" x14ac:dyDescent="0.25">
      <c r="A131" s="45" t="str">
        <f>IF(CARGA_DIARIA!A131="","",CARGA_DIARIA!A131)</f>
        <v/>
      </c>
      <c r="B131" s="46" t="str">
        <f>IF(CARGA_DIARIA!A131="","",CARGA_DIARIA!B131)</f>
        <v/>
      </c>
      <c r="C131" s="47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48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48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51" t="s">
        <v>146</v>
      </c>
      <c r="G131" s="51" t="s">
        <v>146</v>
      </c>
      <c r="H131" s="50" t="str">
        <f>IF(CARGA_DIARIA!A131="","",C131-D131-E131)</f>
        <v/>
      </c>
    </row>
    <row r="132" spans="1:8" ht="15.75" customHeight="1" x14ac:dyDescent="0.25">
      <c r="A132" s="45" t="str">
        <f>IF(CARGA_DIARIA!A132="","",CARGA_DIARIA!A132)</f>
        <v/>
      </c>
      <c r="B132" s="46" t="str">
        <f>IF(CARGA_DIARIA!A132="","",CARGA_DIARIA!B132)</f>
        <v/>
      </c>
      <c r="C132" s="47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48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48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51" t="s">
        <v>146</v>
      </c>
      <c r="G132" s="51" t="s">
        <v>146</v>
      </c>
      <c r="H132" s="50" t="str">
        <f>IF(CARGA_DIARIA!A132="","",C132-D132-E132)</f>
        <v/>
      </c>
    </row>
    <row r="133" spans="1:8" ht="15.75" customHeight="1" x14ac:dyDescent="0.25">
      <c r="A133" s="45" t="str">
        <f>IF(CARGA_DIARIA!A133="","",CARGA_DIARIA!A133)</f>
        <v/>
      </c>
      <c r="B133" s="46" t="str">
        <f>IF(CARGA_DIARIA!A133="","",CARGA_DIARIA!B133)</f>
        <v/>
      </c>
      <c r="C133" s="47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48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48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51" t="s">
        <v>146</v>
      </c>
      <c r="G133" s="51" t="s">
        <v>146</v>
      </c>
      <c r="H133" s="50" t="str">
        <f>IF(CARGA_DIARIA!A133="","",C133-D133-E133)</f>
        <v/>
      </c>
    </row>
    <row r="134" spans="1:8" ht="15.75" customHeight="1" x14ac:dyDescent="0.25">
      <c r="A134" s="45" t="str">
        <f>IF(CARGA_DIARIA!A134="","",CARGA_DIARIA!A134)</f>
        <v/>
      </c>
      <c r="B134" s="46" t="str">
        <f>IF(CARGA_DIARIA!A134="","",CARGA_DIARIA!B134)</f>
        <v/>
      </c>
      <c r="C134" s="47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48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48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51" t="s">
        <v>146</v>
      </c>
      <c r="G134" s="51" t="s">
        <v>146</v>
      </c>
      <c r="H134" s="50" t="str">
        <f>IF(CARGA_DIARIA!A134="","",C134-D134-E134)</f>
        <v/>
      </c>
    </row>
    <row r="135" spans="1:8" ht="15.75" customHeight="1" x14ac:dyDescent="0.25">
      <c r="A135" s="45" t="str">
        <f>IF(CARGA_DIARIA!A135="","",CARGA_DIARIA!A135)</f>
        <v/>
      </c>
      <c r="B135" s="46" t="str">
        <f>IF(CARGA_DIARIA!A135="","",CARGA_DIARIA!B135)</f>
        <v/>
      </c>
      <c r="C135" s="47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48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48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51" t="s">
        <v>146</v>
      </c>
      <c r="G135" s="51" t="s">
        <v>146</v>
      </c>
      <c r="H135" s="50" t="str">
        <f>IF(CARGA_DIARIA!A135="","",C135-D135-E135)</f>
        <v/>
      </c>
    </row>
    <row r="136" spans="1:8" ht="15.75" customHeight="1" x14ac:dyDescent="0.25">
      <c r="A136" s="45" t="str">
        <f>IF(CARGA_DIARIA!A136="","",CARGA_DIARIA!A136)</f>
        <v/>
      </c>
      <c r="B136" s="46" t="str">
        <f>IF(CARGA_DIARIA!A136="","",CARGA_DIARIA!B136)</f>
        <v/>
      </c>
      <c r="C136" s="47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48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48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51" t="s">
        <v>146</v>
      </c>
      <c r="G136" s="51" t="s">
        <v>146</v>
      </c>
      <c r="H136" s="50" t="str">
        <f>IF(CARGA_DIARIA!A136="","",C136-D136-E136)</f>
        <v/>
      </c>
    </row>
    <row r="137" spans="1:8" ht="15.75" customHeight="1" x14ac:dyDescent="0.25">
      <c r="A137" s="45" t="str">
        <f>IF(CARGA_DIARIA!A137="","",CARGA_DIARIA!A137)</f>
        <v/>
      </c>
      <c r="B137" s="46" t="str">
        <f>IF(CARGA_DIARIA!A137="","",CARGA_DIARIA!B137)</f>
        <v/>
      </c>
      <c r="C137" s="47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48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48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51" t="s">
        <v>146</v>
      </c>
      <c r="G137" s="51" t="s">
        <v>146</v>
      </c>
      <c r="H137" s="50" t="str">
        <f>IF(CARGA_DIARIA!A137="","",C137-D137-E137)</f>
        <v/>
      </c>
    </row>
    <row r="138" spans="1:8" ht="15.75" customHeight="1" x14ac:dyDescent="0.25">
      <c r="A138" s="45" t="str">
        <f>IF(CARGA_DIARIA!A138="","",CARGA_DIARIA!A138)</f>
        <v/>
      </c>
      <c r="B138" s="46" t="str">
        <f>IF(CARGA_DIARIA!A138="","",CARGA_DIARIA!B138)</f>
        <v/>
      </c>
      <c r="C138" s="47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48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48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51" t="s">
        <v>146</v>
      </c>
      <c r="G138" s="51" t="s">
        <v>146</v>
      </c>
      <c r="H138" s="50" t="str">
        <f>IF(CARGA_DIARIA!A138="","",C138-D138-E138)</f>
        <v/>
      </c>
    </row>
    <row r="139" spans="1:8" ht="15.75" customHeight="1" x14ac:dyDescent="0.25">
      <c r="A139" s="45" t="str">
        <f>IF(CARGA_DIARIA!A139="","",CARGA_DIARIA!A139)</f>
        <v/>
      </c>
      <c r="B139" s="46" t="str">
        <f>IF(CARGA_DIARIA!A139="","",CARGA_DIARIA!B139)</f>
        <v/>
      </c>
      <c r="C139" s="47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48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48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51" t="s">
        <v>146</v>
      </c>
      <c r="G139" s="51" t="s">
        <v>146</v>
      </c>
      <c r="H139" s="50" t="str">
        <f>IF(CARGA_DIARIA!A139="","",C139-D139-E139)</f>
        <v/>
      </c>
    </row>
    <row r="140" spans="1:8" ht="15.75" customHeight="1" x14ac:dyDescent="0.25">
      <c r="A140" s="45" t="str">
        <f>IF(CARGA_DIARIA!A140="","",CARGA_DIARIA!A140)</f>
        <v/>
      </c>
      <c r="B140" s="46" t="str">
        <f>IF(CARGA_DIARIA!A140="","",CARGA_DIARIA!B140)</f>
        <v/>
      </c>
      <c r="C140" s="47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48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48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51" t="s">
        <v>146</v>
      </c>
      <c r="G140" s="51" t="s">
        <v>146</v>
      </c>
      <c r="H140" s="50" t="str">
        <f>IF(CARGA_DIARIA!A140="","",C140-D140-E140)</f>
        <v/>
      </c>
    </row>
    <row r="141" spans="1:8" ht="15.75" customHeight="1" x14ac:dyDescent="0.25">
      <c r="A141" s="45" t="str">
        <f>IF(CARGA_DIARIA!A141="","",CARGA_DIARIA!A141)</f>
        <v/>
      </c>
      <c r="B141" s="46" t="str">
        <f>IF(CARGA_DIARIA!A141="","",CARGA_DIARIA!B141)</f>
        <v/>
      </c>
      <c r="C141" s="47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48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48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51" t="s">
        <v>146</v>
      </c>
      <c r="G141" s="51" t="s">
        <v>146</v>
      </c>
      <c r="H141" s="50" t="str">
        <f>IF(CARGA_DIARIA!A141="","",C141-D141-E141)</f>
        <v/>
      </c>
    </row>
    <row r="142" spans="1:8" ht="15.75" customHeight="1" x14ac:dyDescent="0.25">
      <c r="A142" s="45" t="str">
        <f>IF(CARGA_DIARIA!A142="","",CARGA_DIARIA!A142)</f>
        <v/>
      </c>
      <c r="B142" s="46" t="str">
        <f>IF(CARGA_DIARIA!A142="","",CARGA_DIARIA!B142)</f>
        <v/>
      </c>
      <c r="C142" s="47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48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48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51" t="s">
        <v>146</v>
      </c>
      <c r="G142" s="51" t="s">
        <v>146</v>
      </c>
      <c r="H142" s="50" t="str">
        <f>IF(CARGA_DIARIA!A142="","",C142-D142-E142)</f>
        <v/>
      </c>
    </row>
    <row r="143" spans="1:8" ht="15.75" customHeight="1" x14ac:dyDescent="0.25">
      <c r="A143" s="45" t="str">
        <f>IF(CARGA_DIARIA!A143="","",CARGA_DIARIA!A143)</f>
        <v/>
      </c>
      <c r="B143" s="46" t="str">
        <f>IF(CARGA_DIARIA!A143="","",CARGA_DIARIA!B143)</f>
        <v/>
      </c>
      <c r="C143" s="47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48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48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51" t="s">
        <v>146</v>
      </c>
      <c r="G143" s="51" t="s">
        <v>146</v>
      </c>
      <c r="H143" s="50" t="str">
        <f>IF(CARGA_DIARIA!A143="","",C143-D143-E143)</f>
        <v/>
      </c>
    </row>
    <row r="144" spans="1:8" ht="15.75" customHeight="1" x14ac:dyDescent="0.25">
      <c r="A144" s="45" t="str">
        <f>IF(CARGA_DIARIA!A144="","",CARGA_DIARIA!A144)</f>
        <v/>
      </c>
      <c r="B144" s="46" t="str">
        <f>IF(CARGA_DIARIA!A144="","",CARGA_DIARIA!B144)</f>
        <v/>
      </c>
      <c r="C144" s="47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48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48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51" t="s">
        <v>146</v>
      </c>
      <c r="G144" s="51" t="s">
        <v>146</v>
      </c>
      <c r="H144" s="50" t="str">
        <f>IF(CARGA_DIARIA!A144="","",C144-D144-E144)</f>
        <v/>
      </c>
    </row>
    <row r="145" spans="1:8" ht="15.75" customHeight="1" x14ac:dyDescent="0.25">
      <c r="A145" s="45" t="str">
        <f>IF(CARGA_DIARIA!A145="","",CARGA_DIARIA!A145)</f>
        <v/>
      </c>
      <c r="B145" s="46" t="str">
        <f>IF(CARGA_DIARIA!A145="","",CARGA_DIARIA!B145)</f>
        <v/>
      </c>
      <c r="C145" s="47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48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48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51" t="s">
        <v>146</v>
      </c>
      <c r="G145" s="51" t="s">
        <v>146</v>
      </c>
      <c r="H145" s="50" t="str">
        <f>IF(CARGA_DIARIA!A145="","",C145-D145-E145)</f>
        <v/>
      </c>
    </row>
    <row r="146" spans="1:8" ht="15.75" customHeight="1" x14ac:dyDescent="0.25">
      <c r="A146" s="45" t="str">
        <f>IF(CARGA_DIARIA!A146="","",CARGA_DIARIA!A146)</f>
        <v/>
      </c>
      <c r="B146" s="46" t="str">
        <f>IF(CARGA_DIARIA!A146="","",CARGA_DIARIA!B146)</f>
        <v/>
      </c>
      <c r="C146" s="47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48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48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51" t="s">
        <v>146</v>
      </c>
      <c r="G146" s="51" t="s">
        <v>146</v>
      </c>
      <c r="H146" s="50" t="str">
        <f>IF(CARGA_DIARIA!A146="","",C146-D146-E146)</f>
        <v/>
      </c>
    </row>
    <row r="147" spans="1:8" ht="15.75" customHeight="1" x14ac:dyDescent="0.25">
      <c r="A147" s="45" t="str">
        <f>IF(CARGA_DIARIA!A147="","",CARGA_DIARIA!A147)</f>
        <v/>
      </c>
      <c r="B147" s="46" t="str">
        <f>IF(CARGA_DIARIA!A147="","",CARGA_DIARIA!B147)</f>
        <v/>
      </c>
      <c r="C147" s="47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48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48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51" t="s">
        <v>146</v>
      </c>
      <c r="G147" s="51" t="s">
        <v>146</v>
      </c>
      <c r="H147" s="50" t="str">
        <f>IF(CARGA_DIARIA!A147="","",C147-D147-E147)</f>
        <v/>
      </c>
    </row>
    <row r="148" spans="1:8" ht="15.75" customHeight="1" x14ac:dyDescent="0.25">
      <c r="A148" s="45" t="str">
        <f>IF(CARGA_DIARIA!A148="","",CARGA_DIARIA!A148)</f>
        <v/>
      </c>
      <c r="B148" s="46" t="str">
        <f>IF(CARGA_DIARIA!A148="","",CARGA_DIARIA!B148)</f>
        <v/>
      </c>
      <c r="C148" s="47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48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48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51" t="s">
        <v>146</v>
      </c>
      <c r="G148" s="51" t="s">
        <v>146</v>
      </c>
      <c r="H148" s="50" t="str">
        <f>IF(CARGA_DIARIA!A148="","",C148-D148-E148)</f>
        <v/>
      </c>
    </row>
    <row r="149" spans="1:8" ht="15.75" customHeight="1" x14ac:dyDescent="0.25">
      <c r="A149" s="45" t="str">
        <f>IF(CARGA_DIARIA!A149="","",CARGA_DIARIA!A149)</f>
        <v/>
      </c>
      <c r="B149" s="46" t="str">
        <f>IF(CARGA_DIARIA!A149="","",CARGA_DIARIA!B149)</f>
        <v/>
      </c>
      <c r="C149" s="47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48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48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51" t="s">
        <v>146</v>
      </c>
      <c r="G149" s="51" t="s">
        <v>146</v>
      </c>
      <c r="H149" s="50" t="str">
        <f>IF(CARGA_DIARIA!A149="","",C149-D149-E149)</f>
        <v/>
      </c>
    </row>
    <row r="150" spans="1:8" ht="15.75" customHeight="1" x14ac:dyDescent="0.25">
      <c r="A150" s="45" t="str">
        <f>IF(CARGA_DIARIA!A150="","",CARGA_DIARIA!A150)</f>
        <v/>
      </c>
      <c r="B150" s="46" t="str">
        <f>IF(CARGA_DIARIA!A150="","",CARGA_DIARIA!B150)</f>
        <v/>
      </c>
      <c r="C150" s="47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48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48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51" t="s">
        <v>146</v>
      </c>
      <c r="G150" s="51" t="s">
        <v>146</v>
      </c>
      <c r="H150" s="50" t="str">
        <f>IF(CARGA_DIARIA!A150="","",C150-D150-E150)</f>
        <v/>
      </c>
    </row>
    <row r="151" spans="1:8" ht="15.75" customHeight="1" x14ac:dyDescent="0.25">
      <c r="A151" s="45" t="str">
        <f>IF(CARGA_DIARIA!A151="","",CARGA_DIARIA!A151)</f>
        <v/>
      </c>
      <c r="B151" s="46" t="str">
        <f>IF(CARGA_DIARIA!A151="","",CARGA_DIARIA!B151)</f>
        <v/>
      </c>
      <c r="C151" s="47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48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48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51" t="s">
        <v>146</v>
      </c>
      <c r="G151" s="51" t="s">
        <v>146</v>
      </c>
      <c r="H151" s="50" t="str">
        <f>IF(CARGA_DIARIA!A151="","",C151-D151-E151)</f>
        <v/>
      </c>
    </row>
    <row r="152" spans="1:8" ht="15.75" customHeight="1" x14ac:dyDescent="0.25">
      <c r="A152" s="45" t="str">
        <f>IF(CARGA_DIARIA!A152="","",CARGA_DIARIA!A152)</f>
        <v/>
      </c>
      <c r="B152" s="46" t="str">
        <f>IF(CARGA_DIARIA!A152="","",CARGA_DIARIA!B152)</f>
        <v/>
      </c>
      <c r="C152" s="47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48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48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51" t="s">
        <v>146</v>
      </c>
      <c r="G152" s="51" t="s">
        <v>146</v>
      </c>
      <c r="H152" s="50" t="str">
        <f>IF(CARGA_DIARIA!A152="","",C152-D152-E152)</f>
        <v/>
      </c>
    </row>
    <row r="153" spans="1:8" ht="15.75" customHeight="1" x14ac:dyDescent="0.25">
      <c r="A153" s="45" t="str">
        <f>IF(CARGA_DIARIA!A153="","",CARGA_DIARIA!A153)</f>
        <v/>
      </c>
      <c r="B153" s="46" t="str">
        <f>IF(CARGA_DIARIA!A153="","",CARGA_DIARIA!B153)</f>
        <v/>
      </c>
      <c r="C153" s="47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48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48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51" t="s">
        <v>146</v>
      </c>
      <c r="G153" s="51" t="s">
        <v>146</v>
      </c>
      <c r="H153" s="50" t="str">
        <f>IF(CARGA_DIARIA!A153="","",C153-D153-E153)</f>
        <v/>
      </c>
    </row>
    <row r="154" spans="1:8" ht="15.75" customHeight="1" x14ac:dyDescent="0.25">
      <c r="A154" s="45" t="str">
        <f>IF(CARGA_DIARIA!A154="","",CARGA_DIARIA!A154)</f>
        <v/>
      </c>
      <c r="B154" s="46" t="str">
        <f>IF(CARGA_DIARIA!A154="","",CARGA_DIARIA!B154)</f>
        <v/>
      </c>
      <c r="C154" s="47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48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48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51" t="s">
        <v>146</v>
      </c>
      <c r="G154" s="51" t="s">
        <v>146</v>
      </c>
      <c r="H154" s="50" t="str">
        <f>IF(CARGA_DIARIA!A154="","",C154-D154-E154)</f>
        <v/>
      </c>
    </row>
    <row r="155" spans="1:8" ht="15.75" customHeight="1" x14ac:dyDescent="0.25">
      <c r="A155" s="45" t="str">
        <f>IF(CARGA_DIARIA!A155="","",CARGA_DIARIA!A155)</f>
        <v/>
      </c>
      <c r="B155" s="46" t="str">
        <f>IF(CARGA_DIARIA!A155="","",CARGA_DIARIA!B155)</f>
        <v/>
      </c>
      <c r="C155" s="47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48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48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51" t="s">
        <v>146</v>
      </c>
      <c r="G155" s="51" t="s">
        <v>146</v>
      </c>
      <c r="H155" s="50" t="str">
        <f>IF(CARGA_DIARIA!A155="","",C155-D155-E155)</f>
        <v/>
      </c>
    </row>
    <row r="156" spans="1:8" ht="15.75" customHeight="1" x14ac:dyDescent="0.25">
      <c r="A156" s="45" t="str">
        <f>IF(CARGA_DIARIA!A156="","",CARGA_DIARIA!A156)</f>
        <v/>
      </c>
      <c r="B156" s="46" t="str">
        <f>IF(CARGA_DIARIA!A156="","",CARGA_DIARIA!B156)</f>
        <v/>
      </c>
      <c r="C156" s="47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48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48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51" t="s">
        <v>146</v>
      </c>
      <c r="G156" s="51" t="s">
        <v>146</v>
      </c>
      <c r="H156" s="50" t="str">
        <f>IF(CARGA_DIARIA!A156="","",C156-D156-E156)</f>
        <v/>
      </c>
    </row>
    <row r="157" spans="1:8" ht="15.75" customHeight="1" x14ac:dyDescent="0.25">
      <c r="A157" s="45" t="str">
        <f>IF(CARGA_DIARIA!A157="","",CARGA_DIARIA!A157)</f>
        <v/>
      </c>
      <c r="B157" s="46" t="str">
        <f>IF(CARGA_DIARIA!A157="","",CARGA_DIARIA!B157)</f>
        <v/>
      </c>
      <c r="C157" s="47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48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48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51" t="s">
        <v>146</v>
      </c>
      <c r="G157" s="51" t="s">
        <v>146</v>
      </c>
      <c r="H157" s="50" t="str">
        <f>IF(CARGA_DIARIA!A157="","",C157-D157-E157)</f>
        <v/>
      </c>
    </row>
    <row r="158" spans="1:8" ht="15.75" customHeight="1" x14ac:dyDescent="0.25">
      <c r="A158" s="45" t="str">
        <f>IF(CARGA_DIARIA!A158="","",CARGA_DIARIA!A158)</f>
        <v/>
      </c>
      <c r="B158" s="46" t="str">
        <f>IF(CARGA_DIARIA!A158="","",CARGA_DIARIA!B158)</f>
        <v/>
      </c>
      <c r="C158" s="47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48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48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51" t="s">
        <v>146</v>
      </c>
      <c r="G158" s="51" t="s">
        <v>146</v>
      </c>
      <c r="H158" s="50" t="str">
        <f>IF(CARGA_DIARIA!A158="","",C158-D158-E158)</f>
        <v/>
      </c>
    </row>
    <row r="159" spans="1:8" ht="15.75" customHeight="1" x14ac:dyDescent="0.25">
      <c r="A159" s="45" t="str">
        <f>IF(CARGA_DIARIA!A159="","",CARGA_DIARIA!A159)</f>
        <v/>
      </c>
      <c r="B159" s="46" t="str">
        <f>IF(CARGA_DIARIA!A159="","",CARGA_DIARIA!B159)</f>
        <v/>
      </c>
      <c r="C159" s="47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48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48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51" t="s">
        <v>146</v>
      </c>
      <c r="G159" s="51" t="s">
        <v>146</v>
      </c>
      <c r="H159" s="50" t="str">
        <f>IF(CARGA_DIARIA!A159="","",C159-D159-E159)</f>
        <v/>
      </c>
    </row>
    <row r="160" spans="1:8" ht="15.75" customHeight="1" x14ac:dyDescent="0.25">
      <c r="A160" s="45" t="str">
        <f>IF(CARGA_DIARIA!A160="","",CARGA_DIARIA!A160)</f>
        <v/>
      </c>
      <c r="B160" s="46" t="str">
        <f>IF(CARGA_DIARIA!A160="","",CARGA_DIARIA!B160)</f>
        <v/>
      </c>
      <c r="C160" s="47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48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48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51" t="s">
        <v>146</v>
      </c>
      <c r="G160" s="51" t="s">
        <v>146</v>
      </c>
      <c r="H160" s="50" t="str">
        <f>IF(CARGA_DIARIA!A160="","",C160-D160-E160)</f>
        <v/>
      </c>
    </row>
    <row r="161" spans="1:8" ht="15.75" customHeight="1" x14ac:dyDescent="0.25">
      <c r="A161" s="45" t="str">
        <f>IF(CARGA_DIARIA!A161="","",CARGA_DIARIA!A161)</f>
        <v/>
      </c>
      <c r="B161" s="46" t="str">
        <f>IF(CARGA_DIARIA!A161="","",CARGA_DIARIA!B161)</f>
        <v/>
      </c>
      <c r="C161" s="47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48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48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51" t="s">
        <v>146</v>
      </c>
      <c r="G161" s="51" t="s">
        <v>146</v>
      </c>
      <c r="H161" s="50" t="str">
        <f>IF(CARGA_DIARIA!A161="","",C161-D161-E161)</f>
        <v/>
      </c>
    </row>
    <row r="162" spans="1:8" ht="15.75" customHeight="1" x14ac:dyDescent="0.25">
      <c r="A162" s="45" t="str">
        <f>IF(CARGA_DIARIA!A162="","",CARGA_DIARIA!A162)</f>
        <v/>
      </c>
      <c r="B162" s="46" t="str">
        <f>IF(CARGA_DIARIA!A162="","",CARGA_DIARIA!B162)</f>
        <v/>
      </c>
      <c r="C162" s="47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48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48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51" t="s">
        <v>146</v>
      </c>
      <c r="G162" s="51" t="s">
        <v>146</v>
      </c>
      <c r="H162" s="50" t="str">
        <f>IF(CARGA_DIARIA!A162="","",C162-D162-E162)</f>
        <v/>
      </c>
    </row>
    <row r="163" spans="1:8" ht="15.75" customHeight="1" x14ac:dyDescent="0.25">
      <c r="A163" s="45" t="str">
        <f>IF(CARGA_DIARIA!A163="","",CARGA_DIARIA!A163)</f>
        <v/>
      </c>
      <c r="B163" s="46" t="str">
        <f>IF(CARGA_DIARIA!A163="","",CARGA_DIARIA!B163)</f>
        <v/>
      </c>
      <c r="C163" s="47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48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48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51" t="s">
        <v>146</v>
      </c>
      <c r="G163" s="51" t="s">
        <v>146</v>
      </c>
      <c r="H163" s="50" t="str">
        <f>IF(CARGA_DIARIA!A163="","",C163-D163-E163)</f>
        <v/>
      </c>
    </row>
    <row r="164" spans="1:8" ht="15.75" customHeight="1" x14ac:dyDescent="0.25">
      <c r="A164" s="45" t="str">
        <f>IF(CARGA_DIARIA!A164="","",CARGA_DIARIA!A164)</f>
        <v/>
      </c>
      <c r="B164" s="46" t="str">
        <f>IF(CARGA_DIARIA!A164="","",CARGA_DIARIA!B164)</f>
        <v/>
      </c>
      <c r="C164" s="47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48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48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51" t="s">
        <v>146</v>
      </c>
      <c r="G164" s="51" t="s">
        <v>146</v>
      </c>
      <c r="H164" s="50" t="str">
        <f>IF(CARGA_DIARIA!A164="","",C164-D164-E164)</f>
        <v/>
      </c>
    </row>
    <row r="165" spans="1:8" ht="15.75" customHeight="1" x14ac:dyDescent="0.25">
      <c r="A165" s="45" t="str">
        <f>IF(CARGA_DIARIA!A165="","",CARGA_DIARIA!A165)</f>
        <v/>
      </c>
      <c r="B165" s="46" t="str">
        <f>IF(CARGA_DIARIA!A165="","",CARGA_DIARIA!B165)</f>
        <v/>
      </c>
      <c r="C165" s="47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48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48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51" t="s">
        <v>146</v>
      </c>
      <c r="G165" s="51" t="s">
        <v>146</v>
      </c>
      <c r="H165" s="50" t="str">
        <f>IF(CARGA_DIARIA!A165="","",C165-D165-E165)</f>
        <v/>
      </c>
    </row>
    <row r="166" spans="1:8" ht="15.75" customHeight="1" x14ac:dyDescent="0.25">
      <c r="A166" s="45" t="str">
        <f>IF(CARGA_DIARIA!A166="","",CARGA_DIARIA!A166)</f>
        <v/>
      </c>
      <c r="B166" s="46" t="str">
        <f>IF(CARGA_DIARIA!A166="","",CARGA_DIARIA!B166)</f>
        <v/>
      </c>
      <c r="C166" s="47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48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48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51" t="s">
        <v>146</v>
      </c>
      <c r="G166" s="51" t="s">
        <v>146</v>
      </c>
      <c r="H166" s="50" t="str">
        <f>IF(CARGA_DIARIA!A166="","",C166-D166-E166)</f>
        <v/>
      </c>
    </row>
    <row r="167" spans="1:8" ht="15.75" customHeight="1" x14ac:dyDescent="0.25">
      <c r="A167" s="45" t="str">
        <f>IF(CARGA_DIARIA!A167="","",CARGA_DIARIA!A167)</f>
        <v/>
      </c>
      <c r="B167" s="46" t="str">
        <f>IF(CARGA_DIARIA!A167="","",CARGA_DIARIA!B167)</f>
        <v/>
      </c>
      <c r="C167" s="47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48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48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51" t="s">
        <v>146</v>
      </c>
      <c r="G167" s="51" t="s">
        <v>146</v>
      </c>
      <c r="H167" s="50" t="str">
        <f>IF(CARGA_DIARIA!A167="","",C167-D167-E167)</f>
        <v/>
      </c>
    </row>
    <row r="168" spans="1:8" ht="15.75" customHeight="1" x14ac:dyDescent="0.25">
      <c r="A168" s="45" t="str">
        <f>IF(CARGA_DIARIA!A168="","",CARGA_DIARIA!A168)</f>
        <v/>
      </c>
      <c r="B168" s="46" t="str">
        <f>IF(CARGA_DIARIA!A168="","",CARGA_DIARIA!B168)</f>
        <v/>
      </c>
      <c r="C168" s="47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48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48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51" t="s">
        <v>146</v>
      </c>
      <c r="G168" s="51" t="s">
        <v>146</v>
      </c>
      <c r="H168" s="50" t="str">
        <f>IF(CARGA_DIARIA!A168="","",C168-D168-E168)</f>
        <v/>
      </c>
    </row>
    <row r="169" spans="1:8" ht="15.75" customHeight="1" x14ac:dyDescent="0.25">
      <c r="A169" s="45" t="str">
        <f>IF(CARGA_DIARIA!A169="","",CARGA_DIARIA!A169)</f>
        <v/>
      </c>
      <c r="B169" s="46" t="str">
        <f>IF(CARGA_DIARIA!A169="","",CARGA_DIARIA!B169)</f>
        <v/>
      </c>
      <c r="C169" s="47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48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48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51" t="s">
        <v>146</v>
      </c>
      <c r="G169" s="51" t="s">
        <v>146</v>
      </c>
      <c r="H169" s="50" t="str">
        <f>IF(CARGA_DIARIA!A169="","",C169-D169-E169)</f>
        <v/>
      </c>
    </row>
    <row r="170" spans="1:8" ht="15.75" customHeight="1" x14ac:dyDescent="0.25">
      <c r="A170" s="45" t="str">
        <f>IF(CARGA_DIARIA!A170="","",CARGA_DIARIA!A170)</f>
        <v/>
      </c>
      <c r="B170" s="46" t="str">
        <f>IF(CARGA_DIARIA!A170="","",CARGA_DIARIA!B170)</f>
        <v/>
      </c>
      <c r="C170" s="47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48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48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51" t="s">
        <v>146</v>
      </c>
      <c r="G170" s="51" t="s">
        <v>146</v>
      </c>
      <c r="H170" s="50" t="str">
        <f>IF(CARGA_DIARIA!A170="","",C170-D170-E170)</f>
        <v/>
      </c>
    </row>
    <row r="171" spans="1:8" ht="15.75" customHeight="1" x14ac:dyDescent="0.25">
      <c r="A171" s="45" t="str">
        <f>IF(CARGA_DIARIA!A171="","",CARGA_DIARIA!A171)</f>
        <v/>
      </c>
      <c r="B171" s="46" t="str">
        <f>IF(CARGA_DIARIA!A171="","",CARGA_DIARIA!B171)</f>
        <v/>
      </c>
      <c r="C171" s="47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48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48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51" t="s">
        <v>146</v>
      </c>
      <c r="G171" s="51" t="s">
        <v>146</v>
      </c>
      <c r="H171" s="50" t="str">
        <f>IF(CARGA_DIARIA!A171="","",C171-D171-E171)</f>
        <v/>
      </c>
    </row>
    <row r="172" spans="1:8" ht="15.75" customHeight="1" x14ac:dyDescent="0.25">
      <c r="A172" s="45" t="str">
        <f>IF(CARGA_DIARIA!A172="","",CARGA_DIARIA!A172)</f>
        <v/>
      </c>
      <c r="B172" s="46" t="str">
        <f>IF(CARGA_DIARIA!A172="","",CARGA_DIARIA!B172)</f>
        <v/>
      </c>
      <c r="C172" s="47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48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48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51" t="s">
        <v>146</v>
      </c>
      <c r="G172" s="51" t="s">
        <v>146</v>
      </c>
      <c r="H172" s="50" t="str">
        <f>IF(CARGA_DIARIA!A172="","",C172-D172-E172)</f>
        <v/>
      </c>
    </row>
    <row r="173" spans="1:8" ht="15.75" customHeight="1" x14ac:dyDescent="0.25">
      <c r="A173" s="45" t="str">
        <f>IF(CARGA_DIARIA!A173="","",CARGA_DIARIA!A173)</f>
        <v/>
      </c>
      <c r="B173" s="46" t="str">
        <f>IF(CARGA_DIARIA!A173="","",CARGA_DIARIA!B173)</f>
        <v/>
      </c>
      <c r="C173" s="47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48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48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51" t="s">
        <v>146</v>
      </c>
      <c r="G173" s="51" t="s">
        <v>146</v>
      </c>
      <c r="H173" s="50" t="str">
        <f>IF(CARGA_DIARIA!A173="","",C173-D173-E173)</f>
        <v/>
      </c>
    </row>
    <row r="174" spans="1:8" ht="15.75" customHeight="1" x14ac:dyDescent="0.25">
      <c r="A174" s="45" t="str">
        <f>IF(CARGA_DIARIA!A174="","",CARGA_DIARIA!A174)</f>
        <v/>
      </c>
      <c r="B174" s="46" t="str">
        <f>IF(CARGA_DIARIA!A174="","",CARGA_DIARIA!B174)</f>
        <v/>
      </c>
      <c r="C174" s="47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48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48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51" t="s">
        <v>146</v>
      </c>
      <c r="G174" s="51" t="s">
        <v>146</v>
      </c>
      <c r="H174" s="50" t="str">
        <f>IF(CARGA_DIARIA!A174="","",C174-D174-E174)</f>
        <v/>
      </c>
    </row>
    <row r="175" spans="1:8" ht="15.75" customHeight="1" x14ac:dyDescent="0.25">
      <c r="A175" s="45" t="str">
        <f>IF(CARGA_DIARIA!A175="","",CARGA_DIARIA!A175)</f>
        <v/>
      </c>
      <c r="B175" s="46" t="str">
        <f>IF(CARGA_DIARIA!A175="","",CARGA_DIARIA!B175)</f>
        <v/>
      </c>
      <c r="C175" s="47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48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48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51" t="s">
        <v>146</v>
      </c>
      <c r="G175" s="51" t="s">
        <v>146</v>
      </c>
      <c r="H175" s="50" t="str">
        <f>IF(CARGA_DIARIA!A175="","",C175-D175-E175)</f>
        <v/>
      </c>
    </row>
    <row r="176" spans="1:8" ht="15.75" customHeight="1" x14ac:dyDescent="0.25">
      <c r="A176" s="45" t="str">
        <f>IF(CARGA_DIARIA!A176="","",CARGA_DIARIA!A176)</f>
        <v/>
      </c>
      <c r="B176" s="46" t="str">
        <f>IF(CARGA_DIARIA!A176="","",CARGA_DIARIA!B176)</f>
        <v/>
      </c>
      <c r="C176" s="47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48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48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51" t="s">
        <v>146</v>
      </c>
      <c r="G176" s="51" t="s">
        <v>146</v>
      </c>
      <c r="H176" s="50" t="str">
        <f>IF(CARGA_DIARIA!A176="","",C176-D176-E176)</f>
        <v/>
      </c>
    </row>
    <row r="177" spans="1:8" ht="15.75" customHeight="1" x14ac:dyDescent="0.25">
      <c r="A177" s="45" t="str">
        <f>IF(CARGA_DIARIA!A177="","",CARGA_DIARIA!A177)</f>
        <v/>
      </c>
      <c r="B177" s="46" t="str">
        <f>IF(CARGA_DIARIA!A177="","",CARGA_DIARIA!B177)</f>
        <v/>
      </c>
      <c r="C177" s="47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48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48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51" t="s">
        <v>146</v>
      </c>
      <c r="G177" s="51" t="s">
        <v>146</v>
      </c>
      <c r="H177" s="50" t="str">
        <f>IF(CARGA_DIARIA!A177="","",C177-D177-E177)</f>
        <v/>
      </c>
    </row>
    <row r="178" spans="1:8" ht="15.75" customHeight="1" x14ac:dyDescent="0.25">
      <c r="A178" s="45" t="str">
        <f>IF(CARGA_DIARIA!A178="","",CARGA_DIARIA!A178)</f>
        <v/>
      </c>
      <c r="B178" s="46" t="str">
        <f>IF(CARGA_DIARIA!A178="","",CARGA_DIARIA!B178)</f>
        <v/>
      </c>
      <c r="C178" s="47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48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48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51" t="s">
        <v>146</v>
      </c>
      <c r="G178" s="51" t="s">
        <v>146</v>
      </c>
      <c r="H178" s="50" t="str">
        <f>IF(CARGA_DIARIA!A178="","",C178-D178-E178)</f>
        <v/>
      </c>
    </row>
    <row r="179" spans="1:8" ht="15.75" customHeight="1" x14ac:dyDescent="0.25">
      <c r="A179" s="45" t="str">
        <f>IF(CARGA_DIARIA!A179="","",CARGA_DIARIA!A179)</f>
        <v/>
      </c>
      <c r="B179" s="46" t="str">
        <f>IF(CARGA_DIARIA!A179="","",CARGA_DIARIA!B179)</f>
        <v/>
      </c>
      <c r="C179" s="47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48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48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51" t="s">
        <v>146</v>
      </c>
      <c r="G179" s="51" t="s">
        <v>146</v>
      </c>
      <c r="H179" s="50" t="str">
        <f>IF(CARGA_DIARIA!A179="","",C179-D179-E179)</f>
        <v/>
      </c>
    </row>
    <row r="180" spans="1:8" ht="15.75" customHeight="1" x14ac:dyDescent="0.25">
      <c r="A180" s="45" t="str">
        <f>IF(CARGA_DIARIA!A180="","",CARGA_DIARIA!A180)</f>
        <v/>
      </c>
      <c r="B180" s="46" t="str">
        <f>IF(CARGA_DIARIA!A180="","",CARGA_DIARIA!B180)</f>
        <v/>
      </c>
      <c r="C180" s="47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48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48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51" t="s">
        <v>146</v>
      </c>
      <c r="G180" s="51" t="s">
        <v>146</v>
      </c>
      <c r="H180" s="50" t="str">
        <f>IF(CARGA_DIARIA!A180="","",C180-D180-E180)</f>
        <v/>
      </c>
    </row>
    <row r="181" spans="1:8" ht="15.75" customHeight="1" x14ac:dyDescent="0.25">
      <c r="A181" s="45" t="str">
        <f>IF(CARGA_DIARIA!A181="","",CARGA_DIARIA!A181)</f>
        <v/>
      </c>
      <c r="B181" s="46" t="str">
        <f>IF(CARGA_DIARIA!A181="","",CARGA_DIARIA!B181)</f>
        <v/>
      </c>
      <c r="C181" s="47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48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48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51" t="s">
        <v>146</v>
      </c>
      <c r="G181" s="51" t="s">
        <v>146</v>
      </c>
      <c r="H181" s="50" t="str">
        <f>IF(CARGA_DIARIA!A181="","",C181-D181-E181)</f>
        <v/>
      </c>
    </row>
    <row r="182" spans="1:8" ht="15.75" customHeight="1" x14ac:dyDescent="0.25">
      <c r="A182" s="45" t="str">
        <f>IF(CARGA_DIARIA!A182="","",CARGA_DIARIA!A182)</f>
        <v/>
      </c>
      <c r="B182" s="46" t="str">
        <f>IF(CARGA_DIARIA!A182="","",CARGA_DIARIA!B182)</f>
        <v/>
      </c>
      <c r="C182" s="47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48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48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51" t="s">
        <v>146</v>
      </c>
      <c r="G182" s="51" t="s">
        <v>146</v>
      </c>
      <c r="H182" s="50" t="str">
        <f>IF(CARGA_DIARIA!A182="","",C182-D182-E182)</f>
        <v/>
      </c>
    </row>
    <row r="183" spans="1:8" ht="15.75" customHeight="1" x14ac:dyDescent="0.25">
      <c r="A183" s="45" t="str">
        <f>IF(CARGA_DIARIA!A183="","",CARGA_DIARIA!A183)</f>
        <v/>
      </c>
      <c r="B183" s="46" t="str">
        <f>IF(CARGA_DIARIA!A183="","",CARGA_DIARIA!B183)</f>
        <v/>
      </c>
      <c r="C183" s="47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48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48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51" t="s">
        <v>146</v>
      </c>
      <c r="G183" s="51" t="s">
        <v>146</v>
      </c>
      <c r="H183" s="50" t="str">
        <f>IF(CARGA_DIARIA!A183="","",C183-D183-E183)</f>
        <v/>
      </c>
    </row>
    <row r="184" spans="1:8" ht="15.75" customHeight="1" x14ac:dyDescent="0.25">
      <c r="A184" s="45" t="str">
        <f>IF(CARGA_DIARIA!A184="","",CARGA_DIARIA!A184)</f>
        <v/>
      </c>
      <c r="B184" s="46" t="str">
        <f>IF(CARGA_DIARIA!A184="","",CARGA_DIARIA!B184)</f>
        <v/>
      </c>
      <c r="C184" s="47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48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48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51" t="s">
        <v>146</v>
      </c>
      <c r="G184" s="51" t="s">
        <v>146</v>
      </c>
      <c r="H184" s="50" t="str">
        <f>IF(CARGA_DIARIA!A184="","",C184-D184-E184)</f>
        <v/>
      </c>
    </row>
    <row r="185" spans="1:8" ht="15.75" customHeight="1" x14ac:dyDescent="0.25">
      <c r="A185" s="45" t="str">
        <f>IF(CARGA_DIARIA!A185="","",CARGA_DIARIA!A185)</f>
        <v/>
      </c>
      <c r="B185" s="46" t="str">
        <f>IF(CARGA_DIARIA!A185="","",CARGA_DIARIA!B185)</f>
        <v/>
      </c>
      <c r="C185" s="47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48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48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51" t="s">
        <v>146</v>
      </c>
      <c r="G185" s="51" t="s">
        <v>146</v>
      </c>
      <c r="H185" s="50" t="str">
        <f>IF(CARGA_DIARIA!A185="","",C185-D185-E185)</f>
        <v/>
      </c>
    </row>
    <row r="186" spans="1:8" ht="15.75" customHeight="1" x14ac:dyDescent="0.25">
      <c r="A186" s="45" t="str">
        <f>IF(CARGA_DIARIA!A186="","",CARGA_DIARIA!A186)</f>
        <v/>
      </c>
      <c r="B186" s="46" t="str">
        <f>IF(CARGA_DIARIA!A186="","",CARGA_DIARIA!B186)</f>
        <v/>
      </c>
      <c r="C186" s="47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48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48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51" t="s">
        <v>146</v>
      </c>
      <c r="G186" s="51" t="s">
        <v>146</v>
      </c>
      <c r="H186" s="50" t="str">
        <f>IF(CARGA_DIARIA!A186="","",C186-D186-E186)</f>
        <v/>
      </c>
    </row>
    <row r="187" spans="1:8" ht="15.75" customHeight="1" x14ac:dyDescent="0.25">
      <c r="A187" s="45" t="str">
        <f>IF(CARGA_DIARIA!A187="","",CARGA_DIARIA!A187)</f>
        <v/>
      </c>
      <c r="B187" s="46" t="str">
        <f>IF(CARGA_DIARIA!A187="","",CARGA_DIARIA!B187)</f>
        <v/>
      </c>
      <c r="C187" s="47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48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48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51" t="s">
        <v>146</v>
      </c>
      <c r="G187" s="51" t="s">
        <v>146</v>
      </c>
      <c r="H187" s="50" t="str">
        <f>IF(CARGA_DIARIA!A187="","",C187-D187-E187)</f>
        <v/>
      </c>
    </row>
    <row r="188" spans="1:8" ht="15.75" customHeight="1" x14ac:dyDescent="0.25">
      <c r="A188" s="45" t="str">
        <f>IF(CARGA_DIARIA!A188="","",CARGA_DIARIA!A188)</f>
        <v/>
      </c>
      <c r="B188" s="46" t="str">
        <f>IF(CARGA_DIARIA!A188="","",CARGA_DIARIA!B188)</f>
        <v/>
      </c>
      <c r="C188" s="47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48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48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51" t="s">
        <v>146</v>
      </c>
      <c r="G188" s="51" t="s">
        <v>146</v>
      </c>
      <c r="H188" s="50" t="str">
        <f>IF(CARGA_DIARIA!A188="","",C188-D188-E188)</f>
        <v/>
      </c>
    </row>
    <row r="189" spans="1:8" ht="15.75" customHeight="1" x14ac:dyDescent="0.25">
      <c r="A189" s="45" t="str">
        <f>IF(CARGA_DIARIA!A189="","",CARGA_DIARIA!A189)</f>
        <v/>
      </c>
      <c r="B189" s="46" t="str">
        <f>IF(CARGA_DIARIA!A189="","",CARGA_DIARIA!B189)</f>
        <v/>
      </c>
      <c r="C189" s="47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48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48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51" t="s">
        <v>146</v>
      </c>
      <c r="G189" s="51" t="s">
        <v>146</v>
      </c>
      <c r="H189" s="50" t="str">
        <f>IF(CARGA_DIARIA!A189="","",C189-D189-E189)</f>
        <v/>
      </c>
    </row>
    <row r="190" spans="1:8" ht="15.75" customHeight="1" x14ac:dyDescent="0.25">
      <c r="A190" s="45" t="str">
        <f>IF(CARGA_DIARIA!A190="","",CARGA_DIARIA!A190)</f>
        <v/>
      </c>
      <c r="B190" s="46" t="str">
        <f>IF(CARGA_DIARIA!A190="","",CARGA_DIARIA!B190)</f>
        <v/>
      </c>
      <c r="C190" s="47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48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48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51" t="s">
        <v>146</v>
      </c>
      <c r="G190" s="51" t="s">
        <v>146</v>
      </c>
      <c r="H190" s="50" t="str">
        <f>IF(CARGA_DIARIA!A190="","",C190-D190-E190)</f>
        <v/>
      </c>
    </row>
    <row r="191" spans="1:8" ht="15.75" customHeight="1" x14ac:dyDescent="0.25">
      <c r="A191" s="45" t="str">
        <f>IF(CARGA_DIARIA!A191="","",CARGA_DIARIA!A191)</f>
        <v/>
      </c>
      <c r="B191" s="46" t="str">
        <f>IF(CARGA_DIARIA!A191="","",CARGA_DIARIA!B191)</f>
        <v/>
      </c>
      <c r="C191" s="47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48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48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51" t="s">
        <v>146</v>
      </c>
      <c r="G191" s="51" t="s">
        <v>146</v>
      </c>
      <c r="H191" s="50" t="str">
        <f>IF(CARGA_DIARIA!A191="","",C191-D191-E191)</f>
        <v/>
      </c>
    </row>
    <row r="192" spans="1:8" ht="15.75" customHeight="1" x14ac:dyDescent="0.25">
      <c r="A192" s="45" t="str">
        <f>IF(CARGA_DIARIA!A192="","",CARGA_DIARIA!A192)</f>
        <v/>
      </c>
      <c r="B192" s="46" t="str">
        <f>IF(CARGA_DIARIA!A192="","",CARGA_DIARIA!B192)</f>
        <v/>
      </c>
      <c r="C192" s="47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48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48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51" t="s">
        <v>146</v>
      </c>
      <c r="G192" s="51" t="s">
        <v>146</v>
      </c>
      <c r="H192" s="50" t="str">
        <f>IF(CARGA_DIARIA!A192="","",C192-D192-E192)</f>
        <v/>
      </c>
    </row>
    <row r="193" spans="1:8" ht="15.75" customHeight="1" x14ac:dyDescent="0.25">
      <c r="A193" s="45" t="str">
        <f>IF(CARGA_DIARIA!A193="","",CARGA_DIARIA!A193)</f>
        <v/>
      </c>
      <c r="B193" s="46" t="str">
        <f>IF(CARGA_DIARIA!A193="","",CARGA_DIARIA!B193)</f>
        <v/>
      </c>
      <c r="C193" s="47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48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48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51" t="s">
        <v>146</v>
      </c>
      <c r="G193" s="51" t="s">
        <v>146</v>
      </c>
      <c r="H193" s="50" t="str">
        <f>IF(CARGA_DIARIA!A193="","",C193-D193-E193)</f>
        <v/>
      </c>
    </row>
    <row r="194" spans="1:8" ht="15.75" customHeight="1" x14ac:dyDescent="0.25">
      <c r="A194" s="45" t="str">
        <f>IF(CARGA_DIARIA!A194="","",CARGA_DIARIA!A194)</f>
        <v/>
      </c>
      <c r="B194" s="46" t="str">
        <f>IF(CARGA_DIARIA!A194="","",CARGA_DIARIA!B194)</f>
        <v/>
      </c>
      <c r="C194" s="47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48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48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51" t="s">
        <v>146</v>
      </c>
      <c r="G194" s="51" t="s">
        <v>146</v>
      </c>
      <c r="H194" s="50" t="str">
        <f>IF(CARGA_DIARIA!A194="","",C194-D194-E194)</f>
        <v/>
      </c>
    </row>
    <row r="195" spans="1:8" ht="15.75" customHeight="1" x14ac:dyDescent="0.25">
      <c r="A195" s="45" t="str">
        <f>IF(CARGA_DIARIA!A195="","",CARGA_DIARIA!A195)</f>
        <v/>
      </c>
      <c r="B195" s="46" t="str">
        <f>IF(CARGA_DIARIA!A195="","",CARGA_DIARIA!B195)</f>
        <v/>
      </c>
      <c r="C195" s="47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48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48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51" t="s">
        <v>146</v>
      </c>
      <c r="G195" s="51" t="s">
        <v>146</v>
      </c>
      <c r="H195" s="50" t="str">
        <f>IF(CARGA_DIARIA!A195="","",C195-D195-E195)</f>
        <v/>
      </c>
    </row>
    <row r="196" spans="1:8" ht="15.75" customHeight="1" x14ac:dyDescent="0.25">
      <c r="A196" s="45" t="str">
        <f>IF(CARGA_DIARIA!A196="","",CARGA_DIARIA!A196)</f>
        <v/>
      </c>
      <c r="B196" s="46" t="str">
        <f>IF(CARGA_DIARIA!A196="","",CARGA_DIARIA!B196)</f>
        <v/>
      </c>
      <c r="C196" s="47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48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48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51" t="s">
        <v>146</v>
      </c>
      <c r="G196" s="51" t="s">
        <v>146</v>
      </c>
      <c r="H196" s="50" t="str">
        <f>IF(CARGA_DIARIA!A196="","",C196-D196-E196)</f>
        <v/>
      </c>
    </row>
    <row r="197" spans="1:8" ht="15.75" customHeight="1" x14ac:dyDescent="0.25">
      <c r="A197" s="45" t="str">
        <f>IF(CARGA_DIARIA!A197="","",CARGA_DIARIA!A197)</f>
        <v/>
      </c>
      <c r="B197" s="46" t="str">
        <f>IF(CARGA_DIARIA!A197="","",CARGA_DIARIA!B197)</f>
        <v/>
      </c>
      <c r="C197" s="47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48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48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51" t="s">
        <v>146</v>
      </c>
      <c r="G197" s="51" t="s">
        <v>146</v>
      </c>
      <c r="H197" s="50" t="str">
        <f>IF(CARGA_DIARIA!A197="","",C197-D197-E197)</f>
        <v/>
      </c>
    </row>
    <row r="198" spans="1:8" ht="15.75" customHeight="1" x14ac:dyDescent="0.25">
      <c r="A198" s="45" t="str">
        <f>IF(CARGA_DIARIA!A198="","",CARGA_DIARIA!A198)</f>
        <v/>
      </c>
      <c r="B198" s="46" t="str">
        <f>IF(CARGA_DIARIA!A198="","",CARGA_DIARIA!B198)</f>
        <v/>
      </c>
      <c r="C198" s="47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48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48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51" t="s">
        <v>146</v>
      </c>
      <c r="G198" s="51" t="s">
        <v>146</v>
      </c>
      <c r="H198" s="50" t="str">
        <f>IF(CARGA_DIARIA!A198="","",C198-D198-E198)</f>
        <v/>
      </c>
    </row>
    <row r="199" spans="1:8" ht="15.75" customHeight="1" x14ac:dyDescent="0.25">
      <c r="A199" s="45" t="str">
        <f>IF(CARGA_DIARIA!A199="","",CARGA_DIARIA!A199)</f>
        <v/>
      </c>
      <c r="B199" s="46" t="str">
        <f>IF(CARGA_DIARIA!A199="","",CARGA_DIARIA!B199)</f>
        <v/>
      </c>
      <c r="C199" s="47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48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48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51" t="s">
        <v>146</v>
      </c>
      <c r="G199" s="51" t="s">
        <v>146</v>
      </c>
      <c r="H199" s="50" t="str">
        <f>IF(CARGA_DIARIA!A199="","",C199-D199-E199)</f>
        <v/>
      </c>
    </row>
    <row r="200" spans="1:8" ht="15.75" customHeight="1" x14ac:dyDescent="0.25">
      <c r="A200" s="45" t="str">
        <f>IF(CARGA_DIARIA!A200="","",CARGA_DIARIA!A200)</f>
        <v/>
      </c>
      <c r="B200" s="46" t="str">
        <f>IF(CARGA_DIARIA!A200="","",CARGA_DIARIA!B200)</f>
        <v/>
      </c>
      <c r="C200" s="47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48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48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51" t="s">
        <v>146</v>
      </c>
      <c r="G200" s="51" t="s">
        <v>146</v>
      </c>
      <c r="H200" s="50" t="str">
        <f>IF(CARGA_DIARIA!A200="","",C200-D200-E200)</f>
        <v/>
      </c>
    </row>
    <row r="201" spans="1:8" ht="15.75" customHeight="1" x14ac:dyDescent="0.25">
      <c r="A201" s="45" t="str">
        <f>IF(CARGA_DIARIA!A201="","",CARGA_DIARIA!A201)</f>
        <v/>
      </c>
      <c r="B201" s="46" t="str">
        <f>IF(CARGA_DIARIA!A201="","",CARGA_DIARIA!B201)</f>
        <v/>
      </c>
      <c r="C201" s="47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48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48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51" t="s">
        <v>146</v>
      </c>
      <c r="G201" s="51" t="s">
        <v>146</v>
      </c>
      <c r="H201" s="50" t="str">
        <f>IF(CARGA_DIARIA!A201="","",C201-D201-E201)</f>
        <v/>
      </c>
    </row>
    <row r="202" spans="1:8" ht="15.75" customHeight="1" x14ac:dyDescent="0.25">
      <c r="A202" s="45" t="str">
        <f>IF(CARGA_DIARIA!A202="","",CARGA_DIARIA!A202)</f>
        <v/>
      </c>
      <c r="B202" s="46" t="str">
        <f>IF(CARGA_DIARIA!A202="","",CARGA_DIARIA!B202)</f>
        <v/>
      </c>
      <c r="C202" s="47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48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48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51" t="s">
        <v>146</v>
      </c>
      <c r="G202" s="51" t="s">
        <v>146</v>
      </c>
      <c r="H202" s="50" t="str">
        <f>IF(CARGA_DIARIA!A202="","",C202-D202-E202)</f>
        <v/>
      </c>
    </row>
    <row r="203" spans="1:8" ht="15.75" customHeight="1" x14ac:dyDescent="0.25">
      <c r="A203" s="45" t="str">
        <f>IF(CARGA_DIARIA!A203="","",CARGA_DIARIA!A203)</f>
        <v/>
      </c>
      <c r="B203" s="46" t="str">
        <f>IF(CARGA_DIARIA!A203="","",CARGA_DIARIA!B203)</f>
        <v/>
      </c>
      <c r="C203" s="47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48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48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51" t="s">
        <v>146</v>
      </c>
      <c r="G203" s="51" t="s">
        <v>146</v>
      </c>
      <c r="H203" s="50" t="str">
        <f>IF(CARGA_DIARIA!A203="","",C203-D203-E203)</f>
        <v/>
      </c>
    </row>
    <row r="204" spans="1:8" ht="15.75" customHeight="1" x14ac:dyDescent="0.25">
      <c r="A204" s="45" t="str">
        <f>IF(CARGA_DIARIA!A204="","",CARGA_DIARIA!A204)</f>
        <v/>
      </c>
      <c r="B204" s="46" t="str">
        <f>IF(CARGA_DIARIA!A204="","",CARGA_DIARIA!B204)</f>
        <v/>
      </c>
      <c r="C204" s="47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48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48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51" t="s">
        <v>146</v>
      </c>
      <c r="G204" s="51" t="s">
        <v>146</v>
      </c>
      <c r="H204" s="50" t="str">
        <f>IF(CARGA_DIARIA!A204="","",C204-D204-E204)</f>
        <v/>
      </c>
    </row>
    <row r="205" spans="1:8" ht="15.75" customHeight="1" x14ac:dyDescent="0.25">
      <c r="A205" s="45" t="str">
        <f>IF(CARGA_DIARIA!A205="","",CARGA_DIARIA!A205)</f>
        <v/>
      </c>
      <c r="B205" s="46" t="str">
        <f>IF(CARGA_DIARIA!A205="","",CARGA_DIARIA!B205)</f>
        <v/>
      </c>
      <c r="C205" s="47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48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48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51" t="s">
        <v>146</v>
      </c>
      <c r="G205" s="51" t="s">
        <v>146</v>
      </c>
      <c r="H205" s="50" t="str">
        <f>IF(CARGA_DIARIA!A205="","",C205-D205-E205)</f>
        <v/>
      </c>
    </row>
    <row r="206" spans="1:8" ht="15.75" customHeight="1" x14ac:dyDescent="0.25">
      <c r="A206" s="45" t="str">
        <f>IF(CARGA_DIARIA!A206="","",CARGA_DIARIA!A206)</f>
        <v/>
      </c>
      <c r="B206" s="46" t="str">
        <f>IF(CARGA_DIARIA!A206="","",CARGA_DIARIA!B206)</f>
        <v/>
      </c>
      <c r="C206" s="47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48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48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51" t="s">
        <v>146</v>
      </c>
      <c r="G206" s="51" t="s">
        <v>146</v>
      </c>
      <c r="H206" s="50" t="str">
        <f>IF(CARGA_DIARIA!A206="","",C206-D206-E206)</f>
        <v/>
      </c>
    </row>
    <row r="207" spans="1:8" ht="15.75" customHeight="1" x14ac:dyDescent="0.25">
      <c r="A207" s="45" t="str">
        <f>IF(CARGA_DIARIA!A207="","",CARGA_DIARIA!A207)</f>
        <v/>
      </c>
      <c r="B207" s="46" t="str">
        <f>IF(CARGA_DIARIA!A207="","",CARGA_DIARIA!B207)</f>
        <v/>
      </c>
      <c r="C207" s="47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48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48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51" t="s">
        <v>146</v>
      </c>
      <c r="G207" s="51" t="s">
        <v>146</v>
      </c>
      <c r="H207" s="50" t="str">
        <f>IF(CARGA_DIARIA!A207="","",C207-D207-E207)</f>
        <v/>
      </c>
    </row>
    <row r="208" spans="1:8" ht="15.75" customHeight="1" x14ac:dyDescent="0.25">
      <c r="A208" s="45" t="str">
        <f>IF(CARGA_DIARIA!A208="","",CARGA_DIARIA!A208)</f>
        <v/>
      </c>
      <c r="B208" s="46" t="str">
        <f>IF(CARGA_DIARIA!A208="","",CARGA_DIARIA!B208)</f>
        <v/>
      </c>
      <c r="C208" s="47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48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48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51" t="s">
        <v>146</v>
      </c>
      <c r="G208" s="51" t="s">
        <v>146</v>
      </c>
      <c r="H208" s="50" t="str">
        <f>IF(CARGA_DIARIA!A208="","",C208-D208-E208)</f>
        <v/>
      </c>
    </row>
    <row r="209" spans="1:8" ht="15.75" customHeight="1" x14ac:dyDescent="0.25">
      <c r="A209" s="45" t="str">
        <f>IF(CARGA_DIARIA!A209="","",CARGA_DIARIA!A209)</f>
        <v/>
      </c>
      <c r="B209" s="46" t="str">
        <f>IF(CARGA_DIARIA!A209="","",CARGA_DIARIA!B209)</f>
        <v/>
      </c>
      <c r="C209" s="47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48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48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51" t="s">
        <v>146</v>
      </c>
      <c r="G209" s="51" t="s">
        <v>146</v>
      </c>
      <c r="H209" s="50" t="str">
        <f>IF(CARGA_DIARIA!A209="","",C209-D209-E209)</f>
        <v/>
      </c>
    </row>
    <row r="210" spans="1:8" ht="15.75" customHeight="1" x14ac:dyDescent="0.25">
      <c r="A210" s="45" t="str">
        <f>IF(CARGA_DIARIA!A210="","",CARGA_DIARIA!A210)</f>
        <v/>
      </c>
      <c r="B210" s="46" t="str">
        <f>IF(CARGA_DIARIA!A210="","",CARGA_DIARIA!B210)</f>
        <v/>
      </c>
      <c r="C210" s="47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48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48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51" t="s">
        <v>146</v>
      </c>
      <c r="G210" s="51" t="s">
        <v>146</v>
      </c>
      <c r="H210" s="50" t="str">
        <f>IF(CARGA_DIARIA!A210="","",C210-D210-E210)</f>
        <v/>
      </c>
    </row>
    <row r="211" spans="1:8" ht="15.75" customHeight="1" x14ac:dyDescent="0.25">
      <c r="A211" s="45" t="str">
        <f>IF(CARGA_DIARIA!A211="","",CARGA_DIARIA!A211)</f>
        <v/>
      </c>
      <c r="B211" s="46" t="str">
        <f>IF(CARGA_DIARIA!A211="","",CARGA_DIARIA!B211)</f>
        <v/>
      </c>
      <c r="C211" s="47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48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48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51" t="s">
        <v>146</v>
      </c>
      <c r="G211" s="51" t="s">
        <v>146</v>
      </c>
      <c r="H211" s="50" t="str">
        <f>IF(CARGA_DIARIA!A211="","",C211-D211-E211)</f>
        <v/>
      </c>
    </row>
    <row r="212" spans="1:8" ht="15.75" customHeight="1" x14ac:dyDescent="0.25">
      <c r="A212" s="45" t="str">
        <f>IF(CARGA_DIARIA!A212="","",CARGA_DIARIA!A212)</f>
        <v/>
      </c>
      <c r="B212" s="46" t="str">
        <f>IF(CARGA_DIARIA!A212="","",CARGA_DIARIA!B212)</f>
        <v/>
      </c>
      <c r="C212" s="47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48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48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51" t="s">
        <v>146</v>
      </c>
      <c r="G212" s="51" t="s">
        <v>146</v>
      </c>
      <c r="H212" s="50" t="str">
        <f>IF(CARGA_DIARIA!A212="","",C212-D212-E212)</f>
        <v/>
      </c>
    </row>
    <row r="213" spans="1:8" ht="15.75" customHeight="1" x14ac:dyDescent="0.25">
      <c r="A213" s="45" t="str">
        <f>IF(CARGA_DIARIA!A213="","",CARGA_DIARIA!A213)</f>
        <v/>
      </c>
      <c r="B213" s="46" t="str">
        <f>IF(CARGA_DIARIA!A213="","",CARGA_DIARIA!B213)</f>
        <v/>
      </c>
      <c r="C213" s="47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48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48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51" t="s">
        <v>146</v>
      </c>
      <c r="G213" s="51" t="s">
        <v>146</v>
      </c>
      <c r="H213" s="50" t="str">
        <f>IF(CARGA_DIARIA!A213="","",C213-D213-E213)</f>
        <v/>
      </c>
    </row>
    <row r="214" spans="1:8" ht="15.75" customHeight="1" x14ac:dyDescent="0.25">
      <c r="A214" s="45" t="str">
        <f>IF(CARGA_DIARIA!A214="","",CARGA_DIARIA!A214)</f>
        <v/>
      </c>
      <c r="B214" s="46" t="str">
        <f>IF(CARGA_DIARIA!A214="","",CARGA_DIARIA!B214)</f>
        <v/>
      </c>
      <c r="C214" s="47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48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48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51" t="s">
        <v>146</v>
      </c>
      <c r="G214" s="51" t="s">
        <v>146</v>
      </c>
      <c r="H214" s="50" t="str">
        <f>IF(CARGA_DIARIA!A214="","",C214-D214-E214)</f>
        <v/>
      </c>
    </row>
    <row r="215" spans="1:8" ht="15.75" customHeight="1" x14ac:dyDescent="0.25">
      <c r="A215" s="45" t="str">
        <f>IF(CARGA_DIARIA!A215="","",CARGA_DIARIA!A215)</f>
        <v/>
      </c>
      <c r="B215" s="46" t="str">
        <f>IF(CARGA_DIARIA!A215="","",CARGA_DIARIA!B215)</f>
        <v/>
      </c>
      <c r="C215" s="47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48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48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51" t="s">
        <v>146</v>
      </c>
      <c r="G215" s="51" t="s">
        <v>146</v>
      </c>
      <c r="H215" s="50" t="str">
        <f>IF(CARGA_DIARIA!A215="","",C215-D215-E215)</f>
        <v/>
      </c>
    </row>
    <row r="216" spans="1:8" ht="15.75" customHeight="1" x14ac:dyDescent="0.25">
      <c r="A216" s="45" t="str">
        <f>IF(CARGA_DIARIA!A216="","",CARGA_DIARIA!A216)</f>
        <v/>
      </c>
      <c r="B216" s="46" t="str">
        <f>IF(CARGA_DIARIA!A216="","",CARGA_DIARIA!B216)</f>
        <v/>
      </c>
      <c r="C216" s="47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48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48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51" t="s">
        <v>146</v>
      </c>
      <c r="G216" s="51" t="s">
        <v>146</v>
      </c>
      <c r="H216" s="50" t="str">
        <f>IF(CARGA_DIARIA!A216="","",C216-D216-E216)</f>
        <v/>
      </c>
    </row>
    <row r="217" spans="1:8" ht="15.75" customHeight="1" x14ac:dyDescent="0.25">
      <c r="A217" s="45" t="str">
        <f>IF(CARGA_DIARIA!A217="","",CARGA_DIARIA!A217)</f>
        <v/>
      </c>
      <c r="B217" s="46" t="str">
        <f>IF(CARGA_DIARIA!A217="","",CARGA_DIARIA!B217)</f>
        <v/>
      </c>
      <c r="C217" s="47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48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48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51" t="s">
        <v>146</v>
      </c>
      <c r="G217" s="51" t="s">
        <v>146</v>
      </c>
      <c r="H217" s="50" t="str">
        <f>IF(CARGA_DIARIA!A217="","",C217-D217-E217)</f>
        <v/>
      </c>
    </row>
    <row r="218" spans="1:8" ht="15.75" customHeight="1" x14ac:dyDescent="0.25">
      <c r="A218" s="45" t="str">
        <f>IF(CARGA_DIARIA!A218="","",CARGA_DIARIA!A218)</f>
        <v/>
      </c>
      <c r="B218" s="46" t="str">
        <f>IF(CARGA_DIARIA!A218="","",CARGA_DIARIA!B218)</f>
        <v/>
      </c>
      <c r="C218" s="47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48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48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51" t="s">
        <v>146</v>
      </c>
      <c r="G218" s="51" t="s">
        <v>146</v>
      </c>
      <c r="H218" s="50" t="str">
        <f>IF(CARGA_DIARIA!A218="","",C218-D218-E218)</f>
        <v/>
      </c>
    </row>
    <row r="219" spans="1:8" ht="15.75" customHeight="1" x14ac:dyDescent="0.25">
      <c r="A219" s="45" t="str">
        <f>IF(CARGA_DIARIA!A219="","",CARGA_DIARIA!A219)</f>
        <v/>
      </c>
      <c r="B219" s="46" t="str">
        <f>IF(CARGA_DIARIA!A219="","",CARGA_DIARIA!B219)</f>
        <v/>
      </c>
      <c r="C219" s="47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48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48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51" t="s">
        <v>146</v>
      </c>
      <c r="G219" s="51" t="s">
        <v>146</v>
      </c>
      <c r="H219" s="50" t="str">
        <f>IF(CARGA_DIARIA!A219="","",C219-D219-E219)</f>
        <v/>
      </c>
    </row>
    <row r="220" spans="1:8" ht="15.75" customHeight="1" x14ac:dyDescent="0.25">
      <c r="A220" s="45" t="str">
        <f>IF(CARGA_DIARIA!A220="","",CARGA_DIARIA!A220)</f>
        <v/>
      </c>
      <c r="B220" s="46" t="str">
        <f>IF(CARGA_DIARIA!A220="","",CARGA_DIARIA!B220)</f>
        <v/>
      </c>
      <c r="C220" s="47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48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48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51" t="s">
        <v>146</v>
      </c>
      <c r="G220" s="51" t="s">
        <v>146</v>
      </c>
      <c r="H220" s="50" t="str">
        <f>IF(CARGA_DIARIA!A220="","",C220-D220-E220)</f>
        <v/>
      </c>
    </row>
    <row r="221" spans="1:8" ht="15.75" customHeight="1" x14ac:dyDescent="0.25">
      <c r="A221" s="45" t="str">
        <f>IF(CARGA_DIARIA!A221="","",CARGA_DIARIA!A221)</f>
        <v/>
      </c>
      <c r="B221" s="46" t="str">
        <f>IF(CARGA_DIARIA!A221="","",CARGA_DIARIA!B221)</f>
        <v/>
      </c>
      <c r="C221" s="47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48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48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51" t="s">
        <v>146</v>
      </c>
      <c r="G221" s="51" t="s">
        <v>146</v>
      </c>
      <c r="H221" s="50" t="str">
        <f>IF(CARGA_DIARIA!A221="","",C221-D221-E221)</f>
        <v/>
      </c>
    </row>
    <row r="222" spans="1:8" ht="15.75" customHeight="1" x14ac:dyDescent="0.25">
      <c r="A222" s="45" t="str">
        <f>IF(CARGA_DIARIA!A222="","",CARGA_DIARIA!A222)</f>
        <v/>
      </c>
      <c r="B222" s="46" t="str">
        <f>IF(CARGA_DIARIA!A222="","",CARGA_DIARIA!B222)</f>
        <v/>
      </c>
      <c r="C222" s="47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48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48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51" t="s">
        <v>146</v>
      </c>
      <c r="G222" s="51" t="s">
        <v>146</v>
      </c>
      <c r="H222" s="50" t="str">
        <f>IF(CARGA_DIARIA!A222="","",C222-D222-E222)</f>
        <v/>
      </c>
    </row>
    <row r="223" spans="1:8" ht="15.75" customHeight="1" x14ac:dyDescent="0.25">
      <c r="A223" s="45" t="str">
        <f>IF(CARGA_DIARIA!A223="","",CARGA_DIARIA!A223)</f>
        <v/>
      </c>
      <c r="B223" s="46" t="str">
        <f>IF(CARGA_DIARIA!A223="","",CARGA_DIARIA!B223)</f>
        <v/>
      </c>
      <c r="C223" s="47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48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48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51" t="s">
        <v>146</v>
      </c>
      <c r="G223" s="51" t="s">
        <v>146</v>
      </c>
      <c r="H223" s="50" t="str">
        <f>IF(CARGA_DIARIA!A223="","",C223-D223-E223)</f>
        <v/>
      </c>
    </row>
    <row r="224" spans="1:8" ht="15.75" customHeight="1" x14ac:dyDescent="0.25">
      <c r="A224" s="45" t="str">
        <f>IF(CARGA_DIARIA!A224="","",CARGA_DIARIA!A224)</f>
        <v/>
      </c>
      <c r="B224" s="46" t="str">
        <f>IF(CARGA_DIARIA!A224="","",CARGA_DIARIA!B224)</f>
        <v/>
      </c>
      <c r="C224" s="47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48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48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51" t="s">
        <v>146</v>
      </c>
      <c r="G224" s="51" t="s">
        <v>146</v>
      </c>
      <c r="H224" s="50" t="str">
        <f>IF(CARGA_DIARIA!A224="","",C224-D224-E224)</f>
        <v/>
      </c>
    </row>
    <row r="225" spans="1:8" ht="15.75" customHeight="1" x14ac:dyDescent="0.25">
      <c r="A225" s="45" t="str">
        <f>IF(CARGA_DIARIA!A225="","",CARGA_DIARIA!A225)</f>
        <v/>
      </c>
      <c r="B225" s="46" t="str">
        <f>IF(CARGA_DIARIA!A225="","",CARGA_DIARIA!B225)</f>
        <v/>
      </c>
      <c r="C225" s="47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48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48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51" t="s">
        <v>146</v>
      </c>
      <c r="G225" s="51" t="s">
        <v>146</v>
      </c>
      <c r="H225" s="50" t="str">
        <f>IF(CARGA_DIARIA!A225="","",C225-D225-E225)</f>
        <v/>
      </c>
    </row>
    <row r="226" spans="1:8" ht="15.75" customHeight="1" x14ac:dyDescent="0.25">
      <c r="A226" s="45" t="str">
        <f>IF(CARGA_DIARIA!A226="","",CARGA_DIARIA!A226)</f>
        <v/>
      </c>
      <c r="B226" s="46" t="str">
        <f>IF(CARGA_DIARIA!A226="","",CARGA_DIARIA!B226)</f>
        <v/>
      </c>
      <c r="C226" s="47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48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48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51" t="s">
        <v>146</v>
      </c>
      <c r="G226" s="51" t="s">
        <v>146</v>
      </c>
      <c r="H226" s="50" t="str">
        <f>IF(CARGA_DIARIA!A226="","",C226-D226-E226)</f>
        <v/>
      </c>
    </row>
    <row r="227" spans="1:8" ht="15.75" customHeight="1" x14ac:dyDescent="0.25">
      <c r="A227" s="45" t="str">
        <f>IF(CARGA_DIARIA!A227="","",CARGA_DIARIA!A227)</f>
        <v/>
      </c>
      <c r="B227" s="46" t="str">
        <f>IF(CARGA_DIARIA!A227="","",CARGA_DIARIA!B227)</f>
        <v/>
      </c>
      <c r="C227" s="47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48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48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51" t="s">
        <v>146</v>
      </c>
      <c r="G227" s="51" t="s">
        <v>146</v>
      </c>
      <c r="H227" s="50" t="str">
        <f>IF(CARGA_DIARIA!A227="","",C227-D227-E227)</f>
        <v/>
      </c>
    </row>
    <row r="228" spans="1:8" ht="15.75" customHeight="1" x14ac:dyDescent="0.25">
      <c r="A228" s="45" t="str">
        <f>IF(CARGA_DIARIA!A228="","",CARGA_DIARIA!A228)</f>
        <v/>
      </c>
      <c r="B228" s="46" t="str">
        <f>IF(CARGA_DIARIA!A228="","",CARGA_DIARIA!B228)</f>
        <v/>
      </c>
      <c r="C228" s="47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48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48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51" t="s">
        <v>146</v>
      </c>
      <c r="G228" s="51" t="s">
        <v>146</v>
      </c>
      <c r="H228" s="50" t="str">
        <f>IF(CARGA_DIARIA!A228="","",C228-D228-E228)</f>
        <v/>
      </c>
    </row>
    <row r="229" spans="1:8" ht="15.75" customHeight="1" x14ac:dyDescent="0.25">
      <c r="A229" s="45" t="str">
        <f>IF(CARGA_DIARIA!A229="","",CARGA_DIARIA!A229)</f>
        <v/>
      </c>
      <c r="B229" s="46" t="str">
        <f>IF(CARGA_DIARIA!A229="","",CARGA_DIARIA!B229)</f>
        <v/>
      </c>
      <c r="C229" s="47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48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48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51" t="s">
        <v>146</v>
      </c>
      <c r="G229" s="51" t="s">
        <v>146</v>
      </c>
      <c r="H229" s="50" t="str">
        <f>IF(CARGA_DIARIA!A229="","",C229-D229-E229)</f>
        <v/>
      </c>
    </row>
    <row r="230" spans="1:8" ht="15.75" customHeight="1" x14ac:dyDescent="0.25">
      <c r="A230" s="45" t="str">
        <f>IF(CARGA_DIARIA!A230="","",CARGA_DIARIA!A230)</f>
        <v/>
      </c>
      <c r="B230" s="46" t="str">
        <f>IF(CARGA_DIARIA!A230="","",CARGA_DIARIA!B230)</f>
        <v/>
      </c>
      <c r="C230" s="47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48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48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51" t="s">
        <v>146</v>
      </c>
      <c r="G230" s="51" t="s">
        <v>146</v>
      </c>
      <c r="H230" s="50" t="str">
        <f>IF(CARGA_DIARIA!A230="","",C230-D230-E230)</f>
        <v/>
      </c>
    </row>
    <row r="231" spans="1:8" ht="15.75" customHeight="1" x14ac:dyDescent="0.25">
      <c r="A231" s="45" t="str">
        <f>IF(CARGA_DIARIA!A231="","",CARGA_DIARIA!A231)</f>
        <v/>
      </c>
      <c r="B231" s="46" t="str">
        <f>IF(CARGA_DIARIA!A231="","",CARGA_DIARIA!B231)</f>
        <v/>
      </c>
      <c r="C231" s="47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48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48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51" t="s">
        <v>146</v>
      </c>
      <c r="G231" s="51" t="s">
        <v>146</v>
      </c>
      <c r="H231" s="50" t="str">
        <f>IF(CARGA_DIARIA!A231="","",C231-D231-E231)</f>
        <v/>
      </c>
    </row>
    <row r="232" spans="1:8" ht="15.75" customHeight="1" x14ac:dyDescent="0.25">
      <c r="A232" s="45" t="str">
        <f>IF(CARGA_DIARIA!A232="","",CARGA_DIARIA!A232)</f>
        <v/>
      </c>
      <c r="B232" s="46" t="str">
        <f>IF(CARGA_DIARIA!A232="","",CARGA_DIARIA!B232)</f>
        <v/>
      </c>
      <c r="C232" s="47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48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48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51" t="s">
        <v>146</v>
      </c>
      <c r="G232" s="51" t="s">
        <v>146</v>
      </c>
      <c r="H232" s="50" t="str">
        <f>IF(CARGA_DIARIA!A232="","",C232-D232-E232)</f>
        <v/>
      </c>
    </row>
    <row r="233" spans="1:8" ht="15.75" customHeight="1" x14ac:dyDescent="0.25">
      <c r="A233" s="45" t="str">
        <f>IF(CARGA_DIARIA!A233="","",CARGA_DIARIA!A233)</f>
        <v/>
      </c>
      <c r="B233" s="46" t="str">
        <f>IF(CARGA_DIARIA!A233="","",CARGA_DIARIA!B233)</f>
        <v/>
      </c>
      <c r="C233" s="47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48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48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51" t="s">
        <v>146</v>
      </c>
      <c r="G233" s="51" t="s">
        <v>146</v>
      </c>
      <c r="H233" s="50" t="str">
        <f>IF(CARGA_DIARIA!A233="","",C233-D233-E233)</f>
        <v/>
      </c>
    </row>
    <row r="234" spans="1:8" ht="15.75" customHeight="1" x14ac:dyDescent="0.25">
      <c r="A234" s="45" t="str">
        <f>IF(CARGA_DIARIA!A234="","",CARGA_DIARIA!A234)</f>
        <v/>
      </c>
      <c r="B234" s="46" t="str">
        <f>IF(CARGA_DIARIA!A234="","",CARGA_DIARIA!B234)</f>
        <v/>
      </c>
      <c r="C234" s="47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48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48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51" t="s">
        <v>146</v>
      </c>
      <c r="G234" s="51" t="s">
        <v>146</v>
      </c>
      <c r="H234" s="50" t="str">
        <f>IF(CARGA_DIARIA!A234="","",C234-D234-E234)</f>
        <v/>
      </c>
    </row>
    <row r="235" spans="1:8" ht="15.75" customHeight="1" x14ac:dyDescent="0.25">
      <c r="A235" s="45" t="str">
        <f>IF(CARGA_DIARIA!A235="","",CARGA_DIARIA!A235)</f>
        <v/>
      </c>
      <c r="B235" s="46" t="str">
        <f>IF(CARGA_DIARIA!A235="","",CARGA_DIARIA!B235)</f>
        <v/>
      </c>
      <c r="C235" s="47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48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48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51" t="s">
        <v>146</v>
      </c>
      <c r="G235" s="51" t="s">
        <v>146</v>
      </c>
      <c r="H235" s="50" t="str">
        <f>IF(CARGA_DIARIA!A235="","",C235-D235-E235)</f>
        <v/>
      </c>
    </row>
    <row r="236" spans="1:8" ht="15.75" customHeight="1" x14ac:dyDescent="0.25">
      <c r="A236" s="45" t="str">
        <f>IF(CARGA_DIARIA!A236="","",CARGA_DIARIA!A236)</f>
        <v/>
      </c>
      <c r="B236" s="46" t="str">
        <f>IF(CARGA_DIARIA!A236="","",CARGA_DIARIA!B236)</f>
        <v/>
      </c>
      <c r="C236" s="47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48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48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51" t="s">
        <v>146</v>
      </c>
      <c r="G236" s="51" t="s">
        <v>146</v>
      </c>
      <c r="H236" s="50" t="str">
        <f>IF(CARGA_DIARIA!A236="","",C236-D236-E236)</f>
        <v/>
      </c>
    </row>
    <row r="237" spans="1:8" ht="15.75" customHeight="1" x14ac:dyDescent="0.25">
      <c r="A237" s="45" t="str">
        <f>IF(CARGA_DIARIA!A237="","",CARGA_DIARIA!A237)</f>
        <v/>
      </c>
      <c r="B237" s="46" t="str">
        <f>IF(CARGA_DIARIA!A237="","",CARGA_DIARIA!B237)</f>
        <v/>
      </c>
      <c r="C237" s="47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48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48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51" t="s">
        <v>146</v>
      </c>
      <c r="G237" s="51" t="s">
        <v>146</v>
      </c>
      <c r="H237" s="50" t="str">
        <f>IF(CARGA_DIARIA!A237="","",C237-D237-E237)</f>
        <v/>
      </c>
    </row>
    <row r="238" spans="1:8" ht="15.75" customHeight="1" x14ac:dyDescent="0.25">
      <c r="A238" s="45" t="str">
        <f>IF(CARGA_DIARIA!A238="","",CARGA_DIARIA!A238)</f>
        <v/>
      </c>
      <c r="B238" s="46" t="str">
        <f>IF(CARGA_DIARIA!A238="","",CARGA_DIARIA!B238)</f>
        <v/>
      </c>
      <c r="C238" s="47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48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48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51" t="s">
        <v>146</v>
      </c>
      <c r="G238" s="51" t="s">
        <v>146</v>
      </c>
      <c r="H238" s="50" t="str">
        <f>IF(CARGA_DIARIA!A238="","",C238-D238-E238)</f>
        <v/>
      </c>
    </row>
    <row r="239" spans="1:8" ht="15.75" customHeight="1" x14ac:dyDescent="0.25">
      <c r="A239" s="45" t="str">
        <f>IF(CARGA_DIARIA!A239="","",CARGA_DIARIA!A239)</f>
        <v/>
      </c>
      <c r="B239" s="46" t="str">
        <f>IF(CARGA_DIARIA!A239="","",CARGA_DIARIA!B239)</f>
        <v/>
      </c>
      <c r="C239" s="47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48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48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51" t="s">
        <v>146</v>
      </c>
      <c r="G239" s="51" t="s">
        <v>146</v>
      </c>
      <c r="H239" s="50" t="str">
        <f>IF(CARGA_DIARIA!A239="","",C239-D239-E239)</f>
        <v/>
      </c>
    </row>
    <row r="240" spans="1:8" ht="15.75" customHeight="1" x14ac:dyDescent="0.25">
      <c r="A240" s="45" t="str">
        <f>IF(CARGA_DIARIA!A240="","",CARGA_DIARIA!A240)</f>
        <v/>
      </c>
      <c r="B240" s="46" t="str">
        <f>IF(CARGA_DIARIA!A240="","",CARGA_DIARIA!B240)</f>
        <v/>
      </c>
      <c r="C240" s="47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48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48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51" t="s">
        <v>146</v>
      </c>
      <c r="G240" s="51" t="s">
        <v>146</v>
      </c>
      <c r="H240" s="50" t="str">
        <f>IF(CARGA_DIARIA!A240="","",C240-D240-E240)</f>
        <v/>
      </c>
    </row>
    <row r="241" spans="1:8" ht="15.75" customHeight="1" x14ac:dyDescent="0.25">
      <c r="A241" s="45" t="str">
        <f>IF(CARGA_DIARIA!A241="","",CARGA_DIARIA!A241)</f>
        <v/>
      </c>
      <c r="B241" s="46" t="str">
        <f>IF(CARGA_DIARIA!A241="","",CARGA_DIARIA!B241)</f>
        <v/>
      </c>
      <c r="C241" s="47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48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48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51" t="s">
        <v>146</v>
      </c>
      <c r="G241" s="51" t="s">
        <v>146</v>
      </c>
      <c r="H241" s="50" t="str">
        <f>IF(CARGA_DIARIA!A241="","",C241-D241-E241)</f>
        <v/>
      </c>
    </row>
    <row r="242" spans="1:8" ht="15.75" customHeight="1" x14ac:dyDescent="0.25">
      <c r="A242" s="45" t="str">
        <f>IF(CARGA_DIARIA!A242="","",CARGA_DIARIA!A242)</f>
        <v/>
      </c>
      <c r="B242" s="46" t="str">
        <f>IF(CARGA_DIARIA!A242="","",CARGA_DIARIA!B242)</f>
        <v/>
      </c>
      <c r="C242" s="47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48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48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51" t="s">
        <v>146</v>
      </c>
      <c r="G242" s="51" t="s">
        <v>146</v>
      </c>
      <c r="H242" s="50" t="str">
        <f>IF(CARGA_DIARIA!A242="","",C242-D242-E242)</f>
        <v/>
      </c>
    </row>
    <row r="243" spans="1:8" ht="15.75" customHeight="1" x14ac:dyDescent="0.25">
      <c r="A243" s="45" t="str">
        <f>IF(CARGA_DIARIA!A243="","",CARGA_DIARIA!A243)</f>
        <v/>
      </c>
      <c r="B243" s="46" t="str">
        <f>IF(CARGA_DIARIA!A243="","",CARGA_DIARIA!B243)</f>
        <v/>
      </c>
      <c r="C243" s="47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48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48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51" t="s">
        <v>146</v>
      </c>
      <c r="G243" s="51" t="s">
        <v>146</v>
      </c>
      <c r="H243" s="50" t="str">
        <f>IF(CARGA_DIARIA!A243="","",C243-D243-E243)</f>
        <v/>
      </c>
    </row>
    <row r="244" spans="1:8" ht="15.75" customHeight="1" x14ac:dyDescent="0.25">
      <c r="A244" s="45" t="str">
        <f>IF(CARGA_DIARIA!A244="","",CARGA_DIARIA!A244)</f>
        <v/>
      </c>
      <c r="B244" s="46" t="str">
        <f>IF(CARGA_DIARIA!A244="","",CARGA_DIARIA!B244)</f>
        <v/>
      </c>
      <c r="C244" s="47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48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48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51" t="s">
        <v>146</v>
      </c>
      <c r="G244" s="51" t="s">
        <v>146</v>
      </c>
      <c r="H244" s="50" t="str">
        <f>IF(CARGA_DIARIA!A244="","",C244-D244-E244)</f>
        <v/>
      </c>
    </row>
    <row r="245" spans="1:8" ht="15.75" customHeight="1" x14ac:dyDescent="0.25">
      <c r="A245" s="45" t="str">
        <f>IF(CARGA_DIARIA!A245="","",CARGA_DIARIA!A245)</f>
        <v/>
      </c>
      <c r="B245" s="46" t="str">
        <f>IF(CARGA_DIARIA!A245="","",CARGA_DIARIA!B245)</f>
        <v/>
      </c>
      <c r="C245" s="47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48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48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51" t="s">
        <v>146</v>
      </c>
      <c r="G245" s="51" t="s">
        <v>146</v>
      </c>
      <c r="H245" s="50" t="str">
        <f>IF(CARGA_DIARIA!A245="","",C245-D245-E245)</f>
        <v/>
      </c>
    </row>
    <row r="246" spans="1:8" ht="15.75" customHeight="1" x14ac:dyDescent="0.25">
      <c r="A246" s="45" t="str">
        <f>IF(CARGA_DIARIA!A246="","",CARGA_DIARIA!A246)</f>
        <v/>
      </c>
      <c r="B246" s="46" t="str">
        <f>IF(CARGA_DIARIA!A246="","",CARGA_DIARIA!B246)</f>
        <v/>
      </c>
      <c r="C246" s="47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48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48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51" t="s">
        <v>146</v>
      </c>
      <c r="G246" s="51" t="s">
        <v>146</v>
      </c>
      <c r="H246" s="50" t="str">
        <f>IF(CARGA_DIARIA!A246="","",C246-D246-E246)</f>
        <v/>
      </c>
    </row>
    <row r="247" spans="1:8" ht="15.75" customHeight="1" x14ac:dyDescent="0.25">
      <c r="A247" s="45" t="str">
        <f>IF(CARGA_DIARIA!A247="","",CARGA_DIARIA!A247)</f>
        <v/>
      </c>
      <c r="B247" s="46" t="str">
        <f>IF(CARGA_DIARIA!A247="","",CARGA_DIARIA!B247)</f>
        <v/>
      </c>
      <c r="C247" s="47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48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48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51" t="s">
        <v>146</v>
      </c>
      <c r="G247" s="51" t="s">
        <v>146</v>
      </c>
      <c r="H247" s="50" t="str">
        <f>IF(CARGA_DIARIA!A247="","",C247-D247-E247)</f>
        <v/>
      </c>
    </row>
    <row r="248" spans="1:8" ht="15.75" customHeight="1" x14ac:dyDescent="0.25">
      <c r="A248" s="45" t="str">
        <f>IF(CARGA_DIARIA!A248="","",CARGA_DIARIA!A248)</f>
        <v/>
      </c>
      <c r="B248" s="46" t="str">
        <f>IF(CARGA_DIARIA!A248="","",CARGA_DIARIA!B248)</f>
        <v/>
      </c>
      <c r="C248" s="47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48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48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51" t="s">
        <v>146</v>
      </c>
      <c r="G248" s="51" t="s">
        <v>146</v>
      </c>
      <c r="H248" s="50" t="str">
        <f>IF(CARGA_DIARIA!A248="","",C248-D248-E248)</f>
        <v/>
      </c>
    </row>
    <row r="249" spans="1:8" ht="15.75" customHeight="1" x14ac:dyDescent="0.25">
      <c r="A249" s="45" t="str">
        <f>IF(CARGA_DIARIA!A249="","",CARGA_DIARIA!A249)</f>
        <v/>
      </c>
      <c r="B249" s="46" t="str">
        <f>IF(CARGA_DIARIA!A249="","",CARGA_DIARIA!B249)</f>
        <v/>
      </c>
      <c r="C249" s="47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48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48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51" t="s">
        <v>146</v>
      </c>
      <c r="G249" s="51" t="s">
        <v>146</v>
      </c>
      <c r="H249" s="50" t="str">
        <f>IF(CARGA_DIARIA!A249="","",C249-D249-E249)</f>
        <v/>
      </c>
    </row>
    <row r="250" spans="1:8" ht="15.75" customHeight="1" x14ac:dyDescent="0.25">
      <c r="A250" s="45" t="str">
        <f>IF(CARGA_DIARIA!A250="","",CARGA_DIARIA!A250)</f>
        <v/>
      </c>
      <c r="B250" s="46" t="str">
        <f>IF(CARGA_DIARIA!A250="","",CARGA_DIARIA!B250)</f>
        <v/>
      </c>
      <c r="C250" s="47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48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48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51" t="s">
        <v>146</v>
      </c>
      <c r="G250" s="51" t="s">
        <v>146</v>
      </c>
      <c r="H250" s="50" t="str">
        <f>IF(CARGA_DIARIA!A250="","",C250-D250-E250)</f>
        <v/>
      </c>
    </row>
    <row r="251" spans="1:8" ht="15.75" customHeight="1" x14ac:dyDescent="0.25">
      <c r="A251" s="45" t="str">
        <f>IF(CARGA_DIARIA!A251="","",CARGA_DIARIA!A251)</f>
        <v/>
      </c>
      <c r="B251" s="46" t="str">
        <f>IF(CARGA_DIARIA!A251="","",CARGA_DIARIA!B251)</f>
        <v/>
      </c>
      <c r="C251" s="47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48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48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51" t="s">
        <v>146</v>
      </c>
      <c r="G251" s="51" t="s">
        <v>146</v>
      </c>
      <c r="H251" s="50" t="str">
        <f>IF(CARGA_DIARIA!A251="","",C251-D251-E251)</f>
        <v/>
      </c>
    </row>
    <row r="252" spans="1:8" ht="15.75" customHeight="1" x14ac:dyDescent="0.25">
      <c r="A252" s="45" t="str">
        <f>IF(CARGA_DIARIA!A252="","",CARGA_DIARIA!A252)</f>
        <v/>
      </c>
      <c r="B252" s="46" t="str">
        <f>IF(CARGA_DIARIA!A252="","",CARGA_DIARIA!B252)</f>
        <v/>
      </c>
      <c r="C252" s="47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48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48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51" t="s">
        <v>146</v>
      </c>
      <c r="G252" s="51" t="s">
        <v>146</v>
      </c>
      <c r="H252" s="50" t="str">
        <f>IF(CARGA_DIARIA!A252="","",C252-D252-E252)</f>
        <v/>
      </c>
    </row>
    <row r="253" spans="1:8" ht="15.75" customHeight="1" x14ac:dyDescent="0.25">
      <c r="A253" s="45" t="str">
        <f>IF(CARGA_DIARIA!A253="","",CARGA_DIARIA!A253)</f>
        <v/>
      </c>
      <c r="B253" s="46" t="str">
        <f>IF(CARGA_DIARIA!A253="","",CARGA_DIARIA!B253)</f>
        <v/>
      </c>
      <c r="C253" s="47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48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48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51" t="s">
        <v>146</v>
      </c>
      <c r="G253" s="51" t="s">
        <v>146</v>
      </c>
      <c r="H253" s="50" t="str">
        <f>IF(CARGA_DIARIA!A253="","",C253-D253-E253)</f>
        <v/>
      </c>
    </row>
    <row r="254" spans="1:8" ht="15.75" customHeight="1" x14ac:dyDescent="0.25">
      <c r="A254" s="45" t="str">
        <f>IF(CARGA_DIARIA!A254="","",CARGA_DIARIA!A254)</f>
        <v/>
      </c>
      <c r="B254" s="46" t="str">
        <f>IF(CARGA_DIARIA!A254="","",CARGA_DIARIA!B254)</f>
        <v/>
      </c>
      <c r="C254" s="47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48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48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51" t="s">
        <v>146</v>
      </c>
      <c r="G254" s="51" t="s">
        <v>146</v>
      </c>
      <c r="H254" s="50" t="str">
        <f>IF(CARGA_DIARIA!A254="","",C254-D254-E254)</f>
        <v/>
      </c>
    </row>
    <row r="255" spans="1:8" ht="15.75" customHeight="1" x14ac:dyDescent="0.25">
      <c r="A255" s="45" t="str">
        <f>IF(CARGA_DIARIA!A255="","",CARGA_DIARIA!A255)</f>
        <v/>
      </c>
      <c r="B255" s="46" t="str">
        <f>IF(CARGA_DIARIA!A255="","",CARGA_DIARIA!B255)</f>
        <v/>
      </c>
      <c r="C255" s="47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48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48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51" t="s">
        <v>146</v>
      </c>
      <c r="G255" s="51" t="s">
        <v>146</v>
      </c>
      <c r="H255" s="50" t="str">
        <f>IF(CARGA_DIARIA!A255="","",C255-D255-E255)</f>
        <v/>
      </c>
    </row>
    <row r="256" spans="1:8" ht="15.75" customHeight="1" x14ac:dyDescent="0.25">
      <c r="A256" s="45" t="str">
        <f>IF(CARGA_DIARIA!A256="","",CARGA_DIARIA!A256)</f>
        <v/>
      </c>
      <c r="B256" s="46" t="str">
        <f>IF(CARGA_DIARIA!A256="","",CARGA_DIARIA!B256)</f>
        <v/>
      </c>
      <c r="C256" s="47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48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48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51" t="s">
        <v>146</v>
      </c>
      <c r="G256" s="51" t="s">
        <v>146</v>
      </c>
      <c r="H256" s="50" t="str">
        <f>IF(CARGA_DIARIA!A256="","",C256-D256-E256)</f>
        <v/>
      </c>
    </row>
    <row r="257" spans="1:8" ht="15.75" customHeight="1" x14ac:dyDescent="0.25">
      <c r="A257" s="45" t="str">
        <f>IF(CARGA_DIARIA!A257="","",CARGA_DIARIA!A257)</f>
        <v/>
      </c>
      <c r="B257" s="46" t="str">
        <f>IF(CARGA_DIARIA!A257="","",CARGA_DIARIA!B257)</f>
        <v/>
      </c>
      <c r="C257" s="47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48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48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51" t="s">
        <v>146</v>
      </c>
      <c r="G257" s="51" t="s">
        <v>146</v>
      </c>
      <c r="H257" s="50" t="str">
        <f>IF(CARGA_DIARIA!A257="","",C257-D257-E257)</f>
        <v/>
      </c>
    </row>
    <row r="258" spans="1:8" ht="15.75" customHeight="1" x14ac:dyDescent="0.25">
      <c r="A258" s="45" t="str">
        <f>IF(CARGA_DIARIA!A258="","",CARGA_DIARIA!A258)</f>
        <v/>
      </c>
      <c r="B258" s="46" t="str">
        <f>IF(CARGA_DIARIA!A258="","",CARGA_DIARIA!B258)</f>
        <v/>
      </c>
      <c r="C258" s="47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48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48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51" t="s">
        <v>146</v>
      </c>
      <c r="G258" s="51" t="s">
        <v>146</v>
      </c>
      <c r="H258" s="50" t="str">
        <f>IF(CARGA_DIARIA!A258="","",C258-D258-E258)</f>
        <v/>
      </c>
    </row>
    <row r="259" spans="1:8" ht="15.75" customHeight="1" x14ac:dyDescent="0.25">
      <c r="A259" s="45" t="str">
        <f>IF(CARGA_DIARIA!A259="","",CARGA_DIARIA!A259)</f>
        <v/>
      </c>
      <c r="B259" s="46" t="str">
        <f>IF(CARGA_DIARIA!A259="","",CARGA_DIARIA!B259)</f>
        <v/>
      </c>
      <c r="C259" s="47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48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48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51" t="s">
        <v>146</v>
      </c>
      <c r="G259" s="51" t="s">
        <v>146</v>
      </c>
      <c r="H259" s="50" t="str">
        <f>IF(CARGA_DIARIA!A259="","",C259-D259-E259)</f>
        <v/>
      </c>
    </row>
    <row r="260" spans="1:8" ht="15.75" customHeight="1" x14ac:dyDescent="0.25">
      <c r="A260" s="45" t="str">
        <f>IF(CARGA_DIARIA!A260="","",CARGA_DIARIA!A260)</f>
        <v/>
      </c>
      <c r="B260" s="46" t="str">
        <f>IF(CARGA_DIARIA!A260="","",CARGA_DIARIA!B260)</f>
        <v/>
      </c>
      <c r="C260" s="47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48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48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51" t="s">
        <v>146</v>
      </c>
      <c r="G260" s="51" t="s">
        <v>146</v>
      </c>
      <c r="H260" s="50" t="str">
        <f>IF(CARGA_DIARIA!A260="","",C260-D260-E260)</f>
        <v/>
      </c>
    </row>
    <row r="261" spans="1:8" ht="15.75" customHeight="1" x14ac:dyDescent="0.25">
      <c r="A261" s="45" t="str">
        <f>IF(CARGA_DIARIA!A261="","",CARGA_DIARIA!A261)</f>
        <v/>
      </c>
      <c r="B261" s="46" t="str">
        <f>IF(CARGA_DIARIA!A261="","",CARGA_DIARIA!B261)</f>
        <v/>
      </c>
      <c r="C261" s="47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48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48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51" t="s">
        <v>146</v>
      </c>
      <c r="G261" s="51" t="s">
        <v>146</v>
      </c>
      <c r="H261" s="50" t="str">
        <f>IF(CARGA_DIARIA!A261="","",C261-D261-E261)</f>
        <v/>
      </c>
    </row>
    <row r="262" spans="1:8" ht="15.75" customHeight="1" x14ac:dyDescent="0.25">
      <c r="A262" s="45" t="str">
        <f>IF(CARGA_DIARIA!A262="","",CARGA_DIARIA!A262)</f>
        <v/>
      </c>
      <c r="B262" s="46" t="str">
        <f>IF(CARGA_DIARIA!A262="","",CARGA_DIARIA!B262)</f>
        <v/>
      </c>
      <c r="C262" s="47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48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48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51" t="s">
        <v>146</v>
      </c>
      <c r="G262" s="51" t="s">
        <v>146</v>
      </c>
      <c r="H262" s="50" t="str">
        <f>IF(CARGA_DIARIA!A262="","",C262-D262-E262)</f>
        <v/>
      </c>
    </row>
    <row r="263" spans="1:8" ht="15.75" customHeight="1" x14ac:dyDescent="0.25">
      <c r="A263" s="45" t="str">
        <f>IF(CARGA_DIARIA!A263="","",CARGA_DIARIA!A263)</f>
        <v/>
      </c>
      <c r="B263" s="46" t="str">
        <f>IF(CARGA_DIARIA!A263="","",CARGA_DIARIA!B263)</f>
        <v/>
      </c>
      <c r="C263" s="47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48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48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51" t="s">
        <v>146</v>
      </c>
      <c r="G263" s="51" t="s">
        <v>146</v>
      </c>
      <c r="H263" s="50" t="str">
        <f>IF(CARGA_DIARIA!A263="","",C263-D263-E263)</f>
        <v/>
      </c>
    </row>
    <row r="264" spans="1:8" ht="15.75" customHeight="1" x14ac:dyDescent="0.25">
      <c r="A264" s="45" t="str">
        <f>IF(CARGA_DIARIA!A264="","",CARGA_DIARIA!A264)</f>
        <v/>
      </c>
      <c r="B264" s="46" t="str">
        <f>IF(CARGA_DIARIA!A264="","",CARGA_DIARIA!B264)</f>
        <v/>
      </c>
      <c r="C264" s="47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48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48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51" t="s">
        <v>146</v>
      </c>
      <c r="G264" s="51" t="s">
        <v>146</v>
      </c>
      <c r="H264" s="50" t="str">
        <f>IF(CARGA_DIARIA!A264="","",C264-D264-E264)</f>
        <v/>
      </c>
    </row>
    <row r="265" spans="1:8" ht="15.75" customHeight="1" x14ac:dyDescent="0.25">
      <c r="A265" s="45" t="str">
        <f>IF(CARGA_DIARIA!A265="","",CARGA_DIARIA!A265)</f>
        <v/>
      </c>
      <c r="B265" s="46" t="str">
        <f>IF(CARGA_DIARIA!A265="","",CARGA_DIARIA!B265)</f>
        <v/>
      </c>
      <c r="C265" s="47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48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48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51" t="s">
        <v>146</v>
      </c>
      <c r="G265" s="51" t="s">
        <v>146</v>
      </c>
      <c r="H265" s="50" t="str">
        <f>IF(CARGA_DIARIA!A265="","",C265-D265-E265)</f>
        <v/>
      </c>
    </row>
    <row r="266" spans="1:8" ht="15.75" customHeight="1" x14ac:dyDescent="0.25">
      <c r="A266" s="45" t="str">
        <f>IF(CARGA_DIARIA!A266="","",CARGA_DIARIA!A266)</f>
        <v/>
      </c>
      <c r="B266" s="46" t="str">
        <f>IF(CARGA_DIARIA!A266="","",CARGA_DIARIA!B266)</f>
        <v/>
      </c>
      <c r="C266" s="47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48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48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51" t="s">
        <v>146</v>
      </c>
      <c r="G266" s="51" t="s">
        <v>146</v>
      </c>
      <c r="H266" s="50" t="str">
        <f>IF(CARGA_DIARIA!A266="","",C266-D266-E266)</f>
        <v/>
      </c>
    </row>
    <row r="267" spans="1:8" ht="15.75" customHeight="1" x14ac:dyDescent="0.25">
      <c r="A267" s="45" t="str">
        <f>IF(CARGA_DIARIA!A267="","",CARGA_DIARIA!A267)</f>
        <v/>
      </c>
      <c r="B267" s="46" t="str">
        <f>IF(CARGA_DIARIA!A267="","",CARGA_DIARIA!B267)</f>
        <v/>
      </c>
      <c r="C267" s="47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48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48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51" t="s">
        <v>146</v>
      </c>
      <c r="G267" s="51" t="s">
        <v>146</v>
      </c>
      <c r="H267" s="50" t="str">
        <f>IF(CARGA_DIARIA!A267="","",C267-D267-E267)</f>
        <v/>
      </c>
    </row>
    <row r="268" spans="1:8" ht="15.75" customHeight="1" x14ac:dyDescent="0.25">
      <c r="A268" s="45" t="str">
        <f>IF(CARGA_DIARIA!A268="","",CARGA_DIARIA!A268)</f>
        <v/>
      </c>
      <c r="B268" s="46" t="str">
        <f>IF(CARGA_DIARIA!A268="","",CARGA_DIARIA!B268)</f>
        <v/>
      </c>
      <c r="C268" s="47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48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48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51" t="s">
        <v>146</v>
      </c>
      <c r="G268" s="51" t="s">
        <v>146</v>
      </c>
      <c r="H268" s="50" t="str">
        <f>IF(CARGA_DIARIA!A268="","",C268-D268-E268)</f>
        <v/>
      </c>
    </row>
    <row r="269" spans="1:8" ht="15.75" customHeight="1" x14ac:dyDescent="0.25">
      <c r="A269" s="45" t="str">
        <f>IF(CARGA_DIARIA!A269="","",CARGA_DIARIA!A269)</f>
        <v/>
      </c>
      <c r="B269" s="46" t="str">
        <f>IF(CARGA_DIARIA!A269="","",CARGA_DIARIA!B269)</f>
        <v/>
      </c>
      <c r="C269" s="47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48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48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51" t="s">
        <v>146</v>
      </c>
      <c r="G269" s="51" t="s">
        <v>146</v>
      </c>
      <c r="H269" s="50" t="str">
        <f>IF(CARGA_DIARIA!A269="","",C269-D269-E269)</f>
        <v/>
      </c>
    </row>
    <row r="270" spans="1:8" ht="15.75" customHeight="1" x14ac:dyDescent="0.25">
      <c r="A270" s="45" t="str">
        <f>IF(CARGA_DIARIA!A270="","",CARGA_DIARIA!A270)</f>
        <v/>
      </c>
      <c r="B270" s="46" t="str">
        <f>IF(CARGA_DIARIA!A270="","",CARGA_DIARIA!B270)</f>
        <v/>
      </c>
      <c r="C270" s="47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48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48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51" t="s">
        <v>146</v>
      </c>
      <c r="G270" s="51" t="s">
        <v>146</v>
      </c>
      <c r="H270" s="50" t="str">
        <f>IF(CARGA_DIARIA!A270="","",C270-D270-E270)</f>
        <v/>
      </c>
    </row>
    <row r="271" spans="1:8" ht="15.75" customHeight="1" x14ac:dyDescent="0.25">
      <c r="A271" s="45" t="str">
        <f>IF(CARGA_DIARIA!A271="","",CARGA_DIARIA!A271)</f>
        <v/>
      </c>
      <c r="B271" s="46" t="str">
        <f>IF(CARGA_DIARIA!A271="","",CARGA_DIARIA!B271)</f>
        <v/>
      </c>
      <c r="C271" s="47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48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48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51" t="s">
        <v>146</v>
      </c>
      <c r="G271" s="51" t="s">
        <v>146</v>
      </c>
      <c r="H271" s="50" t="str">
        <f>IF(CARGA_DIARIA!A271="","",C271-D271-E271)</f>
        <v/>
      </c>
    </row>
    <row r="272" spans="1:8" ht="15.75" customHeight="1" x14ac:dyDescent="0.25">
      <c r="A272" s="45" t="str">
        <f>IF(CARGA_DIARIA!A272="","",CARGA_DIARIA!A272)</f>
        <v/>
      </c>
      <c r="B272" s="46" t="str">
        <f>IF(CARGA_DIARIA!A272="","",CARGA_DIARIA!B272)</f>
        <v/>
      </c>
      <c r="C272" s="47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48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48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51" t="s">
        <v>146</v>
      </c>
      <c r="G272" s="51" t="s">
        <v>146</v>
      </c>
      <c r="H272" s="50" t="str">
        <f>IF(CARGA_DIARIA!A272="","",C272-D272-E272)</f>
        <v/>
      </c>
    </row>
    <row r="273" spans="1:8" ht="15.75" customHeight="1" x14ac:dyDescent="0.25">
      <c r="A273" s="45" t="str">
        <f>IF(CARGA_DIARIA!A273="","",CARGA_DIARIA!A273)</f>
        <v/>
      </c>
      <c r="B273" s="46" t="str">
        <f>IF(CARGA_DIARIA!A273="","",CARGA_DIARIA!B273)</f>
        <v/>
      </c>
      <c r="C273" s="47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48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48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51" t="s">
        <v>146</v>
      </c>
      <c r="G273" s="51" t="s">
        <v>146</v>
      </c>
      <c r="H273" s="50" t="str">
        <f>IF(CARGA_DIARIA!A273="","",C273-D273-E273)</f>
        <v/>
      </c>
    </row>
    <row r="274" spans="1:8" ht="15.75" customHeight="1" x14ac:dyDescent="0.25">
      <c r="A274" s="45" t="str">
        <f>IF(CARGA_DIARIA!A274="","",CARGA_DIARIA!A274)</f>
        <v/>
      </c>
      <c r="B274" s="46" t="str">
        <f>IF(CARGA_DIARIA!A274="","",CARGA_DIARIA!B274)</f>
        <v/>
      </c>
      <c r="C274" s="47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48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48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51" t="s">
        <v>146</v>
      </c>
      <c r="G274" s="51" t="s">
        <v>146</v>
      </c>
      <c r="H274" s="50" t="str">
        <f>IF(CARGA_DIARIA!A274="","",C274-D274-E274)</f>
        <v/>
      </c>
    </row>
    <row r="275" spans="1:8" ht="15.75" customHeight="1" x14ac:dyDescent="0.25">
      <c r="A275" s="45" t="str">
        <f>IF(CARGA_DIARIA!A275="","",CARGA_DIARIA!A275)</f>
        <v/>
      </c>
      <c r="B275" s="46" t="str">
        <f>IF(CARGA_DIARIA!A275="","",CARGA_DIARIA!B275)</f>
        <v/>
      </c>
      <c r="C275" s="47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48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48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51" t="s">
        <v>146</v>
      </c>
      <c r="G275" s="51" t="s">
        <v>146</v>
      </c>
      <c r="H275" s="50" t="str">
        <f>IF(CARGA_DIARIA!A275="","",C275-D275-E275)</f>
        <v/>
      </c>
    </row>
    <row r="276" spans="1:8" ht="15.75" customHeight="1" x14ac:dyDescent="0.25">
      <c r="A276" s="45" t="str">
        <f>IF(CARGA_DIARIA!A276="","",CARGA_DIARIA!A276)</f>
        <v/>
      </c>
      <c r="B276" s="46" t="str">
        <f>IF(CARGA_DIARIA!A276="","",CARGA_DIARIA!B276)</f>
        <v/>
      </c>
      <c r="C276" s="47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48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48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51" t="s">
        <v>146</v>
      </c>
      <c r="G276" s="51" t="s">
        <v>146</v>
      </c>
      <c r="H276" s="50" t="str">
        <f>IF(CARGA_DIARIA!A276="","",C276-D276-E276)</f>
        <v/>
      </c>
    </row>
    <row r="277" spans="1:8" ht="15.75" customHeight="1" x14ac:dyDescent="0.25">
      <c r="A277" s="45" t="str">
        <f>IF(CARGA_DIARIA!A277="","",CARGA_DIARIA!A277)</f>
        <v/>
      </c>
      <c r="B277" s="46" t="str">
        <f>IF(CARGA_DIARIA!A277="","",CARGA_DIARIA!B277)</f>
        <v/>
      </c>
      <c r="C277" s="47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48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48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51" t="s">
        <v>146</v>
      </c>
      <c r="G277" s="51" t="s">
        <v>146</v>
      </c>
      <c r="H277" s="50" t="str">
        <f>IF(CARGA_DIARIA!A277="","",C277-D277-E277)</f>
        <v/>
      </c>
    </row>
    <row r="278" spans="1:8" ht="15.75" customHeight="1" x14ac:dyDescent="0.25">
      <c r="A278" s="45" t="str">
        <f>IF(CARGA_DIARIA!A278="","",CARGA_DIARIA!A278)</f>
        <v/>
      </c>
      <c r="B278" s="46" t="str">
        <f>IF(CARGA_DIARIA!A278="","",CARGA_DIARIA!B278)</f>
        <v/>
      </c>
      <c r="C278" s="47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48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48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51" t="s">
        <v>146</v>
      </c>
      <c r="G278" s="51" t="s">
        <v>146</v>
      </c>
      <c r="H278" s="50" t="str">
        <f>IF(CARGA_DIARIA!A278="","",C278-D278-E278)</f>
        <v/>
      </c>
    </row>
    <row r="279" spans="1:8" ht="15.75" customHeight="1" x14ac:dyDescent="0.25">
      <c r="A279" s="45" t="str">
        <f>IF(CARGA_DIARIA!A279="","",CARGA_DIARIA!A279)</f>
        <v/>
      </c>
      <c r="B279" s="46" t="str">
        <f>IF(CARGA_DIARIA!A279="","",CARGA_DIARIA!B279)</f>
        <v/>
      </c>
      <c r="C279" s="47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48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48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51" t="s">
        <v>146</v>
      </c>
      <c r="G279" s="51" t="s">
        <v>146</v>
      </c>
      <c r="H279" s="50" t="str">
        <f>IF(CARGA_DIARIA!A279="","",C279-D279-E279)</f>
        <v/>
      </c>
    </row>
    <row r="280" spans="1:8" ht="15.75" customHeight="1" x14ac:dyDescent="0.25">
      <c r="A280" s="45" t="str">
        <f>IF(CARGA_DIARIA!A280="","",CARGA_DIARIA!A280)</f>
        <v/>
      </c>
      <c r="B280" s="46" t="str">
        <f>IF(CARGA_DIARIA!A280="","",CARGA_DIARIA!B280)</f>
        <v/>
      </c>
      <c r="C280" s="47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48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48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51" t="s">
        <v>146</v>
      </c>
      <c r="G280" s="51" t="s">
        <v>146</v>
      </c>
      <c r="H280" s="50" t="str">
        <f>IF(CARGA_DIARIA!A280="","",C280-D280-E280)</f>
        <v/>
      </c>
    </row>
    <row r="281" spans="1:8" ht="15.75" customHeight="1" x14ac:dyDescent="0.25">
      <c r="A281" s="45" t="str">
        <f>IF(CARGA_DIARIA!A281="","",CARGA_DIARIA!A281)</f>
        <v/>
      </c>
      <c r="B281" s="46" t="str">
        <f>IF(CARGA_DIARIA!A281="","",CARGA_DIARIA!B281)</f>
        <v/>
      </c>
      <c r="C281" s="47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48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48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51" t="s">
        <v>146</v>
      </c>
      <c r="G281" s="51" t="s">
        <v>146</v>
      </c>
      <c r="H281" s="50" t="str">
        <f>IF(CARGA_DIARIA!A281="","",C281-D281-E281)</f>
        <v/>
      </c>
    </row>
    <row r="282" spans="1:8" ht="15.75" customHeight="1" x14ac:dyDescent="0.25">
      <c r="A282" s="45" t="str">
        <f>IF(CARGA_DIARIA!A282="","",CARGA_DIARIA!A282)</f>
        <v/>
      </c>
      <c r="B282" s="46" t="str">
        <f>IF(CARGA_DIARIA!A282="","",CARGA_DIARIA!B282)</f>
        <v/>
      </c>
      <c r="C282" s="47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48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48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51" t="s">
        <v>146</v>
      </c>
      <c r="G282" s="51" t="s">
        <v>146</v>
      </c>
      <c r="H282" s="50" t="str">
        <f>IF(CARGA_DIARIA!A282="","",C282-D282-E282)</f>
        <v/>
      </c>
    </row>
    <row r="283" spans="1:8" ht="15.75" customHeight="1" x14ac:dyDescent="0.25">
      <c r="A283" s="45" t="str">
        <f>IF(CARGA_DIARIA!A283="","",CARGA_DIARIA!A283)</f>
        <v/>
      </c>
      <c r="B283" s="46" t="str">
        <f>IF(CARGA_DIARIA!A283="","",CARGA_DIARIA!B283)</f>
        <v/>
      </c>
      <c r="C283" s="47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48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48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51" t="s">
        <v>146</v>
      </c>
      <c r="G283" s="51" t="s">
        <v>146</v>
      </c>
      <c r="H283" s="50" t="str">
        <f>IF(CARGA_DIARIA!A283="","",C283-D283-E283)</f>
        <v/>
      </c>
    </row>
    <row r="284" spans="1:8" ht="15.75" customHeight="1" x14ac:dyDescent="0.25">
      <c r="A284" s="45" t="str">
        <f>IF(CARGA_DIARIA!A284="","",CARGA_DIARIA!A284)</f>
        <v/>
      </c>
      <c r="B284" s="46" t="str">
        <f>IF(CARGA_DIARIA!A284="","",CARGA_DIARIA!B284)</f>
        <v/>
      </c>
      <c r="C284" s="47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48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48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51" t="s">
        <v>146</v>
      </c>
      <c r="G284" s="51" t="s">
        <v>146</v>
      </c>
      <c r="H284" s="50" t="str">
        <f>IF(CARGA_DIARIA!A284="","",C284-D284-E284)</f>
        <v/>
      </c>
    </row>
    <row r="285" spans="1:8" ht="15.75" customHeight="1" x14ac:dyDescent="0.25">
      <c r="A285" s="45" t="str">
        <f>IF(CARGA_DIARIA!A285="","",CARGA_DIARIA!A285)</f>
        <v/>
      </c>
      <c r="B285" s="46" t="str">
        <f>IF(CARGA_DIARIA!A285="","",CARGA_DIARIA!B285)</f>
        <v/>
      </c>
      <c r="C285" s="47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48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48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51" t="s">
        <v>146</v>
      </c>
      <c r="G285" s="51" t="s">
        <v>146</v>
      </c>
      <c r="H285" s="50" t="str">
        <f>IF(CARGA_DIARIA!A285="","",C285-D285-E285)</f>
        <v/>
      </c>
    </row>
    <row r="286" spans="1:8" ht="15.75" customHeight="1" x14ac:dyDescent="0.25">
      <c r="A286" s="45" t="str">
        <f>IF(CARGA_DIARIA!A286="","",CARGA_DIARIA!A286)</f>
        <v/>
      </c>
      <c r="B286" s="46" t="str">
        <f>IF(CARGA_DIARIA!A286="","",CARGA_DIARIA!B286)</f>
        <v/>
      </c>
      <c r="C286" s="47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48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48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51" t="s">
        <v>146</v>
      </c>
      <c r="G286" s="51" t="s">
        <v>146</v>
      </c>
      <c r="H286" s="50" t="str">
        <f>IF(CARGA_DIARIA!A286="","",C286-D286-E286)</f>
        <v/>
      </c>
    </row>
    <row r="287" spans="1:8" ht="15.75" customHeight="1" x14ac:dyDescent="0.25">
      <c r="A287" s="45" t="str">
        <f>IF(CARGA_DIARIA!A287="","",CARGA_DIARIA!A287)</f>
        <v/>
      </c>
      <c r="B287" s="46" t="str">
        <f>IF(CARGA_DIARIA!A287="","",CARGA_DIARIA!B287)</f>
        <v/>
      </c>
      <c r="C287" s="47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48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48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51" t="s">
        <v>146</v>
      </c>
      <c r="G287" s="51" t="s">
        <v>146</v>
      </c>
      <c r="H287" s="50" t="str">
        <f>IF(CARGA_DIARIA!A287="","",C287-D287-E287)</f>
        <v/>
      </c>
    </row>
    <row r="288" spans="1:8" ht="15.75" customHeight="1" x14ac:dyDescent="0.25">
      <c r="A288" s="45" t="str">
        <f>IF(CARGA_DIARIA!A288="","",CARGA_DIARIA!A288)</f>
        <v/>
      </c>
      <c r="B288" s="46" t="str">
        <f>IF(CARGA_DIARIA!A288="","",CARGA_DIARIA!B288)</f>
        <v/>
      </c>
      <c r="C288" s="47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48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48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51" t="s">
        <v>146</v>
      </c>
      <c r="G288" s="51" t="s">
        <v>146</v>
      </c>
      <c r="H288" s="50" t="str">
        <f>IF(CARGA_DIARIA!A288="","",C288-D288-E288)</f>
        <v/>
      </c>
    </row>
    <row r="289" spans="1:8" ht="15.75" customHeight="1" x14ac:dyDescent="0.25">
      <c r="A289" s="45" t="str">
        <f>IF(CARGA_DIARIA!A289="","",CARGA_DIARIA!A289)</f>
        <v/>
      </c>
      <c r="B289" s="46" t="str">
        <f>IF(CARGA_DIARIA!A289="","",CARGA_DIARIA!B289)</f>
        <v/>
      </c>
      <c r="C289" s="47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48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48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51" t="s">
        <v>146</v>
      </c>
      <c r="G289" s="51" t="s">
        <v>146</v>
      </c>
      <c r="H289" s="50" t="str">
        <f>IF(CARGA_DIARIA!A289="","",C289-D289-E289)</f>
        <v/>
      </c>
    </row>
    <row r="290" spans="1:8" ht="15.75" customHeight="1" x14ac:dyDescent="0.25">
      <c r="A290" s="45" t="str">
        <f>IF(CARGA_DIARIA!A290="","",CARGA_DIARIA!A290)</f>
        <v/>
      </c>
      <c r="B290" s="46" t="str">
        <f>IF(CARGA_DIARIA!A290="","",CARGA_DIARIA!B290)</f>
        <v/>
      </c>
      <c r="C290" s="47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48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48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51" t="s">
        <v>146</v>
      </c>
      <c r="G290" s="51" t="s">
        <v>146</v>
      </c>
      <c r="H290" s="50" t="str">
        <f>IF(CARGA_DIARIA!A290="","",C290-D290-E290)</f>
        <v/>
      </c>
    </row>
    <row r="291" spans="1:8" ht="15.75" customHeight="1" x14ac:dyDescent="0.25">
      <c r="A291" s="45" t="str">
        <f>IF(CARGA_DIARIA!A291="","",CARGA_DIARIA!A291)</f>
        <v/>
      </c>
      <c r="B291" s="46" t="str">
        <f>IF(CARGA_DIARIA!A291="","",CARGA_DIARIA!B291)</f>
        <v/>
      </c>
      <c r="C291" s="47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48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48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51" t="s">
        <v>146</v>
      </c>
      <c r="G291" s="51" t="s">
        <v>146</v>
      </c>
      <c r="H291" s="50" t="str">
        <f>IF(CARGA_DIARIA!A291="","",C291-D291-E291)</f>
        <v/>
      </c>
    </row>
    <row r="292" spans="1:8" ht="15.75" customHeight="1" x14ac:dyDescent="0.25">
      <c r="A292" s="45" t="str">
        <f>IF(CARGA_DIARIA!A292="","",CARGA_DIARIA!A292)</f>
        <v/>
      </c>
      <c r="B292" s="46" t="str">
        <f>IF(CARGA_DIARIA!A292="","",CARGA_DIARIA!B292)</f>
        <v/>
      </c>
      <c r="C292" s="47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48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48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51" t="s">
        <v>146</v>
      </c>
      <c r="G292" s="51" t="s">
        <v>146</v>
      </c>
      <c r="H292" s="50" t="str">
        <f>IF(CARGA_DIARIA!A292="","",C292-D292-E292)</f>
        <v/>
      </c>
    </row>
    <row r="293" spans="1:8" ht="15.75" customHeight="1" x14ac:dyDescent="0.25">
      <c r="A293" s="45" t="str">
        <f>IF(CARGA_DIARIA!A293="","",CARGA_DIARIA!A293)</f>
        <v/>
      </c>
      <c r="B293" s="46" t="str">
        <f>IF(CARGA_DIARIA!A293="","",CARGA_DIARIA!B293)</f>
        <v/>
      </c>
      <c r="C293" s="47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48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48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51" t="s">
        <v>146</v>
      </c>
      <c r="G293" s="51" t="s">
        <v>146</v>
      </c>
      <c r="H293" s="50" t="str">
        <f>IF(CARGA_DIARIA!A293="","",C293-D293-E293)</f>
        <v/>
      </c>
    </row>
    <row r="294" spans="1:8" ht="15.75" customHeight="1" x14ac:dyDescent="0.25">
      <c r="A294" s="45" t="str">
        <f>IF(CARGA_DIARIA!A294="","",CARGA_DIARIA!A294)</f>
        <v/>
      </c>
      <c r="B294" s="46" t="str">
        <f>IF(CARGA_DIARIA!A294="","",CARGA_DIARIA!B294)</f>
        <v/>
      </c>
      <c r="C294" s="47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48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48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51" t="s">
        <v>146</v>
      </c>
      <c r="G294" s="51" t="s">
        <v>146</v>
      </c>
      <c r="H294" s="50" t="str">
        <f>IF(CARGA_DIARIA!A294="","",C294-D294-E294)</f>
        <v/>
      </c>
    </row>
    <row r="295" spans="1:8" ht="15.75" customHeight="1" x14ac:dyDescent="0.25">
      <c r="A295" s="45" t="str">
        <f>IF(CARGA_DIARIA!A295="","",CARGA_DIARIA!A295)</f>
        <v/>
      </c>
      <c r="B295" s="46" t="str">
        <f>IF(CARGA_DIARIA!A295="","",CARGA_DIARIA!B295)</f>
        <v/>
      </c>
      <c r="C295" s="47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48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48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51" t="s">
        <v>146</v>
      </c>
      <c r="G295" s="51" t="s">
        <v>146</v>
      </c>
      <c r="H295" s="50" t="str">
        <f>IF(CARGA_DIARIA!A295="","",C295-D295-E295)</f>
        <v/>
      </c>
    </row>
    <row r="296" spans="1:8" ht="15.75" customHeight="1" x14ac:dyDescent="0.25">
      <c r="A296" s="45" t="str">
        <f>IF(CARGA_DIARIA!A296="","",CARGA_DIARIA!A296)</f>
        <v/>
      </c>
      <c r="B296" s="46" t="str">
        <f>IF(CARGA_DIARIA!A296="","",CARGA_DIARIA!B296)</f>
        <v/>
      </c>
      <c r="C296" s="47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48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48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51" t="s">
        <v>146</v>
      </c>
      <c r="G296" s="51" t="s">
        <v>146</v>
      </c>
      <c r="H296" s="50" t="str">
        <f>IF(CARGA_DIARIA!A296="","",C296-D296-E296)</f>
        <v/>
      </c>
    </row>
    <row r="297" spans="1:8" ht="15.75" customHeight="1" x14ac:dyDescent="0.25">
      <c r="A297" s="45" t="str">
        <f>IF(CARGA_DIARIA!A297="","",CARGA_DIARIA!A297)</f>
        <v/>
      </c>
      <c r="B297" s="46" t="str">
        <f>IF(CARGA_DIARIA!A297="","",CARGA_DIARIA!B297)</f>
        <v/>
      </c>
      <c r="C297" s="47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48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48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51" t="s">
        <v>146</v>
      </c>
      <c r="G297" s="51" t="s">
        <v>146</v>
      </c>
      <c r="H297" s="50" t="str">
        <f>IF(CARGA_DIARIA!A297="","",C297-D297-E297)</f>
        <v/>
      </c>
    </row>
    <row r="298" spans="1:8" ht="15.75" customHeight="1" x14ac:dyDescent="0.25">
      <c r="A298" s="45" t="str">
        <f>IF(CARGA_DIARIA!A298="","",CARGA_DIARIA!A298)</f>
        <v/>
      </c>
      <c r="B298" s="46" t="str">
        <f>IF(CARGA_DIARIA!A298="","",CARGA_DIARIA!B298)</f>
        <v/>
      </c>
      <c r="C298" s="47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48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48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51" t="s">
        <v>146</v>
      </c>
      <c r="G298" s="51" t="s">
        <v>146</v>
      </c>
      <c r="H298" s="50" t="str">
        <f>IF(CARGA_DIARIA!A298="","",C298-D298-E298)</f>
        <v/>
      </c>
    </row>
    <row r="299" spans="1:8" ht="15.75" customHeight="1" x14ac:dyDescent="0.25">
      <c r="A299" s="45" t="str">
        <f>IF(CARGA_DIARIA!A299="","",CARGA_DIARIA!A299)</f>
        <v/>
      </c>
      <c r="B299" s="46" t="str">
        <f>IF(CARGA_DIARIA!A299="","",CARGA_DIARIA!B299)</f>
        <v/>
      </c>
      <c r="C299" s="47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48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48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51" t="s">
        <v>146</v>
      </c>
      <c r="G299" s="51" t="s">
        <v>146</v>
      </c>
      <c r="H299" s="50" t="str">
        <f>IF(CARGA_DIARIA!A299="","",C299-D299-E299)</f>
        <v/>
      </c>
    </row>
    <row r="300" spans="1:8" ht="15.75" customHeight="1" x14ac:dyDescent="0.25">
      <c r="A300" s="45" t="str">
        <f>IF(CARGA_DIARIA!A300="","",CARGA_DIARIA!A300)</f>
        <v/>
      </c>
      <c r="B300" s="46" t="str">
        <f>IF(CARGA_DIARIA!A300="","",CARGA_DIARIA!B300)</f>
        <v/>
      </c>
      <c r="C300" s="47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48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48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51" t="s">
        <v>146</v>
      </c>
      <c r="G300" s="51" t="s">
        <v>146</v>
      </c>
      <c r="H300" s="50" t="str">
        <f>IF(CARGA_DIARIA!A300="","",C300-D300-E300)</f>
        <v/>
      </c>
    </row>
    <row r="301" spans="1:8" ht="15.75" customHeight="1" x14ac:dyDescent="0.25">
      <c r="A301" s="45" t="str">
        <f>IF(CARGA_DIARIA!A301="","",CARGA_DIARIA!A301)</f>
        <v/>
      </c>
      <c r="B301" s="46" t="str">
        <f>IF(CARGA_DIARIA!A301="","",CARGA_DIARIA!B301)</f>
        <v/>
      </c>
      <c r="C301" s="47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48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48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51" t="s">
        <v>146</v>
      </c>
      <c r="G301" s="51" t="s">
        <v>146</v>
      </c>
      <c r="H301" s="50" t="str">
        <f>IF(CARGA_DIARIA!A301="","",C301-D301-E301)</f>
        <v/>
      </c>
    </row>
    <row r="302" spans="1:8" ht="15.75" customHeight="1" x14ac:dyDescent="0.25">
      <c r="A302" s="45" t="str">
        <f>IF(CARGA_DIARIA!A302="","",CARGA_DIARIA!A302)</f>
        <v/>
      </c>
      <c r="B302" s="46" t="str">
        <f>IF(CARGA_DIARIA!A302="","",CARGA_DIARIA!B302)</f>
        <v/>
      </c>
      <c r="C302" s="47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48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48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51" t="s">
        <v>146</v>
      </c>
      <c r="G302" s="51" t="s">
        <v>146</v>
      </c>
      <c r="H302" s="50" t="str">
        <f>IF(CARGA_DIARIA!A302="","",C302-D302-E302)</f>
        <v/>
      </c>
    </row>
    <row r="303" spans="1:8" ht="15.75" customHeight="1" x14ac:dyDescent="0.25">
      <c r="A303" s="45" t="str">
        <f>IF(CARGA_DIARIA!A303="","",CARGA_DIARIA!A303)</f>
        <v/>
      </c>
      <c r="B303" s="46" t="str">
        <f>IF(CARGA_DIARIA!A303="","",CARGA_DIARIA!B303)</f>
        <v/>
      </c>
      <c r="C303" s="47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48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48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51" t="s">
        <v>146</v>
      </c>
      <c r="G303" s="51" t="s">
        <v>146</v>
      </c>
      <c r="H303" s="50" t="str">
        <f>IF(CARGA_DIARIA!A303="","",C303-D303-E303)</f>
        <v/>
      </c>
    </row>
    <row r="304" spans="1:8" ht="15.75" customHeight="1" x14ac:dyDescent="0.25">
      <c r="A304" s="45" t="str">
        <f>IF(CARGA_DIARIA!A304="","",CARGA_DIARIA!A304)</f>
        <v/>
      </c>
      <c r="B304" s="46" t="str">
        <f>IF(CARGA_DIARIA!A304="","",CARGA_DIARIA!B304)</f>
        <v/>
      </c>
      <c r="C304" s="47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48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48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51" t="s">
        <v>146</v>
      </c>
      <c r="G304" s="51" t="s">
        <v>146</v>
      </c>
      <c r="H304" s="50" t="str">
        <f>IF(CARGA_DIARIA!A304="","",C304-D304-E304)</f>
        <v/>
      </c>
    </row>
    <row r="305" spans="1:8" ht="15.75" customHeight="1" x14ac:dyDescent="0.25">
      <c r="A305" s="45" t="str">
        <f>IF(CARGA_DIARIA!A305="","",CARGA_DIARIA!A305)</f>
        <v/>
      </c>
      <c r="B305" s="46" t="str">
        <f>IF(CARGA_DIARIA!A305="","",CARGA_DIARIA!B305)</f>
        <v/>
      </c>
      <c r="C305" s="47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48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48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51" t="s">
        <v>146</v>
      </c>
      <c r="G305" s="51" t="s">
        <v>146</v>
      </c>
      <c r="H305" s="50" t="str">
        <f>IF(CARGA_DIARIA!A305="","",C305-D305-E305)</f>
        <v/>
      </c>
    </row>
    <row r="306" spans="1:8" ht="15.75" customHeight="1" x14ac:dyDescent="0.25">
      <c r="A306" s="45" t="str">
        <f>IF(CARGA_DIARIA!A306="","",CARGA_DIARIA!A306)</f>
        <v/>
      </c>
      <c r="B306" s="46" t="str">
        <f>IF(CARGA_DIARIA!A306="","",CARGA_DIARIA!B306)</f>
        <v/>
      </c>
      <c r="C306" s="47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48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48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51" t="s">
        <v>146</v>
      </c>
      <c r="G306" s="51" t="s">
        <v>146</v>
      </c>
      <c r="H306" s="50" t="str">
        <f>IF(CARGA_DIARIA!A306="","",C306-D306-E306)</f>
        <v/>
      </c>
    </row>
    <row r="307" spans="1:8" ht="15.75" customHeight="1" x14ac:dyDescent="0.25">
      <c r="A307" s="45" t="str">
        <f>IF(CARGA_DIARIA!A307="","",CARGA_DIARIA!A307)</f>
        <v/>
      </c>
      <c r="B307" s="46" t="str">
        <f>IF(CARGA_DIARIA!A307="","",CARGA_DIARIA!B307)</f>
        <v/>
      </c>
      <c r="C307" s="47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48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48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51" t="s">
        <v>146</v>
      </c>
      <c r="G307" s="51" t="s">
        <v>146</v>
      </c>
      <c r="H307" s="50" t="str">
        <f>IF(CARGA_DIARIA!A307="","",C307-D307-E307)</f>
        <v/>
      </c>
    </row>
    <row r="308" spans="1:8" ht="15.75" customHeight="1" x14ac:dyDescent="0.25">
      <c r="A308" s="45" t="str">
        <f>IF(CARGA_DIARIA!A308="","",CARGA_DIARIA!A308)</f>
        <v/>
      </c>
      <c r="B308" s="46" t="str">
        <f>IF(CARGA_DIARIA!A308="","",CARGA_DIARIA!B308)</f>
        <v/>
      </c>
      <c r="C308" s="47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48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48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51" t="s">
        <v>146</v>
      </c>
      <c r="G308" s="51" t="s">
        <v>146</v>
      </c>
      <c r="H308" s="50" t="str">
        <f>IF(CARGA_DIARIA!A308="","",C308-D308-E308)</f>
        <v/>
      </c>
    </row>
    <row r="309" spans="1:8" ht="15.75" customHeight="1" x14ac:dyDescent="0.25">
      <c r="A309" s="45" t="str">
        <f>IF(CARGA_DIARIA!A309="","",CARGA_DIARIA!A309)</f>
        <v/>
      </c>
      <c r="B309" s="46" t="str">
        <f>IF(CARGA_DIARIA!A309="","",CARGA_DIARIA!B309)</f>
        <v/>
      </c>
      <c r="C309" s="47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48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48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51" t="s">
        <v>146</v>
      </c>
      <c r="G309" s="51" t="s">
        <v>146</v>
      </c>
      <c r="H309" s="50" t="str">
        <f>IF(CARGA_DIARIA!A309="","",C309-D309-E309)</f>
        <v/>
      </c>
    </row>
    <row r="310" spans="1:8" ht="15.75" customHeight="1" x14ac:dyDescent="0.25">
      <c r="A310" s="45" t="str">
        <f>IF(CARGA_DIARIA!A310="","",CARGA_DIARIA!A310)</f>
        <v/>
      </c>
      <c r="B310" s="46" t="str">
        <f>IF(CARGA_DIARIA!A310="","",CARGA_DIARIA!B310)</f>
        <v/>
      </c>
      <c r="C310" s="47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48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48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51" t="s">
        <v>146</v>
      </c>
      <c r="G310" s="51" t="s">
        <v>146</v>
      </c>
      <c r="H310" s="50" t="str">
        <f>IF(CARGA_DIARIA!A310="","",C310-D310-E310)</f>
        <v/>
      </c>
    </row>
    <row r="311" spans="1:8" ht="15.75" customHeight="1" x14ac:dyDescent="0.25">
      <c r="A311" s="45" t="str">
        <f>IF(CARGA_DIARIA!A311="","",CARGA_DIARIA!A311)</f>
        <v/>
      </c>
      <c r="B311" s="46" t="str">
        <f>IF(CARGA_DIARIA!A311="","",CARGA_DIARIA!B311)</f>
        <v/>
      </c>
      <c r="C311" s="47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48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48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51" t="s">
        <v>146</v>
      </c>
      <c r="G311" s="51" t="s">
        <v>146</v>
      </c>
      <c r="H311" s="50" t="str">
        <f>IF(CARGA_DIARIA!A311="","",C311-D311-E311)</f>
        <v/>
      </c>
    </row>
    <row r="312" spans="1:8" ht="15.75" customHeight="1" x14ac:dyDescent="0.25">
      <c r="A312" s="45" t="str">
        <f>IF(CARGA_DIARIA!A312="","",CARGA_DIARIA!A312)</f>
        <v/>
      </c>
      <c r="B312" s="46" t="str">
        <f>IF(CARGA_DIARIA!A312="","",CARGA_DIARIA!B312)</f>
        <v/>
      </c>
      <c r="C312" s="47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48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48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51" t="s">
        <v>146</v>
      </c>
      <c r="G312" s="51" t="s">
        <v>146</v>
      </c>
      <c r="H312" s="50" t="str">
        <f>IF(CARGA_DIARIA!A312="","",C312-D312-E312)</f>
        <v/>
      </c>
    </row>
    <row r="313" spans="1:8" ht="15.75" customHeight="1" x14ac:dyDescent="0.25">
      <c r="A313" s="45" t="str">
        <f>IF(CARGA_DIARIA!A313="","",CARGA_DIARIA!A313)</f>
        <v/>
      </c>
      <c r="B313" s="46" t="str">
        <f>IF(CARGA_DIARIA!A313="","",CARGA_DIARIA!B313)</f>
        <v/>
      </c>
      <c r="C313" s="47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48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48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51" t="s">
        <v>146</v>
      </c>
      <c r="G313" s="51" t="s">
        <v>146</v>
      </c>
      <c r="H313" s="50" t="str">
        <f>IF(CARGA_DIARIA!A313="","",C313-D313-E313)</f>
        <v/>
      </c>
    </row>
    <row r="314" spans="1:8" ht="15.75" customHeight="1" x14ac:dyDescent="0.25">
      <c r="A314" s="45" t="str">
        <f>IF(CARGA_DIARIA!A314="","",CARGA_DIARIA!A314)</f>
        <v/>
      </c>
      <c r="B314" s="46" t="str">
        <f>IF(CARGA_DIARIA!A314="","",CARGA_DIARIA!B314)</f>
        <v/>
      </c>
      <c r="C314" s="47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48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48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51" t="s">
        <v>146</v>
      </c>
      <c r="G314" s="51" t="s">
        <v>146</v>
      </c>
      <c r="H314" s="50" t="str">
        <f>IF(CARGA_DIARIA!A314="","",C314-D314-E314)</f>
        <v/>
      </c>
    </row>
    <row r="315" spans="1:8" ht="15.75" customHeight="1" x14ac:dyDescent="0.25">
      <c r="A315" s="45" t="str">
        <f>IF(CARGA_DIARIA!A315="","",CARGA_DIARIA!A315)</f>
        <v/>
      </c>
      <c r="B315" s="46" t="str">
        <f>IF(CARGA_DIARIA!A315="","",CARGA_DIARIA!B315)</f>
        <v/>
      </c>
      <c r="C315" s="47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48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48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51" t="s">
        <v>146</v>
      </c>
      <c r="G315" s="51" t="s">
        <v>146</v>
      </c>
      <c r="H315" s="50" t="str">
        <f>IF(CARGA_DIARIA!A315="","",C315-D315-E315)</f>
        <v/>
      </c>
    </row>
    <row r="316" spans="1:8" ht="15.75" customHeight="1" x14ac:dyDescent="0.25">
      <c r="A316" s="45" t="str">
        <f>IF(CARGA_DIARIA!A316="","",CARGA_DIARIA!A316)</f>
        <v/>
      </c>
      <c r="B316" s="46" t="str">
        <f>IF(CARGA_DIARIA!A316="","",CARGA_DIARIA!B316)</f>
        <v/>
      </c>
      <c r="C316" s="47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48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48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51" t="s">
        <v>146</v>
      </c>
      <c r="G316" s="51" t="s">
        <v>146</v>
      </c>
      <c r="H316" s="50" t="str">
        <f>IF(CARGA_DIARIA!A316="","",C316-D316-E316)</f>
        <v/>
      </c>
    </row>
    <row r="317" spans="1:8" ht="15.75" customHeight="1" x14ac:dyDescent="0.25">
      <c r="A317" s="45" t="str">
        <f>IF(CARGA_DIARIA!A317="","",CARGA_DIARIA!A317)</f>
        <v/>
      </c>
      <c r="B317" s="46" t="str">
        <f>IF(CARGA_DIARIA!A317="","",CARGA_DIARIA!B317)</f>
        <v/>
      </c>
      <c r="C317" s="47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48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48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51" t="s">
        <v>146</v>
      </c>
      <c r="G317" s="51" t="s">
        <v>146</v>
      </c>
      <c r="H317" s="50" t="str">
        <f>IF(CARGA_DIARIA!A317="","",C317-D317-E317)</f>
        <v/>
      </c>
    </row>
    <row r="318" spans="1:8" ht="15.75" customHeight="1" x14ac:dyDescent="0.25">
      <c r="A318" s="45" t="str">
        <f>IF(CARGA_DIARIA!A318="","",CARGA_DIARIA!A318)</f>
        <v/>
      </c>
      <c r="B318" s="46" t="str">
        <f>IF(CARGA_DIARIA!A318="","",CARGA_DIARIA!B318)</f>
        <v/>
      </c>
      <c r="C318" s="47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48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48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51" t="s">
        <v>146</v>
      </c>
      <c r="G318" s="51" t="s">
        <v>146</v>
      </c>
      <c r="H318" s="50" t="str">
        <f>IF(CARGA_DIARIA!A318="","",C318-D318-E318)</f>
        <v/>
      </c>
    </row>
    <row r="319" spans="1:8" ht="15.75" customHeight="1" x14ac:dyDescent="0.25">
      <c r="A319" s="45" t="str">
        <f>IF(CARGA_DIARIA!A319="","",CARGA_DIARIA!A319)</f>
        <v/>
      </c>
      <c r="B319" s="46" t="str">
        <f>IF(CARGA_DIARIA!A319="","",CARGA_DIARIA!B319)</f>
        <v/>
      </c>
      <c r="C319" s="47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48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48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51" t="s">
        <v>146</v>
      </c>
      <c r="G319" s="51" t="s">
        <v>146</v>
      </c>
      <c r="H319" s="50" t="str">
        <f>IF(CARGA_DIARIA!A319="","",C319-D319-E319)</f>
        <v/>
      </c>
    </row>
    <row r="320" spans="1:8" ht="15.75" customHeight="1" x14ac:dyDescent="0.25">
      <c r="A320" s="45" t="str">
        <f>IF(CARGA_DIARIA!A320="","",CARGA_DIARIA!A320)</f>
        <v/>
      </c>
      <c r="B320" s="46" t="str">
        <f>IF(CARGA_DIARIA!A320="","",CARGA_DIARIA!B320)</f>
        <v/>
      </c>
      <c r="C320" s="47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48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48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51" t="s">
        <v>146</v>
      </c>
      <c r="G320" s="51" t="s">
        <v>146</v>
      </c>
      <c r="H320" s="50" t="str">
        <f>IF(CARGA_DIARIA!A320="","",C320-D320-E320)</f>
        <v/>
      </c>
    </row>
    <row r="321" spans="1:8" ht="15.75" customHeight="1" x14ac:dyDescent="0.25">
      <c r="A321" s="45" t="str">
        <f>IF(CARGA_DIARIA!A321="","",CARGA_DIARIA!A321)</f>
        <v/>
      </c>
      <c r="B321" s="46" t="str">
        <f>IF(CARGA_DIARIA!A321="","",CARGA_DIARIA!B321)</f>
        <v/>
      </c>
      <c r="C321" s="47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48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48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51" t="s">
        <v>146</v>
      </c>
      <c r="G321" s="51" t="s">
        <v>146</v>
      </c>
      <c r="H321" s="50" t="str">
        <f>IF(CARGA_DIARIA!A321="","",C321-D321-E321)</f>
        <v/>
      </c>
    </row>
    <row r="322" spans="1:8" ht="15.75" customHeight="1" x14ac:dyDescent="0.25">
      <c r="A322" s="45" t="str">
        <f>IF(CARGA_DIARIA!A322="","",CARGA_DIARIA!A322)</f>
        <v/>
      </c>
      <c r="B322" s="46" t="str">
        <f>IF(CARGA_DIARIA!A322="","",CARGA_DIARIA!B322)</f>
        <v/>
      </c>
      <c r="C322" s="47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48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48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51" t="s">
        <v>146</v>
      </c>
      <c r="G322" s="51" t="s">
        <v>146</v>
      </c>
      <c r="H322" s="50" t="str">
        <f>IF(CARGA_DIARIA!A322="","",C322-D322-E322)</f>
        <v/>
      </c>
    </row>
    <row r="323" spans="1:8" ht="15.75" customHeight="1" x14ac:dyDescent="0.25">
      <c r="A323" s="45" t="str">
        <f>IF(CARGA_DIARIA!A323="","",CARGA_DIARIA!A323)</f>
        <v/>
      </c>
      <c r="B323" s="46" t="str">
        <f>IF(CARGA_DIARIA!A323="","",CARGA_DIARIA!B323)</f>
        <v/>
      </c>
      <c r="C323" s="47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48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48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51" t="s">
        <v>146</v>
      </c>
      <c r="G323" s="51" t="s">
        <v>146</v>
      </c>
      <c r="H323" s="50" t="str">
        <f>IF(CARGA_DIARIA!A323="","",C323-D323-E323)</f>
        <v/>
      </c>
    </row>
    <row r="324" spans="1:8" ht="15.75" customHeight="1" x14ac:dyDescent="0.25">
      <c r="A324" s="45" t="str">
        <f>IF(CARGA_DIARIA!A324="","",CARGA_DIARIA!A324)</f>
        <v/>
      </c>
      <c r="B324" s="46" t="str">
        <f>IF(CARGA_DIARIA!A324="","",CARGA_DIARIA!B324)</f>
        <v/>
      </c>
      <c r="C324" s="47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48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48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51" t="s">
        <v>146</v>
      </c>
      <c r="G324" s="51" t="s">
        <v>146</v>
      </c>
      <c r="H324" s="50" t="str">
        <f>IF(CARGA_DIARIA!A324="","",C324-D324-E324)</f>
        <v/>
      </c>
    </row>
    <row r="325" spans="1:8" ht="15.75" customHeight="1" x14ac:dyDescent="0.25">
      <c r="A325" s="45" t="str">
        <f>IF(CARGA_DIARIA!A325="","",CARGA_DIARIA!A325)</f>
        <v/>
      </c>
      <c r="B325" s="46" t="str">
        <f>IF(CARGA_DIARIA!A325="","",CARGA_DIARIA!B325)</f>
        <v/>
      </c>
      <c r="C325" s="47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48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48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51" t="s">
        <v>146</v>
      </c>
      <c r="G325" s="51" t="s">
        <v>146</v>
      </c>
      <c r="H325" s="50" t="str">
        <f>IF(CARGA_DIARIA!A325="","",C325-D325-E325)</f>
        <v/>
      </c>
    </row>
    <row r="326" spans="1:8" ht="15.75" customHeight="1" x14ac:dyDescent="0.25">
      <c r="A326" s="45" t="str">
        <f>IF(CARGA_DIARIA!A326="","",CARGA_DIARIA!A326)</f>
        <v/>
      </c>
      <c r="B326" s="46" t="str">
        <f>IF(CARGA_DIARIA!A326="","",CARGA_DIARIA!B326)</f>
        <v/>
      </c>
      <c r="C326" s="47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48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48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51" t="s">
        <v>146</v>
      </c>
      <c r="G326" s="51" t="s">
        <v>146</v>
      </c>
      <c r="H326" s="50" t="str">
        <f>IF(CARGA_DIARIA!A326="","",C326-D326-E326)</f>
        <v/>
      </c>
    </row>
    <row r="327" spans="1:8" ht="15.75" customHeight="1" x14ac:dyDescent="0.25">
      <c r="A327" s="45" t="str">
        <f>IF(CARGA_DIARIA!A327="","",CARGA_DIARIA!A327)</f>
        <v/>
      </c>
      <c r="B327" s="46" t="str">
        <f>IF(CARGA_DIARIA!A327="","",CARGA_DIARIA!B327)</f>
        <v/>
      </c>
      <c r="C327" s="47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48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48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51" t="s">
        <v>146</v>
      </c>
      <c r="G327" s="51" t="s">
        <v>146</v>
      </c>
      <c r="H327" s="50" t="str">
        <f>IF(CARGA_DIARIA!A327="","",C327-D327-E327)</f>
        <v/>
      </c>
    </row>
    <row r="328" spans="1:8" ht="15.75" customHeight="1" x14ac:dyDescent="0.25">
      <c r="A328" s="45" t="str">
        <f>IF(CARGA_DIARIA!A328="","",CARGA_DIARIA!A328)</f>
        <v/>
      </c>
      <c r="B328" s="46" t="str">
        <f>IF(CARGA_DIARIA!A328="","",CARGA_DIARIA!B328)</f>
        <v/>
      </c>
      <c r="C328" s="47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48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48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51" t="s">
        <v>146</v>
      </c>
      <c r="G328" s="51" t="s">
        <v>146</v>
      </c>
      <c r="H328" s="50" t="str">
        <f>IF(CARGA_DIARIA!A328="","",C328-D328-E328)</f>
        <v/>
      </c>
    </row>
    <row r="329" spans="1:8" ht="15.75" customHeight="1" x14ac:dyDescent="0.25">
      <c r="A329" s="45" t="str">
        <f>IF(CARGA_DIARIA!A329="","",CARGA_DIARIA!A329)</f>
        <v/>
      </c>
      <c r="B329" s="46" t="str">
        <f>IF(CARGA_DIARIA!A329="","",CARGA_DIARIA!B329)</f>
        <v/>
      </c>
      <c r="C329" s="47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48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48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51" t="s">
        <v>146</v>
      </c>
      <c r="G329" s="51" t="s">
        <v>146</v>
      </c>
      <c r="H329" s="50" t="str">
        <f>IF(CARGA_DIARIA!A329="","",C329-D329-E329)</f>
        <v/>
      </c>
    </row>
    <row r="330" spans="1:8" ht="15.75" customHeight="1" x14ac:dyDescent="0.25">
      <c r="A330" s="45" t="str">
        <f>IF(CARGA_DIARIA!A330="","",CARGA_DIARIA!A330)</f>
        <v/>
      </c>
      <c r="B330" s="46" t="str">
        <f>IF(CARGA_DIARIA!A330="","",CARGA_DIARIA!B330)</f>
        <v/>
      </c>
      <c r="C330" s="47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48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48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51" t="s">
        <v>146</v>
      </c>
      <c r="G330" s="51" t="s">
        <v>146</v>
      </c>
      <c r="H330" s="50" t="str">
        <f>IF(CARGA_DIARIA!A330="","",C330-D330-E330)</f>
        <v/>
      </c>
    </row>
    <row r="331" spans="1:8" ht="15.75" customHeight="1" x14ac:dyDescent="0.25">
      <c r="A331" s="45" t="str">
        <f>IF(CARGA_DIARIA!A331="","",CARGA_DIARIA!A331)</f>
        <v/>
      </c>
      <c r="B331" s="46" t="str">
        <f>IF(CARGA_DIARIA!A331="","",CARGA_DIARIA!B331)</f>
        <v/>
      </c>
      <c r="C331" s="47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48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48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51" t="s">
        <v>146</v>
      </c>
      <c r="G331" s="51" t="s">
        <v>146</v>
      </c>
      <c r="H331" s="50" t="str">
        <f>IF(CARGA_DIARIA!A331="","",C331-D331-E331)</f>
        <v/>
      </c>
    </row>
    <row r="332" spans="1:8" ht="15.75" customHeight="1" x14ac:dyDescent="0.25">
      <c r="A332" s="45" t="str">
        <f>IF(CARGA_DIARIA!A332="","",CARGA_DIARIA!A332)</f>
        <v/>
      </c>
      <c r="B332" s="46" t="str">
        <f>IF(CARGA_DIARIA!A332="","",CARGA_DIARIA!B332)</f>
        <v/>
      </c>
      <c r="C332" s="47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48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48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51" t="s">
        <v>146</v>
      </c>
      <c r="G332" s="51" t="s">
        <v>146</v>
      </c>
      <c r="H332" s="50" t="str">
        <f>IF(CARGA_DIARIA!A332="","",C332-D332-E332)</f>
        <v/>
      </c>
    </row>
    <row r="333" spans="1:8" ht="15.75" customHeight="1" x14ac:dyDescent="0.25">
      <c r="A333" s="45" t="str">
        <f>IF(CARGA_DIARIA!A333="","",CARGA_DIARIA!A333)</f>
        <v/>
      </c>
      <c r="B333" s="46" t="str">
        <f>IF(CARGA_DIARIA!A333="","",CARGA_DIARIA!B333)</f>
        <v/>
      </c>
      <c r="C333" s="47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48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48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51" t="s">
        <v>146</v>
      </c>
      <c r="G333" s="51" t="s">
        <v>146</v>
      </c>
      <c r="H333" s="50" t="str">
        <f>IF(CARGA_DIARIA!A333="","",C333-D333-E333)</f>
        <v/>
      </c>
    </row>
    <row r="334" spans="1:8" ht="15.75" customHeight="1" x14ac:dyDescent="0.25">
      <c r="A334" s="45" t="str">
        <f>IF(CARGA_DIARIA!A334="","",CARGA_DIARIA!A334)</f>
        <v/>
      </c>
      <c r="B334" s="46" t="str">
        <f>IF(CARGA_DIARIA!A334="","",CARGA_DIARIA!B334)</f>
        <v/>
      </c>
      <c r="C334" s="47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48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48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51" t="s">
        <v>146</v>
      </c>
      <c r="G334" s="51" t="s">
        <v>146</v>
      </c>
      <c r="H334" s="50" t="str">
        <f>IF(CARGA_DIARIA!A334="","",C334-D334-E334)</f>
        <v/>
      </c>
    </row>
    <row r="335" spans="1:8" ht="15.75" customHeight="1" x14ac:dyDescent="0.25">
      <c r="A335" s="45" t="str">
        <f>IF(CARGA_DIARIA!A335="","",CARGA_DIARIA!A335)</f>
        <v/>
      </c>
      <c r="B335" s="46" t="str">
        <f>IF(CARGA_DIARIA!A335="","",CARGA_DIARIA!B335)</f>
        <v/>
      </c>
      <c r="C335" s="47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48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48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51" t="s">
        <v>146</v>
      </c>
      <c r="G335" s="51" t="s">
        <v>146</v>
      </c>
      <c r="H335" s="50" t="str">
        <f>IF(CARGA_DIARIA!A335="","",C335-D335-E335)</f>
        <v/>
      </c>
    </row>
    <row r="336" spans="1:8" ht="15.75" customHeight="1" x14ac:dyDescent="0.25">
      <c r="A336" s="45" t="str">
        <f>IF(CARGA_DIARIA!A336="","",CARGA_DIARIA!A336)</f>
        <v/>
      </c>
      <c r="B336" s="46" t="str">
        <f>IF(CARGA_DIARIA!A336="","",CARGA_DIARIA!B336)</f>
        <v/>
      </c>
      <c r="C336" s="47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48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48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51" t="s">
        <v>146</v>
      </c>
      <c r="G336" s="51" t="s">
        <v>146</v>
      </c>
      <c r="H336" s="50" t="str">
        <f>IF(CARGA_DIARIA!A336="","",C336-D336-E336)</f>
        <v/>
      </c>
    </row>
    <row r="337" spans="1:8" ht="15.75" customHeight="1" x14ac:dyDescent="0.25">
      <c r="A337" s="45" t="str">
        <f>IF(CARGA_DIARIA!A337="","",CARGA_DIARIA!A337)</f>
        <v/>
      </c>
      <c r="B337" s="46" t="str">
        <f>IF(CARGA_DIARIA!A337="","",CARGA_DIARIA!B337)</f>
        <v/>
      </c>
      <c r="C337" s="47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48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48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51" t="s">
        <v>146</v>
      </c>
      <c r="G337" s="51" t="s">
        <v>146</v>
      </c>
      <c r="H337" s="50" t="str">
        <f>IF(CARGA_DIARIA!A337="","",C337-D337-E337)</f>
        <v/>
      </c>
    </row>
    <row r="338" spans="1:8" ht="15.75" customHeight="1" x14ac:dyDescent="0.25">
      <c r="A338" s="45" t="str">
        <f>IF(CARGA_DIARIA!A338="","",CARGA_DIARIA!A338)</f>
        <v/>
      </c>
      <c r="B338" s="46" t="str">
        <f>IF(CARGA_DIARIA!A338="","",CARGA_DIARIA!B338)</f>
        <v/>
      </c>
      <c r="C338" s="47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48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48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51" t="s">
        <v>146</v>
      </c>
      <c r="G338" s="51" t="s">
        <v>146</v>
      </c>
      <c r="H338" s="50" t="str">
        <f>IF(CARGA_DIARIA!A338="","",C338-D338-E338)</f>
        <v/>
      </c>
    </row>
    <row r="339" spans="1:8" ht="15.75" customHeight="1" x14ac:dyDescent="0.25">
      <c r="A339" s="45" t="str">
        <f>IF(CARGA_DIARIA!A339="","",CARGA_DIARIA!A339)</f>
        <v/>
      </c>
      <c r="B339" s="46" t="str">
        <f>IF(CARGA_DIARIA!A339="","",CARGA_DIARIA!B339)</f>
        <v/>
      </c>
      <c r="C339" s="47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48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48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51" t="s">
        <v>146</v>
      </c>
      <c r="G339" s="51" t="s">
        <v>146</v>
      </c>
      <c r="H339" s="50" t="str">
        <f>IF(CARGA_DIARIA!A339="","",C339-D339-E339)</f>
        <v/>
      </c>
    </row>
    <row r="340" spans="1:8" ht="15.75" customHeight="1" x14ac:dyDescent="0.25">
      <c r="A340" s="45" t="str">
        <f>IF(CARGA_DIARIA!A340="","",CARGA_DIARIA!A340)</f>
        <v/>
      </c>
      <c r="B340" s="46" t="str">
        <f>IF(CARGA_DIARIA!A340="","",CARGA_DIARIA!B340)</f>
        <v/>
      </c>
      <c r="C340" s="47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48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48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51" t="s">
        <v>146</v>
      </c>
      <c r="G340" s="51" t="s">
        <v>146</v>
      </c>
      <c r="H340" s="50" t="str">
        <f>IF(CARGA_DIARIA!A340="","",C340-D340-E340)</f>
        <v/>
      </c>
    </row>
    <row r="341" spans="1:8" ht="15.75" customHeight="1" x14ac:dyDescent="0.25">
      <c r="A341" s="45" t="str">
        <f>IF(CARGA_DIARIA!A341="","",CARGA_DIARIA!A341)</f>
        <v/>
      </c>
      <c r="B341" s="46" t="str">
        <f>IF(CARGA_DIARIA!A341="","",CARGA_DIARIA!B341)</f>
        <v/>
      </c>
      <c r="C341" s="47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48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48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51" t="s">
        <v>146</v>
      </c>
      <c r="G341" s="51" t="s">
        <v>146</v>
      </c>
      <c r="H341" s="50" t="str">
        <f>IF(CARGA_DIARIA!A341="","",C341-D341-E341)</f>
        <v/>
      </c>
    </row>
    <row r="342" spans="1:8" ht="15.75" customHeight="1" x14ac:dyDescent="0.25">
      <c r="A342" s="45" t="str">
        <f>IF(CARGA_DIARIA!A342="","",CARGA_DIARIA!A342)</f>
        <v/>
      </c>
      <c r="B342" s="46" t="str">
        <f>IF(CARGA_DIARIA!A342="","",CARGA_DIARIA!B342)</f>
        <v/>
      </c>
      <c r="C342" s="47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48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48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51" t="s">
        <v>146</v>
      </c>
      <c r="G342" s="51" t="s">
        <v>146</v>
      </c>
      <c r="H342" s="50" t="str">
        <f>IF(CARGA_DIARIA!A342="","",C342-D342-E342)</f>
        <v/>
      </c>
    </row>
    <row r="343" spans="1:8" ht="15.75" customHeight="1" x14ac:dyDescent="0.25">
      <c r="A343" s="45" t="str">
        <f>IF(CARGA_DIARIA!A343="","",CARGA_DIARIA!A343)</f>
        <v/>
      </c>
      <c r="B343" s="46" t="str">
        <f>IF(CARGA_DIARIA!A343="","",CARGA_DIARIA!B343)</f>
        <v/>
      </c>
      <c r="C343" s="47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48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48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51" t="s">
        <v>146</v>
      </c>
      <c r="G343" s="51" t="s">
        <v>146</v>
      </c>
      <c r="H343" s="50" t="str">
        <f>IF(CARGA_DIARIA!A343="","",C343-D343-E343)</f>
        <v/>
      </c>
    </row>
    <row r="344" spans="1:8" ht="15.75" customHeight="1" x14ac:dyDescent="0.25">
      <c r="A344" s="45" t="str">
        <f>IF(CARGA_DIARIA!A344="","",CARGA_DIARIA!A344)</f>
        <v/>
      </c>
      <c r="B344" s="46" t="str">
        <f>IF(CARGA_DIARIA!A344="","",CARGA_DIARIA!B344)</f>
        <v/>
      </c>
      <c r="C344" s="47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48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48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51" t="s">
        <v>146</v>
      </c>
      <c r="G344" s="51" t="s">
        <v>146</v>
      </c>
      <c r="H344" s="50" t="str">
        <f>IF(CARGA_DIARIA!A344="","",C344-D344-E344)</f>
        <v/>
      </c>
    </row>
    <row r="345" spans="1:8" ht="15.75" customHeight="1" x14ac:dyDescent="0.25">
      <c r="A345" s="45" t="str">
        <f>IF(CARGA_DIARIA!A345="","",CARGA_DIARIA!A345)</f>
        <v/>
      </c>
      <c r="B345" s="46" t="str">
        <f>IF(CARGA_DIARIA!A345="","",CARGA_DIARIA!B345)</f>
        <v/>
      </c>
      <c r="C345" s="47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48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48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51" t="s">
        <v>146</v>
      </c>
      <c r="G345" s="51" t="s">
        <v>146</v>
      </c>
      <c r="H345" s="50" t="str">
        <f>IF(CARGA_DIARIA!A345="","",C345-D345-E345)</f>
        <v/>
      </c>
    </row>
    <row r="346" spans="1:8" ht="15.75" customHeight="1" x14ac:dyDescent="0.25">
      <c r="A346" s="45" t="str">
        <f>IF(CARGA_DIARIA!A346="","",CARGA_DIARIA!A346)</f>
        <v/>
      </c>
      <c r="B346" s="46" t="str">
        <f>IF(CARGA_DIARIA!A346="","",CARGA_DIARIA!B346)</f>
        <v/>
      </c>
      <c r="C346" s="47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48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48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51" t="s">
        <v>146</v>
      </c>
      <c r="G346" s="51" t="s">
        <v>146</v>
      </c>
      <c r="H346" s="50" t="str">
        <f>IF(CARGA_DIARIA!A346="","",C346-D346-E346)</f>
        <v/>
      </c>
    </row>
    <row r="347" spans="1:8" ht="15.75" customHeight="1" x14ac:dyDescent="0.25">
      <c r="A347" s="45" t="str">
        <f>IF(CARGA_DIARIA!A347="","",CARGA_DIARIA!A347)</f>
        <v/>
      </c>
      <c r="B347" s="46" t="str">
        <f>IF(CARGA_DIARIA!A347="","",CARGA_DIARIA!B347)</f>
        <v/>
      </c>
      <c r="C347" s="47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48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48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51" t="s">
        <v>146</v>
      </c>
      <c r="G347" s="51" t="s">
        <v>146</v>
      </c>
      <c r="H347" s="50" t="str">
        <f>IF(CARGA_DIARIA!A347="","",C347-D347-E347)</f>
        <v/>
      </c>
    </row>
    <row r="348" spans="1:8" ht="15.75" customHeight="1" x14ac:dyDescent="0.25">
      <c r="A348" s="45" t="str">
        <f>IF(CARGA_DIARIA!A348="","",CARGA_DIARIA!A348)</f>
        <v/>
      </c>
      <c r="B348" s="46" t="str">
        <f>IF(CARGA_DIARIA!A348="","",CARGA_DIARIA!B348)</f>
        <v/>
      </c>
      <c r="C348" s="47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48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48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51" t="s">
        <v>146</v>
      </c>
      <c r="G348" s="51" t="s">
        <v>146</v>
      </c>
      <c r="H348" s="50" t="str">
        <f>IF(CARGA_DIARIA!A348="","",C348-D348-E348)</f>
        <v/>
      </c>
    </row>
    <row r="349" spans="1:8" ht="15.75" customHeight="1" x14ac:dyDescent="0.25">
      <c r="A349" s="45" t="str">
        <f>IF(CARGA_DIARIA!A349="","",CARGA_DIARIA!A349)</f>
        <v/>
      </c>
      <c r="B349" s="46" t="str">
        <f>IF(CARGA_DIARIA!A349="","",CARGA_DIARIA!B349)</f>
        <v/>
      </c>
      <c r="C349" s="47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48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48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51" t="s">
        <v>146</v>
      </c>
      <c r="G349" s="51" t="s">
        <v>146</v>
      </c>
      <c r="H349" s="50" t="str">
        <f>IF(CARGA_DIARIA!A349="","",C349-D349-E349)</f>
        <v/>
      </c>
    </row>
    <row r="350" spans="1:8" ht="15.75" customHeight="1" x14ac:dyDescent="0.25">
      <c r="A350" s="45" t="str">
        <f>IF(CARGA_DIARIA!A350="","",CARGA_DIARIA!A350)</f>
        <v/>
      </c>
      <c r="B350" s="46" t="str">
        <f>IF(CARGA_DIARIA!A350="","",CARGA_DIARIA!B350)</f>
        <v/>
      </c>
      <c r="C350" s="47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48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48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51" t="s">
        <v>146</v>
      </c>
      <c r="G350" s="51" t="s">
        <v>146</v>
      </c>
      <c r="H350" s="50" t="str">
        <f>IF(CARGA_DIARIA!A350="","",C350-D350-E350)</f>
        <v/>
      </c>
    </row>
    <row r="351" spans="1:8" ht="15.75" customHeight="1" x14ac:dyDescent="0.25">
      <c r="A351" s="45" t="str">
        <f>IF(CARGA_DIARIA!A351="","",CARGA_DIARIA!A351)</f>
        <v/>
      </c>
      <c r="B351" s="46" t="str">
        <f>IF(CARGA_DIARIA!A351="","",CARGA_DIARIA!B351)</f>
        <v/>
      </c>
      <c r="C351" s="47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48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48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51" t="s">
        <v>146</v>
      </c>
      <c r="G351" s="51" t="s">
        <v>146</v>
      </c>
      <c r="H351" s="50" t="str">
        <f>IF(CARGA_DIARIA!A351="","",C351-D351-E351)</f>
        <v/>
      </c>
    </row>
    <row r="352" spans="1:8" ht="15.75" customHeight="1" x14ac:dyDescent="0.25">
      <c r="A352" s="45" t="str">
        <f>IF(CARGA_DIARIA!A352="","",CARGA_DIARIA!A352)</f>
        <v/>
      </c>
      <c r="B352" s="46" t="str">
        <f>IF(CARGA_DIARIA!A352="","",CARGA_DIARIA!B352)</f>
        <v/>
      </c>
      <c r="C352" s="47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48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48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51" t="s">
        <v>146</v>
      </c>
      <c r="G352" s="51" t="s">
        <v>146</v>
      </c>
      <c r="H352" s="50" t="str">
        <f>IF(CARGA_DIARIA!A352="","",C352-D352-E352)</f>
        <v/>
      </c>
    </row>
    <row r="353" spans="1:8" ht="15.75" customHeight="1" x14ac:dyDescent="0.25">
      <c r="A353" s="45" t="str">
        <f>IF(CARGA_DIARIA!A353="","",CARGA_DIARIA!A353)</f>
        <v/>
      </c>
      <c r="B353" s="46" t="str">
        <f>IF(CARGA_DIARIA!A353="","",CARGA_DIARIA!B353)</f>
        <v/>
      </c>
      <c r="C353" s="47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48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48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51" t="s">
        <v>146</v>
      </c>
      <c r="G353" s="51" t="s">
        <v>146</v>
      </c>
      <c r="H353" s="50" t="str">
        <f>IF(CARGA_DIARIA!A353="","",C353-D353-E353)</f>
        <v/>
      </c>
    </row>
    <row r="354" spans="1:8" ht="15.75" customHeight="1" x14ac:dyDescent="0.25">
      <c r="A354" s="45" t="str">
        <f>IF(CARGA_DIARIA!A354="","",CARGA_DIARIA!A354)</f>
        <v/>
      </c>
      <c r="B354" s="46" t="str">
        <f>IF(CARGA_DIARIA!A354="","",CARGA_DIARIA!B354)</f>
        <v/>
      </c>
      <c r="C354" s="47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48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48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51" t="s">
        <v>146</v>
      </c>
      <c r="G354" s="51" t="s">
        <v>146</v>
      </c>
      <c r="H354" s="50" t="str">
        <f>IF(CARGA_DIARIA!A354="","",C354-D354-E354)</f>
        <v/>
      </c>
    </row>
    <row r="355" spans="1:8" ht="15.75" customHeight="1" x14ac:dyDescent="0.25">
      <c r="A355" s="45" t="str">
        <f>IF(CARGA_DIARIA!A355="","",CARGA_DIARIA!A355)</f>
        <v/>
      </c>
      <c r="B355" s="46" t="str">
        <f>IF(CARGA_DIARIA!A355="","",CARGA_DIARIA!B355)</f>
        <v/>
      </c>
      <c r="C355" s="47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48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48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51" t="s">
        <v>146</v>
      </c>
      <c r="G355" s="51" t="s">
        <v>146</v>
      </c>
      <c r="H355" s="50" t="str">
        <f>IF(CARGA_DIARIA!A355="","",C355-D355-E355)</f>
        <v/>
      </c>
    </row>
    <row r="356" spans="1:8" ht="15.75" customHeight="1" x14ac:dyDescent="0.25">
      <c r="A356" s="45" t="str">
        <f>IF(CARGA_DIARIA!A356="","",CARGA_DIARIA!A356)</f>
        <v/>
      </c>
      <c r="B356" s="46" t="str">
        <f>IF(CARGA_DIARIA!A356="","",CARGA_DIARIA!B356)</f>
        <v/>
      </c>
      <c r="C356" s="47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48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48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51" t="s">
        <v>146</v>
      </c>
      <c r="G356" s="51" t="s">
        <v>146</v>
      </c>
      <c r="H356" s="50" t="str">
        <f>IF(CARGA_DIARIA!A356="","",C356-D356-E356)</f>
        <v/>
      </c>
    </row>
    <row r="357" spans="1:8" ht="15.75" customHeight="1" x14ac:dyDescent="0.25">
      <c r="A357" s="45" t="str">
        <f>IF(CARGA_DIARIA!A357="","",CARGA_DIARIA!A357)</f>
        <v/>
      </c>
      <c r="B357" s="46" t="str">
        <f>IF(CARGA_DIARIA!A357="","",CARGA_DIARIA!B357)</f>
        <v/>
      </c>
      <c r="C357" s="47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48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48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51" t="s">
        <v>146</v>
      </c>
      <c r="G357" s="51" t="s">
        <v>146</v>
      </c>
      <c r="H357" s="50" t="str">
        <f>IF(CARGA_DIARIA!A357="","",C357-D357-E357)</f>
        <v/>
      </c>
    </row>
    <row r="358" spans="1:8" ht="15.75" customHeight="1" x14ac:dyDescent="0.25">
      <c r="A358" s="45" t="str">
        <f>IF(CARGA_DIARIA!A358="","",CARGA_DIARIA!A358)</f>
        <v/>
      </c>
      <c r="B358" s="46" t="str">
        <f>IF(CARGA_DIARIA!A358="","",CARGA_DIARIA!B358)</f>
        <v/>
      </c>
      <c r="C358" s="47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48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48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51" t="s">
        <v>146</v>
      </c>
      <c r="G358" s="51" t="s">
        <v>146</v>
      </c>
      <c r="H358" s="50" t="str">
        <f>IF(CARGA_DIARIA!A358="","",C358-D358-E358)</f>
        <v/>
      </c>
    </row>
    <row r="359" spans="1:8" ht="15.75" customHeight="1" x14ac:dyDescent="0.25">
      <c r="A359" s="45" t="str">
        <f>IF(CARGA_DIARIA!A359="","",CARGA_DIARIA!A359)</f>
        <v/>
      </c>
      <c r="B359" s="46" t="str">
        <f>IF(CARGA_DIARIA!A359="","",CARGA_DIARIA!B359)</f>
        <v/>
      </c>
      <c r="C359" s="47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48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48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51" t="s">
        <v>146</v>
      </c>
      <c r="G359" s="51" t="s">
        <v>146</v>
      </c>
      <c r="H359" s="50" t="str">
        <f>IF(CARGA_DIARIA!A359="","",C359-D359-E359)</f>
        <v/>
      </c>
    </row>
    <row r="360" spans="1:8" ht="15.75" customHeight="1" x14ac:dyDescent="0.25">
      <c r="A360" s="45" t="str">
        <f>IF(CARGA_DIARIA!A360="","",CARGA_DIARIA!A360)</f>
        <v/>
      </c>
      <c r="B360" s="46" t="str">
        <f>IF(CARGA_DIARIA!A360="","",CARGA_DIARIA!B360)</f>
        <v/>
      </c>
      <c r="C360" s="47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48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48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51" t="s">
        <v>146</v>
      </c>
      <c r="G360" s="51" t="s">
        <v>146</v>
      </c>
      <c r="H360" s="50" t="str">
        <f>IF(CARGA_DIARIA!A360="","",C360-D360-E360)</f>
        <v/>
      </c>
    </row>
    <row r="361" spans="1:8" ht="15.75" customHeight="1" x14ac:dyDescent="0.25">
      <c r="A361" s="45" t="str">
        <f>IF(CARGA_DIARIA!A361="","",CARGA_DIARIA!A361)</f>
        <v/>
      </c>
      <c r="B361" s="46" t="str">
        <f>IF(CARGA_DIARIA!A361="","",CARGA_DIARIA!B361)</f>
        <v/>
      </c>
      <c r="C361" s="47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48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48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51" t="s">
        <v>146</v>
      </c>
      <c r="G361" s="51" t="s">
        <v>146</v>
      </c>
      <c r="H361" s="50" t="str">
        <f>IF(CARGA_DIARIA!A361="","",C361-D361-E361)</f>
        <v/>
      </c>
    </row>
    <row r="362" spans="1:8" ht="15.75" customHeight="1" x14ac:dyDescent="0.25">
      <c r="A362" s="45" t="str">
        <f>IF(CARGA_DIARIA!A362="","",CARGA_DIARIA!A362)</f>
        <v/>
      </c>
      <c r="B362" s="46" t="str">
        <f>IF(CARGA_DIARIA!A362="","",CARGA_DIARIA!B362)</f>
        <v/>
      </c>
      <c r="C362" s="47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48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48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51" t="s">
        <v>146</v>
      </c>
      <c r="G362" s="51" t="s">
        <v>146</v>
      </c>
      <c r="H362" s="50" t="str">
        <f>IF(CARGA_DIARIA!A362="","",C362-D362-E362)</f>
        <v/>
      </c>
    </row>
    <row r="363" spans="1:8" ht="15.75" customHeight="1" x14ac:dyDescent="0.25">
      <c r="A363" s="45" t="str">
        <f>IF(CARGA_DIARIA!A363="","",CARGA_DIARIA!A363)</f>
        <v/>
      </c>
      <c r="B363" s="46" t="str">
        <f>IF(CARGA_DIARIA!A363="","",CARGA_DIARIA!B363)</f>
        <v/>
      </c>
      <c r="C363" s="47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48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48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51" t="s">
        <v>146</v>
      </c>
      <c r="G363" s="51" t="s">
        <v>146</v>
      </c>
      <c r="H363" s="50" t="str">
        <f>IF(CARGA_DIARIA!A363="","",C363-D363-E363)</f>
        <v/>
      </c>
    </row>
    <row r="364" spans="1:8" ht="15.75" customHeight="1" x14ac:dyDescent="0.25">
      <c r="A364" s="45" t="str">
        <f>IF(CARGA_DIARIA!A364="","",CARGA_DIARIA!A364)</f>
        <v/>
      </c>
      <c r="B364" s="46" t="str">
        <f>IF(CARGA_DIARIA!A364="","",CARGA_DIARIA!B364)</f>
        <v/>
      </c>
      <c r="C364" s="47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48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48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51" t="s">
        <v>146</v>
      </c>
      <c r="G364" s="51" t="s">
        <v>146</v>
      </c>
      <c r="H364" s="50" t="str">
        <f>IF(CARGA_DIARIA!A364="","",C364-D364-E364)</f>
        <v/>
      </c>
    </row>
    <row r="365" spans="1:8" ht="15.75" customHeight="1" x14ac:dyDescent="0.25">
      <c r="A365" s="45" t="str">
        <f>IF(CARGA_DIARIA!A365="","",CARGA_DIARIA!A365)</f>
        <v/>
      </c>
      <c r="B365" s="46" t="str">
        <f>IF(CARGA_DIARIA!A365="","",CARGA_DIARIA!B365)</f>
        <v/>
      </c>
      <c r="C365" s="47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48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48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51" t="s">
        <v>146</v>
      </c>
      <c r="G365" s="51" t="s">
        <v>146</v>
      </c>
      <c r="H365" s="50" t="str">
        <f>IF(CARGA_DIARIA!A365="","",C365-D365-E365)</f>
        <v/>
      </c>
    </row>
    <row r="366" spans="1:8" ht="15.75" customHeight="1" x14ac:dyDescent="0.25">
      <c r="A366" s="45" t="str">
        <f>IF(CARGA_DIARIA!A366="","",CARGA_DIARIA!A366)</f>
        <v/>
      </c>
      <c r="B366" s="46" t="str">
        <f>IF(CARGA_DIARIA!A366="","",CARGA_DIARIA!B366)</f>
        <v/>
      </c>
      <c r="C366" s="47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48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48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51" t="s">
        <v>146</v>
      </c>
      <c r="G366" s="51" t="s">
        <v>146</v>
      </c>
      <c r="H366" s="50" t="str">
        <f>IF(CARGA_DIARIA!A366="","",C366-D366-E366)</f>
        <v/>
      </c>
    </row>
    <row r="367" spans="1:8" ht="15.75" customHeight="1" x14ac:dyDescent="0.25">
      <c r="A367" s="45" t="str">
        <f>IF(CARGA_DIARIA!A367="","",CARGA_DIARIA!A367)</f>
        <v/>
      </c>
      <c r="B367" s="46" t="str">
        <f>IF(CARGA_DIARIA!A367="","",CARGA_DIARIA!B367)</f>
        <v/>
      </c>
      <c r="C367" s="47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48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48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51" t="s">
        <v>146</v>
      </c>
      <c r="G367" s="51" t="s">
        <v>146</v>
      </c>
      <c r="H367" s="50" t="str">
        <f>IF(CARGA_DIARIA!A367="","",C367-D367-E367)</f>
        <v/>
      </c>
    </row>
    <row r="368" spans="1:8" ht="15.75" customHeight="1" x14ac:dyDescent="0.25">
      <c r="A368" s="45" t="str">
        <f>IF(CARGA_DIARIA!A368="","",CARGA_DIARIA!A368)</f>
        <v/>
      </c>
      <c r="B368" s="46" t="str">
        <f>IF(CARGA_DIARIA!A368="","",CARGA_DIARIA!B368)</f>
        <v/>
      </c>
      <c r="C368" s="47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48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48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51" t="s">
        <v>146</v>
      </c>
      <c r="G368" s="51" t="s">
        <v>146</v>
      </c>
      <c r="H368" s="50" t="str">
        <f>IF(CARGA_DIARIA!A368="","",C368-D368-E368)</f>
        <v/>
      </c>
    </row>
    <row r="369" spans="1:8" ht="15.75" customHeight="1" x14ac:dyDescent="0.25">
      <c r="A369" s="45" t="str">
        <f>IF(CARGA_DIARIA!A369="","",CARGA_DIARIA!A369)</f>
        <v/>
      </c>
      <c r="B369" s="46" t="str">
        <f>IF(CARGA_DIARIA!A369="","",CARGA_DIARIA!B369)</f>
        <v/>
      </c>
      <c r="C369" s="47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48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48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51" t="s">
        <v>146</v>
      </c>
      <c r="G369" s="51" t="s">
        <v>146</v>
      </c>
      <c r="H369" s="50" t="str">
        <f>IF(CARGA_DIARIA!A369="","",C369-D369-E369)</f>
        <v/>
      </c>
    </row>
    <row r="370" spans="1:8" ht="15.75" customHeight="1" x14ac:dyDescent="0.25">
      <c r="A370" s="45" t="str">
        <f>IF(CARGA_DIARIA!A370="","",CARGA_DIARIA!A370)</f>
        <v/>
      </c>
      <c r="B370" s="46" t="str">
        <f>IF(CARGA_DIARIA!A370="","",CARGA_DIARIA!B370)</f>
        <v/>
      </c>
      <c r="C370" s="47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48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48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51" t="s">
        <v>146</v>
      </c>
      <c r="G370" s="51" t="s">
        <v>146</v>
      </c>
      <c r="H370" s="50" t="str">
        <f>IF(CARGA_DIARIA!A370="","",C370-D370-E370)</f>
        <v/>
      </c>
    </row>
    <row r="371" spans="1:8" ht="15.75" customHeight="1" x14ac:dyDescent="0.25">
      <c r="A371" s="45" t="str">
        <f>IF(CARGA_DIARIA!A371="","",CARGA_DIARIA!A371)</f>
        <v/>
      </c>
      <c r="B371" s="46" t="str">
        <f>IF(CARGA_DIARIA!A371="","",CARGA_DIARIA!B371)</f>
        <v/>
      </c>
      <c r="C371" s="47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48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48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51" t="s">
        <v>146</v>
      </c>
      <c r="G371" s="51" t="s">
        <v>146</v>
      </c>
      <c r="H371" s="50" t="str">
        <f>IF(CARGA_DIARIA!A371="","",C371-D371-E371)</f>
        <v/>
      </c>
    </row>
    <row r="372" spans="1:8" ht="15.75" customHeight="1" x14ac:dyDescent="0.25">
      <c r="A372" s="45" t="str">
        <f>IF(CARGA_DIARIA!A372="","",CARGA_DIARIA!A372)</f>
        <v/>
      </c>
      <c r="B372" s="46" t="str">
        <f>IF(CARGA_DIARIA!A372="","",CARGA_DIARIA!B372)</f>
        <v/>
      </c>
      <c r="C372" s="47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48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48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51" t="s">
        <v>146</v>
      </c>
      <c r="G372" s="51" t="s">
        <v>146</v>
      </c>
      <c r="H372" s="50" t="str">
        <f>IF(CARGA_DIARIA!A372="","",C372-D372-E372)</f>
        <v/>
      </c>
    </row>
    <row r="373" spans="1:8" ht="15.75" customHeight="1" x14ac:dyDescent="0.25">
      <c r="A373" s="45" t="str">
        <f>IF(CARGA_DIARIA!A373="","",CARGA_DIARIA!A373)</f>
        <v/>
      </c>
      <c r="B373" s="46" t="str">
        <f>IF(CARGA_DIARIA!A373="","",CARGA_DIARIA!B373)</f>
        <v/>
      </c>
      <c r="C373" s="47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48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48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51" t="s">
        <v>146</v>
      </c>
      <c r="G373" s="51" t="s">
        <v>146</v>
      </c>
      <c r="H373" s="50" t="str">
        <f>IF(CARGA_DIARIA!A373="","",C373-D373-E373)</f>
        <v/>
      </c>
    </row>
    <row r="374" spans="1:8" ht="15.75" customHeight="1" x14ac:dyDescent="0.25">
      <c r="A374" s="45" t="str">
        <f>IF(CARGA_DIARIA!A374="","",CARGA_DIARIA!A374)</f>
        <v/>
      </c>
      <c r="B374" s="46" t="str">
        <f>IF(CARGA_DIARIA!A374="","",CARGA_DIARIA!B374)</f>
        <v/>
      </c>
      <c r="C374" s="47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48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48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51" t="s">
        <v>146</v>
      </c>
      <c r="G374" s="51" t="s">
        <v>146</v>
      </c>
      <c r="H374" s="50" t="str">
        <f>IF(CARGA_DIARIA!A374="","",C374-D374-E374)</f>
        <v/>
      </c>
    </row>
    <row r="375" spans="1:8" ht="15.75" customHeight="1" x14ac:dyDescent="0.25">
      <c r="A375" s="45" t="str">
        <f>IF(CARGA_DIARIA!A375="","",CARGA_DIARIA!A375)</f>
        <v/>
      </c>
      <c r="B375" s="46" t="str">
        <f>IF(CARGA_DIARIA!A375="","",CARGA_DIARIA!B375)</f>
        <v/>
      </c>
      <c r="C375" s="47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48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48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51" t="s">
        <v>146</v>
      </c>
      <c r="G375" s="51" t="s">
        <v>146</v>
      </c>
      <c r="H375" s="50" t="str">
        <f>IF(CARGA_DIARIA!A375="","",C375-D375-E375)</f>
        <v/>
      </c>
    </row>
    <row r="376" spans="1:8" ht="15.75" customHeight="1" x14ac:dyDescent="0.25">
      <c r="A376" s="45" t="str">
        <f>IF(CARGA_DIARIA!A376="","",CARGA_DIARIA!A376)</f>
        <v/>
      </c>
      <c r="B376" s="46" t="str">
        <f>IF(CARGA_DIARIA!A376="","",CARGA_DIARIA!B376)</f>
        <v/>
      </c>
      <c r="C376" s="47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48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48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51" t="s">
        <v>146</v>
      </c>
      <c r="G376" s="51" t="s">
        <v>146</v>
      </c>
      <c r="H376" s="50" t="str">
        <f>IF(CARGA_DIARIA!A376="","",C376-D376-E376)</f>
        <v/>
      </c>
    </row>
    <row r="377" spans="1:8" ht="15.75" customHeight="1" x14ac:dyDescent="0.25">
      <c r="A377" s="45" t="str">
        <f>IF(CARGA_DIARIA!A377="","",CARGA_DIARIA!A377)</f>
        <v/>
      </c>
      <c r="B377" s="46" t="str">
        <f>IF(CARGA_DIARIA!A377="","",CARGA_DIARIA!B377)</f>
        <v/>
      </c>
      <c r="C377" s="47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48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48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51" t="s">
        <v>146</v>
      </c>
      <c r="G377" s="51" t="s">
        <v>146</v>
      </c>
      <c r="H377" s="50" t="str">
        <f>IF(CARGA_DIARIA!A377="","",C377-D377-E377)</f>
        <v/>
      </c>
    </row>
    <row r="378" spans="1:8" ht="15.75" customHeight="1" x14ac:dyDescent="0.25">
      <c r="A378" s="45" t="str">
        <f>IF(CARGA_DIARIA!A378="","",CARGA_DIARIA!A378)</f>
        <v/>
      </c>
      <c r="B378" s="46" t="str">
        <f>IF(CARGA_DIARIA!A378="","",CARGA_DIARIA!B378)</f>
        <v/>
      </c>
      <c r="C378" s="47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48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48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51" t="s">
        <v>146</v>
      </c>
      <c r="G378" s="51" t="s">
        <v>146</v>
      </c>
      <c r="H378" s="50" t="str">
        <f>IF(CARGA_DIARIA!A378="","",C378-D378-E378)</f>
        <v/>
      </c>
    </row>
    <row r="379" spans="1:8" ht="15.75" customHeight="1" x14ac:dyDescent="0.25">
      <c r="A379" s="45" t="str">
        <f>IF(CARGA_DIARIA!A379="","",CARGA_DIARIA!A379)</f>
        <v/>
      </c>
      <c r="B379" s="46" t="str">
        <f>IF(CARGA_DIARIA!A379="","",CARGA_DIARIA!B379)</f>
        <v/>
      </c>
      <c r="C379" s="47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48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48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51" t="s">
        <v>146</v>
      </c>
      <c r="G379" s="51" t="s">
        <v>146</v>
      </c>
      <c r="H379" s="50" t="str">
        <f>IF(CARGA_DIARIA!A379="","",C379-D379-E379)</f>
        <v/>
      </c>
    </row>
    <row r="380" spans="1:8" ht="15.75" customHeight="1" x14ac:dyDescent="0.25">
      <c r="A380" s="45" t="str">
        <f>IF(CARGA_DIARIA!A380="","",CARGA_DIARIA!A380)</f>
        <v/>
      </c>
      <c r="B380" s="46" t="str">
        <f>IF(CARGA_DIARIA!A380="","",CARGA_DIARIA!B380)</f>
        <v/>
      </c>
      <c r="C380" s="47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48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48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51" t="s">
        <v>146</v>
      </c>
      <c r="G380" s="51" t="s">
        <v>146</v>
      </c>
      <c r="H380" s="50" t="str">
        <f>IF(CARGA_DIARIA!A380="","",C380-D380-E380)</f>
        <v/>
      </c>
    </row>
    <row r="381" spans="1:8" ht="15.75" customHeight="1" x14ac:dyDescent="0.25">
      <c r="A381" s="45" t="str">
        <f>IF(CARGA_DIARIA!A381="","",CARGA_DIARIA!A381)</f>
        <v/>
      </c>
      <c r="B381" s="46" t="str">
        <f>IF(CARGA_DIARIA!A381="","",CARGA_DIARIA!B381)</f>
        <v/>
      </c>
      <c r="C381" s="47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48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48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51" t="s">
        <v>146</v>
      </c>
      <c r="G381" s="51" t="s">
        <v>146</v>
      </c>
      <c r="H381" s="50" t="str">
        <f>IF(CARGA_DIARIA!A381="","",C381-D381-E381)</f>
        <v/>
      </c>
    </row>
    <row r="382" spans="1:8" ht="15.75" customHeight="1" x14ac:dyDescent="0.25">
      <c r="A382" s="45" t="str">
        <f>IF(CARGA_DIARIA!A382="","",CARGA_DIARIA!A382)</f>
        <v/>
      </c>
      <c r="B382" s="46" t="str">
        <f>IF(CARGA_DIARIA!A382="","",CARGA_DIARIA!B382)</f>
        <v/>
      </c>
      <c r="C382" s="47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48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48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51" t="s">
        <v>146</v>
      </c>
      <c r="G382" s="51" t="s">
        <v>146</v>
      </c>
      <c r="H382" s="50" t="str">
        <f>IF(CARGA_DIARIA!A382="","",C382-D382-E382)</f>
        <v/>
      </c>
    </row>
    <row r="383" spans="1:8" ht="15.75" customHeight="1" x14ac:dyDescent="0.25">
      <c r="A383" s="45" t="str">
        <f>IF(CARGA_DIARIA!A383="","",CARGA_DIARIA!A383)</f>
        <v/>
      </c>
      <c r="B383" s="46" t="str">
        <f>IF(CARGA_DIARIA!A383="","",CARGA_DIARIA!B383)</f>
        <v/>
      </c>
      <c r="C383" s="47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48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48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51" t="s">
        <v>146</v>
      </c>
      <c r="G383" s="51" t="s">
        <v>146</v>
      </c>
      <c r="H383" s="50" t="str">
        <f>IF(CARGA_DIARIA!A383="","",C383-D383-E383)</f>
        <v/>
      </c>
    </row>
    <row r="384" spans="1:8" ht="15.75" customHeight="1" x14ac:dyDescent="0.25">
      <c r="A384" s="45" t="str">
        <f>IF(CARGA_DIARIA!A384="","",CARGA_DIARIA!A384)</f>
        <v/>
      </c>
      <c r="B384" s="46" t="str">
        <f>IF(CARGA_DIARIA!A384="","",CARGA_DIARIA!B384)</f>
        <v/>
      </c>
      <c r="C384" s="47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48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48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51" t="s">
        <v>146</v>
      </c>
      <c r="G384" s="51" t="s">
        <v>146</v>
      </c>
      <c r="H384" s="50" t="str">
        <f>IF(CARGA_DIARIA!A384="","",C384-D384-E384)</f>
        <v/>
      </c>
    </row>
    <row r="385" spans="1:8" ht="15.75" customHeight="1" x14ac:dyDescent="0.25">
      <c r="A385" s="45" t="str">
        <f>IF(CARGA_DIARIA!A385="","",CARGA_DIARIA!A385)</f>
        <v/>
      </c>
      <c r="B385" s="46" t="str">
        <f>IF(CARGA_DIARIA!A385="","",CARGA_DIARIA!B385)</f>
        <v/>
      </c>
      <c r="C385" s="47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48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48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51" t="s">
        <v>146</v>
      </c>
      <c r="G385" s="51" t="s">
        <v>146</v>
      </c>
      <c r="H385" s="50" t="str">
        <f>IF(CARGA_DIARIA!A385="","",C385-D385-E385)</f>
        <v/>
      </c>
    </row>
    <row r="386" spans="1:8" ht="15.75" customHeight="1" x14ac:dyDescent="0.25">
      <c r="A386" s="45" t="str">
        <f>IF(CARGA_DIARIA!A386="","",CARGA_DIARIA!A386)</f>
        <v/>
      </c>
      <c r="B386" s="46" t="str">
        <f>IF(CARGA_DIARIA!A386="","",CARGA_DIARIA!B386)</f>
        <v/>
      </c>
      <c r="C386" s="47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48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48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51" t="s">
        <v>146</v>
      </c>
      <c r="G386" s="51" t="s">
        <v>146</v>
      </c>
      <c r="H386" s="50" t="str">
        <f>IF(CARGA_DIARIA!A386="","",C386-D386-E386)</f>
        <v/>
      </c>
    </row>
    <row r="387" spans="1:8" ht="15.75" customHeight="1" x14ac:dyDescent="0.25">
      <c r="A387" s="45" t="str">
        <f>IF(CARGA_DIARIA!A387="","",CARGA_DIARIA!A387)</f>
        <v/>
      </c>
      <c r="B387" s="46" t="str">
        <f>IF(CARGA_DIARIA!A387="","",CARGA_DIARIA!B387)</f>
        <v/>
      </c>
      <c r="C387" s="47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48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48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51" t="s">
        <v>146</v>
      </c>
      <c r="G387" s="51" t="s">
        <v>146</v>
      </c>
      <c r="H387" s="50" t="str">
        <f>IF(CARGA_DIARIA!A387="","",C387-D387-E387)</f>
        <v/>
      </c>
    </row>
    <row r="388" spans="1:8" ht="15.75" customHeight="1" x14ac:dyDescent="0.25">
      <c r="A388" s="45" t="str">
        <f>IF(CARGA_DIARIA!A388="","",CARGA_DIARIA!A388)</f>
        <v/>
      </c>
      <c r="B388" s="46" t="str">
        <f>IF(CARGA_DIARIA!A388="","",CARGA_DIARIA!B388)</f>
        <v/>
      </c>
      <c r="C388" s="47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48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48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51" t="s">
        <v>146</v>
      </c>
      <c r="G388" s="51" t="s">
        <v>146</v>
      </c>
      <c r="H388" s="50" t="str">
        <f>IF(CARGA_DIARIA!A388="","",C388-D388-E388)</f>
        <v/>
      </c>
    </row>
    <row r="389" spans="1:8" ht="15.75" customHeight="1" x14ac:dyDescent="0.25">
      <c r="A389" s="45" t="str">
        <f>IF(CARGA_DIARIA!A389="","",CARGA_DIARIA!A389)</f>
        <v/>
      </c>
      <c r="B389" s="46" t="str">
        <f>IF(CARGA_DIARIA!A389="","",CARGA_DIARIA!B389)</f>
        <v/>
      </c>
      <c r="C389" s="47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48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48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51" t="s">
        <v>146</v>
      </c>
      <c r="G389" s="51" t="s">
        <v>146</v>
      </c>
      <c r="H389" s="50" t="str">
        <f>IF(CARGA_DIARIA!A389="","",C389-D389-E389)</f>
        <v/>
      </c>
    </row>
    <row r="390" spans="1:8" ht="15.75" customHeight="1" x14ac:dyDescent="0.25">
      <c r="A390" s="45" t="str">
        <f>IF(CARGA_DIARIA!A390="","",CARGA_DIARIA!A390)</f>
        <v/>
      </c>
      <c r="B390" s="46" t="str">
        <f>IF(CARGA_DIARIA!A390="","",CARGA_DIARIA!B390)</f>
        <v/>
      </c>
      <c r="C390" s="47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48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48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51" t="s">
        <v>146</v>
      </c>
      <c r="G390" s="51" t="s">
        <v>146</v>
      </c>
      <c r="H390" s="50" t="str">
        <f>IF(CARGA_DIARIA!A390="","",C390-D390-E390)</f>
        <v/>
      </c>
    </row>
    <row r="391" spans="1:8" ht="15.75" customHeight="1" x14ac:dyDescent="0.25">
      <c r="A391" s="45" t="str">
        <f>IF(CARGA_DIARIA!A391="","",CARGA_DIARIA!A391)</f>
        <v/>
      </c>
      <c r="B391" s="46" t="str">
        <f>IF(CARGA_DIARIA!A391="","",CARGA_DIARIA!B391)</f>
        <v/>
      </c>
      <c r="C391" s="47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48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48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51" t="s">
        <v>146</v>
      </c>
      <c r="G391" s="51" t="s">
        <v>146</v>
      </c>
      <c r="H391" s="50" t="str">
        <f>IF(CARGA_DIARIA!A391="","",C391-D391-E391)</f>
        <v/>
      </c>
    </row>
    <row r="392" spans="1:8" ht="15.75" customHeight="1" x14ac:dyDescent="0.25">
      <c r="A392" s="45" t="str">
        <f>IF(CARGA_DIARIA!A392="","",CARGA_DIARIA!A392)</f>
        <v/>
      </c>
      <c r="B392" s="46" t="str">
        <f>IF(CARGA_DIARIA!A392="","",CARGA_DIARIA!B392)</f>
        <v/>
      </c>
      <c r="C392" s="47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48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48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51" t="s">
        <v>146</v>
      </c>
      <c r="G392" s="51" t="s">
        <v>146</v>
      </c>
      <c r="H392" s="50" t="str">
        <f>IF(CARGA_DIARIA!A392="","",C392-D392-E392)</f>
        <v/>
      </c>
    </row>
    <row r="393" spans="1:8" ht="15.75" customHeight="1" x14ac:dyDescent="0.25">
      <c r="A393" s="45" t="str">
        <f>IF(CARGA_DIARIA!A393="","",CARGA_DIARIA!A393)</f>
        <v/>
      </c>
      <c r="B393" s="46" t="str">
        <f>IF(CARGA_DIARIA!A393="","",CARGA_DIARIA!B393)</f>
        <v/>
      </c>
      <c r="C393" s="47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48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48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51" t="s">
        <v>146</v>
      </c>
      <c r="G393" s="51" t="s">
        <v>146</v>
      </c>
      <c r="H393" s="50" t="str">
        <f>IF(CARGA_DIARIA!A393="","",C393-D393-E393)</f>
        <v/>
      </c>
    </row>
    <row r="394" spans="1:8" ht="15.75" customHeight="1" x14ac:dyDescent="0.25">
      <c r="A394" s="45" t="str">
        <f>IF(CARGA_DIARIA!A394="","",CARGA_DIARIA!A394)</f>
        <v/>
      </c>
      <c r="B394" s="46" t="str">
        <f>IF(CARGA_DIARIA!A394="","",CARGA_DIARIA!B394)</f>
        <v/>
      </c>
      <c r="C394" s="47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48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48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51" t="s">
        <v>146</v>
      </c>
      <c r="G394" s="51" t="s">
        <v>146</v>
      </c>
      <c r="H394" s="50" t="str">
        <f>IF(CARGA_DIARIA!A394="","",C394-D394-E394)</f>
        <v/>
      </c>
    </row>
    <row r="395" spans="1:8" ht="15.75" customHeight="1" x14ac:dyDescent="0.25">
      <c r="A395" s="45" t="str">
        <f>IF(CARGA_DIARIA!A395="","",CARGA_DIARIA!A395)</f>
        <v/>
      </c>
      <c r="B395" s="46" t="str">
        <f>IF(CARGA_DIARIA!A395="","",CARGA_DIARIA!B395)</f>
        <v/>
      </c>
      <c r="C395" s="47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48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48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51" t="s">
        <v>146</v>
      </c>
      <c r="G395" s="51" t="s">
        <v>146</v>
      </c>
      <c r="H395" s="50" t="str">
        <f>IF(CARGA_DIARIA!A395="","",C395-D395-E395)</f>
        <v/>
      </c>
    </row>
    <row r="396" spans="1:8" ht="15.75" customHeight="1" x14ac:dyDescent="0.25">
      <c r="A396" s="45" t="str">
        <f>IF(CARGA_DIARIA!A396="","",CARGA_DIARIA!A396)</f>
        <v/>
      </c>
      <c r="B396" s="46" t="str">
        <f>IF(CARGA_DIARIA!A396="","",CARGA_DIARIA!B396)</f>
        <v/>
      </c>
      <c r="C396" s="47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48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48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51" t="s">
        <v>146</v>
      </c>
      <c r="G396" s="51" t="s">
        <v>146</v>
      </c>
      <c r="H396" s="50" t="str">
        <f>IF(CARGA_DIARIA!A396="","",C396-D396-E396)</f>
        <v/>
      </c>
    </row>
    <row r="397" spans="1:8" ht="15.75" customHeight="1" x14ac:dyDescent="0.25">
      <c r="A397" s="45" t="str">
        <f>IF(CARGA_DIARIA!A397="","",CARGA_DIARIA!A397)</f>
        <v/>
      </c>
      <c r="B397" s="46" t="str">
        <f>IF(CARGA_DIARIA!A397="","",CARGA_DIARIA!B397)</f>
        <v/>
      </c>
      <c r="C397" s="47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48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48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51" t="s">
        <v>146</v>
      </c>
      <c r="G397" s="51" t="s">
        <v>146</v>
      </c>
      <c r="H397" s="50" t="str">
        <f>IF(CARGA_DIARIA!A397="","",C397-D397-E397)</f>
        <v/>
      </c>
    </row>
    <row r="398" spans="1:8" ht="15.75" customHeight="1" x14ac:dyDescent="0.25">
      <c r="A398" s="45" t="str">
        <f>IF(CARGA_DIARIA!A398="","",CARGA_DIARIA!A398)</f>
        <v/>
      </c>
      <c r="B398" s="46" t="str">
        <f>IF(CARGA_DIARIA!A398="","",CARGA_DIARIA!B398)</f>
        <v/>
      </c>
      <c r="C398" s="47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48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48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51" t="s">
        <v>146</v>
      </c>
      <c r="G398" s="51" t="s">
        <v>146</v>
      </c>
      <c r="H398" s="50" t="str">
        <f>IF(CARGA_DIARIA!A398="","",C398-D398-E398)</f>
        <v/>
      </c>
    </row>
    <row r="399" spans="1:8" ht="15.75" customHeight="1" x14ac:dyDescent="0.25">
      <c r="A399" s="45" t="str">
        <f>IF(CARGA_DIARIA!A399="","",CARGA_DIARIA!A399)</f>
        <v/>
      </c>
      <c r="B399" s="46" t="str">
        <f>IF(CARGA_DIARIA!A399="","",CARGA_DIARIA!B399)</f>
        <v/>
      </c>
      <c r="C399" s="47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48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48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51" t="s">
        <v>146</v>
      </c>
      <c r="G399" s="51" t="s">
        <v>146</v>
      </c>
      <c r="H399" s="50" t="str">
        <f>IF(CARGA_DIARIA!A399="","",C399-D399-E399)</f>
        <v/>
      </c>
    </row>
    <row r="400" spans="1:8" ht="15.75" customHeight="1" x14ac:dyDescent="0.25">
      <c r="A400" s="45" t="str">
        <f>IF(CARGA_DIARIA!A400="","",CARGA_DIARIA!A400)</f>
        <v/>
      </c>
      <c r="B400" s="46" t="str">
        <f>IF(CARGA_DIARIA!A400="","",CARGA_DIARIA!B400)</f>
        <v/>
      </c>
      <c r="C400" s="47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48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48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51" t="s">
        <v>146</v>
      </c>
      <c r="G400" s="51" t="s">
        <v>146</v>
      </c>
      <c r="H400" s="50" t="str">
        <f>IF(CARGA_DIARIA!A400="","",C400-D400-E400)</f>
        <v/>
      </c>
    </row>
    <row r="401" spans="1:8" ht="15.75" customHeight="1" x14ac:dyDescent="0.25">
      <c r="A401" s="45" t="str">
        <f>IF(CARGA_DIARIA!A401="","",CARGA_DIARIA!A401)</f>
        <v/>
      </c>
      <c r="B401" s="46" t="str">
        <f>IF(CARGA_DIARIA!A401="","",CARGA_DIARIA!B401)</f>
        <v/>
      </c>
      <c r="C401" s="47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48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48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51" t="s">
        <v>146</v>
      </c>
      <c r="G401" s="51" t="s">
        <v>146</v>
      </c>
      <c r="H401" s="50" t="str">
        <f>IF(CARGA_DIARIA!A401="","",C401-D401-E401)</f>
        <v/>
      </c>
    </row>
    <row r="402" spans="1:8" ht="15.75" customHeight="1" x14ac:dyDescent="0.25">
      <c r="A402" s="45" t="str">
        <f>IF(CARGA_DIARIA!A402="","",CARGA_DIARIA!A402)</f>
        <v/>
      </c>
      <c r="B402" s="46" t="str">
        <f>IF(CARGA_DIARIA!A402="","",CARGA_DIARIA!B402)</f>
        <v/>
      </c>
      <c r="C402" s="47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48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48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51" t="s">
        <v>146</v>
      </c>
      <c r="G402" s="51" t="s">
        <v>146</v>
      </c>
      <c r="H402" s="50" t="str">
        <f>IF(CARGA_DIARIA!A402="","",C402-D402-E402)</f>
        <v/>
      </c>
    </row>
    <row r="403" spans="1:8" ht="15.75" customHeight="1" x14ac:dyDescent="0.25">
      <c r="A403" s="45" t="str">
        <f>IF(CARGA_DIARIA!A403="","",CARGA_DIARIA!A403)</f>
        <v/>
      </c>
      <c r="B403" s="46" t="str">
        <f>IF(CARGA_DIARIA!A403="","",CARGA_DIARIA!B403)</f>
        <v/>
      </c>
      <c r="C403" s="47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48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48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51" t="s">
        <v>146</v>
      </c>
      <c r="G403" s="51" t="s">
        <v>146</v>
      </c>
      <c r="H403" s="50" t="str">
        <f>IF(CARGA_DIARIA!A403="","",C403-D403-E403)</f>
        <v/>
      </c>
    </row>
    <row r="404" spans="1:8" ht="15.75" customHeight="1" x14ac:dyDescent="0.25">
      <c r="A404" s="45" t="str">
        <f>IF(CARGA_DIARIA!A404="","",CARGA_DIARIA!A404)</f>
        <v/>
      </c>
      <c r="B404" s="46" t="str">
        <f>IF(CARGA_DIARIA!A404="","",CARGA_DIARIA!B404)</f>
        <v/>
      </c>
      <c r="C404" s="47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48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48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51" t="s">
        <v>146</v>
      </c>
      <c r="G404" s="51" t="s">
        <v>146</v>
      </c>
      <c r="H404" s="50" t="str">
        <f>IF(CARGA_DIARIA!A404="","",C404-D404-E404)</f>
        <v/>
      </c>
    </row>
    <row r="405" spans="1:8" ht="15.75" customHeight="1" x14ac:dyDescent="0.25">
      <c r="A405" s="45" t="str">
        <f>IF(CARGA_DIARIA!A405="","",CARGA_DIARIA!A405)</f>
        <v/>
      </c>
      <c r="B405" s="46" t="str">
        <f>IF(CARGA_DIARIA!A405="","",CARGA_DIARIA!B405)</f>
        <v/>
      </c>
      <c r="C405" s="47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48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48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51" t="s">
        <v>146</v>
      </c>
      <c r="G405" s="51" t="s">
        <v>146</v>
      </c>
      <c r="H405" s="50" t="str">
        <f>IF(CARGA_DIARIA!A405="","",C405-D405-E405)</f>
        <v/>
      </c>
    </row>
    <row r="406" spans="1:8" ht="15.75" customHeight="1" x14ac:dyDescent="0.25">
      <c r="A406" s="45" t="str">
        <f>IF(CARGA_DIARIA!A406="","",CARGA_DIARIA!A406)</f>
        <v/>
      </c>
      <c r="B406" s="46" t="str">
        <f>IF(CARGA_DIARIA!A406="","",CARGA_DIARIA!B406)</f>
        <v/>
      </c>
      <c r="C406" s="47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48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48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51" t="s">
        <v>146</v>
      </c>
      <c r="G406" s="51" t="s">
        <v>146</v>
      </c>
      <c r="H406" s="50" t="str">
        <f>IF(CARGA_DIARIA!A406="","",C406-D406-E406)</f>
        <v/>
      </c>
    </row>
    <row r="407" spans="1:8" ht="15.75" customHeight="1" x14ac:dyDescent="0.25">
      <c r="A407" s="45" t="str">
        <f>IF(CARGA_DIARIA!A407="","",CARGA_DIARIA!A407)</f>
        <v/>
      </c>
      <c r="B407" s="46" t="str">
        <f>IF(CARGA_DIARIA!A407="","",CARGA_DIARIA!B407)</f>
        <v/>
      </c>
      <c r="C407" s="47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48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48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51" t="s">
        <v>146</v>
      </c>
      <c r="G407" s="51" t="s">
        <v>146</v>
      </c>
      <c r="H407" s="50" t="str">
        <f>IF(CARGA_DIARIA!A407="","",C407-D407-E407)</f>
        <v/>
      </c>
    </row>
    <row r="408" spans="1:8" ht="15.75" customHeight="1" x14ac:dyDescent="0.25">
      <c r="A408" s="45" t="str">
        <f>IF(CARGA_DIARIA!A408="","",CARGA_DIARIA!A408)</f>
        <v/>
      </c>
      <c r="B408" s="46" t="str">
        <f>IF(CARGA_DIARIA!A408="","",CARGA_DIARIA!B408)</f>
        <v/>
      </c>
      <c r="C408" s="47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48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48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51" t="s">
        <v>146</v>
      </c>
      <c r="G408" s="51" t="s">
        <v>146</v>
      </c>
      <c r="H408" s="50" t="str">
        <f>IF(CARGA_DIARIA!A408="","",C408-D408-E408)</f>
        <v/>
      </c>
    </row>
    <row r="409" spans="1:8" ht="15.75" customHeight="1" x14ac:dyDescent="0.25">
      <c r="A409" s="45" t="str">
        <f>IF(CARGA_DIARIA!A409="","",CARGA_DIARIA!A409)</f>
        <v/>
      </c>
      <c r="B409" s="46" t="str">
        <f>IF(CARGA_DIARIA!A409="","",CARGA_DIARIA!B409)</f>
        <v/>
      </c>
      <c r="C409" s="47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48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48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51" t="s">
        <v>146</v>
      </c>
      <c r="G409" s="51" t="s">
        <v>146</v>
      </c>
      <c r="H409" s="50" t="str">
        <f>IF(CARGA_DIARIA!A409="","",C409-D409-E409)</f>
        <v/>
      </c>
    </row>
    <row r="410" spans="1:8" ht="15.75" customHeight="1" x14ac:dyDescent="0.25">
      <c r="A410" s="45" t="str">
        <f>IF(CARGA_DIARIA!A410="","",CARGA_DIARIA!A410)</f>
        <v/>
      </c>
      <c r="B410" s="46" t="str">
        <f>IF(CARGA_DIARIA!A410="","",CARGA_DIARIA!B410)</f>
        <v/>
      </c>
      <c r="C410" s="47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48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48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51" t="s">
        <v>146</v>
      </c>
      <c r="G410" s="51" t="s">
        <v>146</v>
      </c>
      <c r="H410" s="50" t="str">
        <f>IF(CARGA_DIARIA!A410="","",C410-D410-E410)</f>
        <v/>
      </c>
    </row>
    <row r="411" spans="1:8" ht="15.75" customHeight="1" x14ac:dyDescent="0.25">
      <c r="A411" s="45" t="str">
        <f>IF(CARGA_DIARIA!A411="","",CARGA_DIARIA!A411)</f>
        <v/>
      </c>
      <c r="B411" s="46" t="str">
        <f>IF(CARGA_DIARIA!A411="","",CARGA_DIARIA!B411)</f>
        <v/>
      </c>
      <c r="C411" s="47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48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48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51" t="s">
        <v>146</v>
      </c>
      <c r="G411" s="51" t="s">
        <v>146</v>
      </c>
      <c r="H411" s="50" t="str">
        <f>IF(CARGA_DIARIA!A411="","",C411-D411-E411)</f>
        <v/>
      </c>
    </row>
    <row r="412" spans="1:8" ht="15.75" customHeight="1" x14ac:dyDescent="0.25">
      <c r="A412" s="45" t="str">
        <f>IF(CARGA_DIARIA!A412="","",CARGA_DIARIA!A412)</f>
        <v/>
      </c>
      <c r="B412" s="46" t="str">
        <f>IF(CARGA_DIARIA!A412="","",CARGA_DIARIA!B412)</f>
        <v/>
      </c>
      <c r="C412" s="47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48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48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51" t="s">
        <v>146</v>
      </c>
      <c r="G412" s="51" t="s">
        <v>146</v>
      </c>
      <c r="H412" s="50" t="str">
        <f>IF(CARGA_DIARIA!A412="","",C412-D412-E412)</f>
        <v/>
      </c>
    </row>
    <row r="413" spans="1:8" ht="15.75" customHeight="1" x14ac:dyDescent="0.25">
      <c r="A413" s="45" t="str">
        <f>IF(CARGA_DIARIA!A413="","",CARGA_DIARIA!A413)</f>
        <v/>
      </c>
      <c r="B413" s="46" t="str">
        <f>IF(CARGA_DIARIA!A413="","",CARGA_DIARIA!B413)</f>
        <v/>
      </c>
      <c r="C413" s="47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48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48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51" t="s">
        <v>146</v>
      </c>
      <c r="G413" s="51" t="s">
        <v>146</v>
      </c>
      <c r="H413" s="50" t="str">
        <f>IF(CARGA_DIARIA!A413="","",C413-D413-E413)</f>
        <v/>
      </c>
    </row>
    <row r="414" spans="1:8" ht="15.75" customHeight="1" x14ac:dyDescent="0.25">
      <c r="A414" s="45" t="str">
        <f>IF(CARGA_DIARIA!A414="","",CARGA_DIARIA!A414)</f>
        <v/>
      </c>
      <c r="B414" s="46" t="str">
        <f>IF(CARGA_DIARIA!A414="","",CARGA_DIARIA!B414)</f>
        <v/>
      </c>
      <c r="C414" s="47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48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48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51" t="s">
        <v>146</v>
      </c>
      <c r="G414" s="51" t="s">
        <v>146</v>
      </c>
      <c r="H414" s="50" t="str">
        <f>IF(CARGA_DIARIA!A414="","",C414-D414-E414)</f>
        <v/>
      </c>
    </row>
    <row r="415" spans="1:8" ht="15.75" customHeight="1" x14ac:dyDescent="0.25">
      <c r="A415" s="45" t="str">
        <f>IF(CARGA_DIARIA!A415="","",CARGA_DIARIA!A415)</f>
        <v/>
      </c>
      <c r="B415" s="46" t="str">
        <f>IF(CARGA_DIARIA!A415="","",CARGA_DIARIA!B415)</f>
        <v/>
      </c>
      <c r="C415" s="47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48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48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51" t="s">
        <v>146</v>
      </c>
      <c r="G415" s="51" t="s">
        <v>146</v>
      </c>
      <c r="H415" s="50" t="str">
        <f>IF(CARGA_DIARIA!A415="","",C415-D415-E415)</f>
        <v/>
      </c>
    </row>
    <row r="416" spans="1:8" ht="15.75" customHeight="1" x14ac:dyDescent="0.25">
      <c r="A416" s="45" t="str">
        <f>IF(CARGA_DIARIA!A416="","",CARGA_DIARIA!A416)</f>
        <v/>
      </c>
      <c r="B416" s="46" t="str">
        <f>IF(CARGA_DIARIA!A416="","",CARGA_DIARIA!B416)</f>
        <v/>
      </c>
      <c r="C416" s="47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48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48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51" t="s">
        <v>146</v>
      </c>
      <c r="G416" s="51" t="s">
        <v>146</v>
      </c>
      <c r="H416" s="50" t="str">
        <f>IF(CARGA_DIARIA!A416="","",C416-D416-E416)</f>
        <v/>
      </c>
    </row>
    <row r="417" spans="1:8" ht="15.75" customHeight="1" x14ac:dyDescent="0.25">
      <c r="A417" s="45" t="str">
        <f>IF(CARGA_DIARIA!A417="","",CARGA_DIARIA!A417)</f>
        <v/>
      </c>
      <c r="B417" s="46" t="str">
        <f>IF(CARGA_DIARIA!A417="","",CARGA_DIARIA!B417)</f>
        <v/>
      </c>
      <c r="C417" s="47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48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48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51" t="s">
        <v>146</v>
      </c>
      <c r="G417" s="51" t="s">
        <v>146</v>
      </c>
      <c r="H417" s="50" t="str">
        <f>IF(CARGA_DIARIA!A417="","",C417-D417-E417)</f>
        <v/>
      </c>
    </row>
    <row r="418" spans="1:8" ht="15.75" customHeight="1" x14ac:dyDescent="0.25">
      <c r="A418" s="45" t="str">
        <f>IF(CARGA_DIARIA!A418="","",CARGA_DIARIA!A418)</f>
        <v/>
      </c>
      <c r="B418" s="46" t="str">
        <f>IF(CARGA_DIARIA!A418="","",CARGA_DIARIA!B418)</f>
        <v/>
      </c>
      <c r="C418" s="47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48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48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51" t="s">
        <v>146</v>
      </c>
      <c r="G418" s="51" t="s">
        <v>146</v>
      </c>
      <c r="H418" s="50" t="str">
        <f>IF(CARGA_DIARIA!A418="","",C418-D418-E418)</f>
        <v/>
      </c>
    </row>
    <row r="419" spans="1:8" ht="15.75" customHeight="1" x14ac:dyDescent="0.25">
      <c r="A419" s="45" t="str">
        <f>IF(CARGA_DIARIA!A419="","",CARGA_DIARIA!A419)</f>
        <v/>
      </c>
      <c r="B419" s="46" t="str">
        <f>IF(CARGA_DIARIA!A419="","",CARGA_DIARIA!B419)</f>
        <v/>
      </c>
      <c r="C419" s="47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48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48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51" t="s">
        <v>146</v>
      </c>
      <c r="G419" s="51" t="s">
        <v>146</v>
      </c>
      <c r="H419" s="50" t="str">
        <f>IF(CARGA_DIARIA!A419="","",C419-D419-E419)</f>
        <v/>
      </c>
    </row>
    <row r="420" spans="1:8" ht="15.75" customHeight="1" x14ac:dyDescent="0.25">
      <c r="A420" s="45" t="str">
        <f>IF(CARGA_DIARIA!A420="","",CARGA_DIARIA!A420)</f>
        <v/>
      </c>
      <c r="B420" s="46" t="str">
        <f>IF(CARGA_DIARIA!A420="","",CARGA_DIARIA!B420)</f>
        <v/>
      </c>
      <c r="C420" s="47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48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48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51" t="s">
        <v>146</v>
      </c>
      <c r="G420" s="51" t="s">
        <v>146</v>
      </c>
      <c r="H420" s="50" t="str">
        <f>IF(CARGA_DIARIA!A420="","",C420-D420-E420)</f>
        <v/>
      </c>
    </row>
    <row r="421" spans="1:8" ht="15.75" customHeight="1" x14ac:dyDescent="0.25">
      <c r="A421" s="45" t="str">
        <f>IF(CARGA_DIARIA!A421="","",CARGA_DIARIA!A421)</f>
        <v/>
      </c>
      <c r="B421" s="46" t="str">
        <f>IF(CARGA_DIARIA!A421="","",CARGA_DIARIA!B421)</f>
        <v/>
      </c>
      <c r="C421" s="47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48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48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51" t="s">
        <v>146</v>
      </c>
      <c r="G421" s="51" t="s">
        <v>146</v>
      </c>
      <c r="H421" s="50" t="str">
        <f>IF(CARGA_DIARIA!A421="","",C421-D421-E421)</f>
        <v/>
      </c>
    </row>
    <row r="422" spans="1:8" ht="15.75" customHeight="1" x14ac:dyDescent="0.25">
      <c r="A422" s="45" t="str">
        <f>IF(CARGA_DIARIA!A422="","",CARGA_DIARIA!A422)</f>
        <v/>
      </c>
      <c r="B422" s="46" t="str">
        <f>IF(CARGA_DIARIA!A422="","",CARGA_DIARIA!B422)</f>
        <v/>
      </c>
      <c r="C422" s="47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48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48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51" t="s">
        <v>146</v>
      </c>
      <c r="G422" s="51" t="s">
        <v>146</v>
      </c>
      <c r="H422" s="50" t="str">
        <f>IF(CARGA_DIARIA!A422="","",C422-D422-E422)</f>
        <v/>
      </c>
    </row>
    <row r="423" spans="1:8" ht="15.75" customHeight="1" x14ac:dyDescent="0.25">
      <c r="A423" s="45" t="str">
        <f>IF(CARGA_DIARIA!A423="","",CARGA_DIARIA!A423)</f>
        <v/>
      </c>
      <c r="B423" s="46" t="str">
        <f>IF(CARGA_DIARIA!A423="","",CARGA_DIARIA!B423)</f>
        <v/>
      </c>
      <c r="C423" s="47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48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48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51" t="s">
        <v>146</v>
      </c>
      <c r="G423" s="51" t="s">
        <v>146</v>
      </c>
      <c r="H423" s="50" t="str">
        <f>IF(CARGA_DIARIA!A423="","",C423-D423-E423)</f>
        <v/>
      </c>
    </row>
    <row r="424" spans="1:8" ht="15.75" customHeight="1" x14ac:dyDescent="0.25">
      <c r="A424" s="45" t="str">
        <f>IF(CARGA_DIARIA!A424="","",CARGA_DIARIA!A424)</f>
        <v/>
      </c>
      <c r="B424" s="46" t="str">
        <f>IF(CARGA_DIARIA!A424="","",CARGA_DIARIA!B424)</f>
        <v/>
      </c>
      <c r="C424" s="47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48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48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51" t="s">
        <v>146</v>
      </c>
      <c r="G424" s="51" t="s">
        <v>146</v>
      </c>
      <c r="H424" s="50" t="str">
        <f>IF(CARGA_DIARIA!A424="","",C424-D424-E424)</f>
        <v/>
      </c>
    </row>
    <row r="425" spans="1:8" ht="15.75" customHeight="1" x14ac:dyDescent="0.25">
      <c r="A425" s="45" t="str">
        <f>IF(CARGA_DIARIA!A425="","",CARGA_DIARIA!A425)</f>
        <v/>
      </c>
      <c r="B425" s="46" t="str">
        <f>IF(CARGA_DIARIA!A425="","",CARGA_DIARIA!B425)</f>
        <v/>
      </c>
      <c r="C425" s="47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48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48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51" t="s">
        <v>146</v>
      </c>
      <c r="G425" s="51" t="s">
        <v>146</v>
      </c>
      <c r="H425" s="50" t="str">
        <f>IF(CARGA_DIARIA!A425="","",C425-D425-E425)</f>
        <v/>
      </c>
    </row>
    <row r="426" spans="1:8" ht="15.75" customHeight="1" x14ac:dyDescent="0.25">
      <c r="A426" s="45" t="str">
        <f>IF(CARGA_DIARIA!A426="","",CARGA_DIARIA!A426)</f>
        <v/>
      </c>
      <c r="B426" s="46" t="str">
        <f>IF(CARGA_DIARIA!A426="","",CARGA_DIARIA!B426)</f>
        <v/>
      </c>
      <c r="C426" s="47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48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48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51" t="s">
        <v>146</v>
      </c>
      <c r="G426" s="51" t="s">
        <v>146</v>
      </c>
      <c r="H426" s="50" t="str">
        <f>IF(CARGA_DIARIA!A426="","",C426-D426-E426)</f>
        <v/>
      </c>
    </row>
    <row r="427" spans="1:8" ht="15.75" customHeight="1" x14ac:dyDescent="0.25">
      <c r="A427" s="45" t="str">
        <f>IF(CARGA_DIARIA!A427="","",CARGA_DIARIA!A427)</f>
        <v/>
      </c>
      <c r="B427" s="46" t="str">
        <f>IF(CARGA_DIARIA!A427="","",CARGA_DIARIA!B427)</f>
        <v/>
      </c>
      <c r="C427" s="47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48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48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51" t="s">
        <v>146</v>
      </c>
      <c r="G427" s="51" t="s">
        <v>146</v>
      </c>
      <c r="H427" s="50" t="str">
        <f>IF(CARGA_DIARIA!A427="","",C427-D427-E427)</f>
        <v/>
      </c>
    </row>
    <row r="428" spans="1:8" ht="15.75" customHeight="1" x14ac:dyDescent="0.25">
      <c r="A428" s="45" t="str">
        <f>IF(CARGA_DIARIA!A428="","",CARGA_DIARIA!A428)</f>
        <v/>
      </c>
      <c r="B428" s="46" t="str">
        <f>IF(CARGA_DIARIA!A428="","",CARGA_DIARIA!B428)</f>
        <v/>
      </c>
      <c r="C428" s="47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48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48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51" t="s">
        <v>146</v>
      </c>
      <c r="G428" s="51" t="s">
        <v>146</v>
      </c>
      <c r="H428" s="50" t="str">
        <f>IF(CARGA_DIARIA!A428="","",C428-D428-E428)</f>
        <v/>
      </c>
    </row>
    <row r="429" spans="1:8" ht="15.75" customHeight="1" x14ac:dyDescent="0.25">
      <c r="A429" s="45" t="str">
        <f>IF(CARGA_DIARIA!A429="","",CARGA_DIARIA!A429)</f>
        <v/>
      </c>
      <c r="B429" s="46" t="str">
        <f>IF(CARGA_DIARIA!A429="","",CARGA_DIARIA!B429)</f>
        <v/>
      </c>
      <c r="C429" s="47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48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48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51" t="s">
        <v>146</v>
      </c>
      <c r="G429" s="51" t="s">
        <v>146</v>
      </c>
      <c r="H429" s="50" t="str">
        <f>IF(CARGA_DIARIA!A429="","",C429-D429-E429)</f>
        <v/>
      </c>
    </row>
    <row r="430" spans="1:8" ht="15.75" customHeight="1" x14ac:dyDescent="0.25">
      <c r="A430" s="45" t="str">
        <f>IF(CARGA_DIARIA!A430="","",CARGA_DIARIA!A430)</f>
        <v/>
      </c>
      <c r="B430" s="46" t="str">
        <f>IF(CARGA_DIARIA!A430="","",CARGA_DIARIA!B430)</f>
        <v/>
      </c>
      <c r="C430" s="47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48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48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51" t="s">
        <v>146</v>
      </c>
      <c r="G430" s="51" t="s">
        <v>146</v>
      </c>
      <c r="H430" s="50" t="str">
        <f>IF(CARGA_DIARIA!A430="","",C430-D430-E430)</f>
        <v/>
      </c>
    </row>
    <row r="431" spans="1:8" ht="15.75" customHeight="1" x14ac:dyDescent="0.25">
      <c r="A431" s="45" t="str">
        <f>IF(CARGA_DIARIA!A431="","",CARGA_DIARIA!A431)</f>
        <v/>
      </c>
      <c r="B431" s="46" t="str">
        <f>IF(CARGA_DIARIA!A431="","",CARGA_DIARIA!B431)</f>
        <v/>
      </c>
      <c r="C431" s="47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48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48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51" t="s">
        <v>146</v>
      </c>
      <c r="G431" s="51" t="s">
        <v>146</v>
      </c>
      <c r="H431" s="50" t="str">
        <f>IF(CARGA_DIARIA!A431="","",C431-D431-E431)</f>
        <v/>
      </c>
    </row>
    <row r="432" spans="1:8" ht="15.75" customHeight="1" x14ac:dyDescent="0.25">
      <c r="A432" s="45" t="str">
        <f>IF(CARGA_DIARIA!A432="","",CARGA_DIARIA!A432)</f>
        <v/>
      </c>
      <c r="B432" s="46" t="str">
        <f>IF(CARGA_DIARIA!A432="","",CARGA_DIARIA!B432)</f>
        <v/>
      </c>
      <c r="C432" s="47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48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48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51" t="s">
        <v>146</v>
      </c>
      <c r="G432" s="51" t="s">
        <v>146</v>
      </c>
      <c r="H432" s="50" t="str">
        <f>IF(CARGA_DIARIA!A432="","",C432-D432-E432)</f>
        <v/>
      </c>
    </row>
    <row r="433" spans="1:8" ht="15.75" customHeight="1" x14ac:dyDescent="0.25">
      <c r="A433" s="45" t="str">
        <f>IF(CARGA_DIARIA!A433="","",CARGA_DIARIA!A433)</f>
        <v/>
      </c>
      <c r="B433" s="46" t="str">
        <f>IF(CARGA_DIARIA!A433="","",CARGA_DIARIA!B433)</f>
        <v/>
      </c>
      <c r="C433" s="47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48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48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51" t="s">
        <v>146</v>
      </c>
      <c r="G433" s="51" t="s">
        <v>146</v>
      </c>
      <c r="H433" s="50" t="str">
        <f>IF(CARGA_DIARIA!A433="","",C433-D433-E433)</f>
        <v/>
      </c>
    </row>
    <row r="434" spans="1:8" ht="15.75" customHeight="1" x14ac:dyDescent="0.25">
      <c r="A434" s="45" t="str">
        <f>IF(CARGA_DIARIA!A434="","",CARGA_DIARIA!A434)</f>
        <v/>
      </c>
      <c r="B434" s="46" t="str">
        <f>IF(CARGA_DIARIA!A434="","",CARGA_DIARIA!B434)</f>
        <v/>
      </c>
      <c r="C434" s="47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48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48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51" t="s">
        <v>146</v>
      </c>
      <c r="G434" s="51" t="s">
        <v>146</v>
      </c>
      <c r="H434" s="50" t="str">
        <f>IF(CARGA_DIARIA!A434="","",C434-D434-E434)</f>
        <v/>
      </c>
    </row>
    <row r="435" spans="1:8" ht="15.75" customHeight="1" x14ac:dyDescent="0.25">
      <c r="A435" s="45" t="str">
        <f>IF(CARGA_DIARIA!A435="","",CARGA_DIARIA!A435)</f>
        <v/>
      </c>
      <c r="B435" s="46" t="str">
        <f>IF(CARGA_DIARIA!A435="","",CARGA_DIARIA!B435)</f>
        <v/>
      </c>
      <c r="C435" s="47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48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48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51" t="s">
        <v>146</v>
      </c>
      <c r="G435" s="51" t="s">
        <v>146</v>
      </c>
      <c r="H435" s="50" t="str">
        <f>IF(CARGA_DIARIA!A435="","",C435-D435-E435)</f>
        <v/>
      </c>
    </row>
    <row r="436" spans="1:8" ht="15.75" customHeight="1" x14ac:dyDescent="0.25">
      <c r="A436" s="45" t="str">
        <f>IF(CARGA_DIARIA!A436="","",CARGA_DIARIA!A436)</f>
        <v/>
      </c>
      <c r="B436" s="46" t="str">
        <f>IF(CARGA_DIARIA!A436="","",CARGA_DIARIA!B436)</f>
        <v/>
      </c>
      <c r="C436" s="47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48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48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51" t="s">
        <v>146</v>
      </c>
      <c r="G436" s="51" t="s">
        <v>146</v>
      </c>
      <c r="H436" s="50" t="str">
        <f>IF(CARGA_DIARIA!A436="","",C436-D436-E436)</f>
        <v/>
      </c>
    </row>
    <row r="437" spans="1:8" ht="15.75" customHeight="1" x14ac:dyDescent="0.25">
      <c r="A437" s="45" t="str">
        <f>IF(CARGA_DIARIA!A437="","",CARGA_DIARIA!A437)</f>
        <v/>
      </c>
      <c r="B437" s="46" t="str">
        <f>IF(CARGA_DIARIA!A437="","",CARGA_DIARIA!B437)</f>
        <v/>
      </c>
      <c r="C437" s="47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48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48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51" t="s">
        <v>146</v>
      </c>
      <c r="G437" s="51" t="s">
        <v>146</v>
      </c>
      <c r="H437" s="50" t="str">
        <f>IF(CARGA_DIARIA!A437="","",C437-D437-E437)</f>
        <v/>
      </c>
    </row>
    <row r="438" spans="1:8" ht="15.75" customHeight="1" x14ac:dyDescent="0.25">
      <c r="A438" s="45" t="str">
        <f>IF(CARGA_DIARIA!A438="","",CARGA_DIARIA!A438)</f>
        <v/>
      </c>
      <c r="B438" s="46" t="str">
        <f>IF(CARGA_DIARIA!A438="","",CARGA_DIARIA!B438)</f>
        <v/>
      </c>
      <c r="C438" s="47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48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48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51" t="s">
        <v>146</v>
      </c>
      <c r="G438" s="51" t="s">
        <v>146</v>
      </c>
      <c r="H438" s="50" t="str">
        <f>IF(CARGA_DIARIA!A438="","",C438-D438-E438)</f>
        <v/>
      </c>
    </row>
    <row r="439" spans="1:8" ht="15.75" customHeight="1" x14ac:dyDescent="0.25">
      <c r="A439" s="45" t="str">
        <f>IF(CARGA_DIARIA!A439="","",CARGA_DIARIA!A439)</f>
        <v/>
      </c>
      <c r="B439" s="46" t="str">
        <f>IF(CARGA_DIARIA!A439="","",CARGA_DIARIA!B439)</f>
        <v/>
      </c>
      <c r="C439" s="47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48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48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51" t="s">
        <v>146</v>
      </c>
      <c r="G439" s="51" t="s">
        <v>146</v>
      </c>
      <c r="H439" s="50" t="str">
        <f>IF(CARGA_DIARIA!A439="","",C439-D439-E439)</f>
        <v/>
      </c>
    </row>
    <row r="440" spans="1:8" ht="15.75" customHeight="1" x14ac:dyDescent="0.25">
      <c r="A440" s="45" t="str">
        <f>IF(CARGA_DIARIA!A440="","",CARGA_DIARIA!A440)</f>
        <v/>
      </c>
      <c r="B440" s="46" t="str">
        <f>IF(CARGA_DIARIA!A440="","",CARGA_DIARIA!B440)</f>
        <v/>
      </c>
      <c r="C440" s="47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48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48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51" t="s">
        <v>146</v>
      </c>
      <c r="G440" s="51" t="s">
        <v>146</v>
      </c>
      <c r="H440" s="50" t="str">
        <f>IF(CARGA_DIARIA!A440="","",C440-D440-E440)</f>
        <v/>
      </c>
    </row>
    <row r="441" spans="1:8" ht="15.75" customHeight="1" x14ac:dyDescent="0.25">
      <c r="A441" s="45" t="str">
        <f>IF(CARGA_DIARIA!A441="","",CARGA_DIARIA!A441)</f>
        <v/>
      </c>
      <c r="B441" s="46" t="str">
        <f>IF(CARGA_DIARIA!A441="","",CARGA_DIARIA!B441)</f>
        <v/>
      </c>
      <c r="C441" s="47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48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48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51" t="s">
        <v>146</v>
      </c>
      <c r="G441" s="51" t="s">
        <v>146</v>
      </c>
      <c r="H441" s="50" t="str">
        <f>IF(CARGA_DIARIA!A441="","",C441-D441-E441)</f>
        <v/>
      </c>
    </row>
    <row r="442" spans="1:8" ht="15.75" customHeight="1" x14ac:dyDescent="0.25">
      <c r="A442" s="45" t="str">
        <f>IF(CARGA_DIARIA!A442="","",CARGA_DIARIA!A442)</f>
        <v/>
      </c>
      <c r="B442" s="46" t="str">
        <f>IF(CARGA_DIARIA!A442="","",CARGA_DIARIA!B442)</f>
        <v/>
      </c>
      <c r="C442" s="47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48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48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51" t="s">
        <v>146</v>
      </c>
      <c r="G442" s="51" t="s">
        <v>146</v>
      </c>
      <c r="H442" s="50" t="str">
        <f>IF(CARGA_DIARIA!A442="","",C442-D442-E442)</f>
        <v/>
      </c>
    </row>
    <row r="443" spans="1:8" ht="15.75" customHeight="1" x14ac:dyDescent="0.25">
      <c r="A443" s="45" t="str">
        <f>IF(CARGA_DIARIA!A443="","",CARGA_DIARIA!A443)</f>
        <v/>
      </c>
      <c r="B443" s="46" t="str">
        <f>IF(CARGA_DIARIA!A443="","",CARGA_DIARIA!B443)</f>
        <v/>
      </c>
      <c r="C443" s="47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48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48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51" t="s">
        <v>146</v>
      </c>
      <c r="G443" s="51" t="s">
        <v>146</v>
      </c>
      <c r="H443" s="50" t="str">
        <f>IF(CARGA_DIARIA!A443="","",C443-D443-E443)</f>
        <v/>
      </c>
    </row>
    <row r="444" spans="1:8" ht="15.75" customHeight="1" x14ac:dyDescent="0.25">
      <c r="A444" s="45" t="str">
        <f>IF(CARGA_DIARIA!A444="","",CARGA_DIARIA!A444)</f>
        <v/>
      </c>
      <c r="B444" s="46" t="str">
        <f>IF(CARGA_DIARIA!A444="","",CARGA_DIARIA!B444)</f>
        <v/>
      </c>
      <c r="C444" s="47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48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48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51" t="s">
        <v>146</v>
      </c>
      <c r="G444" s="51" t="s">
        <v>146</v>
      </c>
      <c r="H444" s="50" t="str">
        <f>IF(CARGA_DIARIA!A444="","",C444-D444-E444)</f>
        <v/>
      </c>
    </row>
    <row r="445" spans="1:8" ht="15.75" customHeight="1" x14ac:dyDescent="0.25">
      <c r="A445" s="45" t="str">
        <f>IF(CARGA_DIARIA!A445="","",CARGA_DIARIA!A445)</f>
        <v/>
      </c>
      <c r="B445" s="46" t="str">
        <f>IF(CARGA_DIARIA!A445="","",CARGA_DIARIA!B445)</f>
        <v/>
      </c>
      <c r="C445" s="47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48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48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51" t="s">
        <v>146</v>
      </c>
      <c r="G445" s="51" t="s">
        <v>146</v>
      </c>
      <c r="H445" s="50" t="str">
        <f>IF(CARGA_DIARIA!A445="","",C445-D445-E445)</f>
        <v/>
      </c>
    </row>
    <row r="446" spans="1:8" ht="15.75" customHeight="1" x14ac:dyDescent="0.25">
      <c r="A446" s="45" t="str">
        <f>IF(CARGA_DIARIA!A446="","",CARGA_DIARIA!A446)</f>
        <v/>
      </c>
      <c r="B446" s="46" t="str">
        <f>IF(CARGA_DIARIA!A446="","",CARGA_DIARIA!B446)</f>
        <v/>
      </c>
      <c r="C446" s="47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48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48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51" t="s">
        <v>146</v>
      </c>
      <c r="G446" s="51" t="s">
        <v>146</v>
      </c>
      <c r="H446" s="50" t="str">
        <f>IF(CARGA_DIARIA!A446="","",C446-D446-E446)</f>
        <v/>
      </c>
    </row>
    <row r="447" spans="1:8" ht="15.75" customHeight="1" x14ac:dyDescent="0.25">
      <c r="A447" s="45" t="str">
        <f>IF(CARGA_DIARIA!A447="","",CARGA_DIARIA!A447)</f>
        <v/>
      </c>
      <c r="B447" s="46" t="str">
        <f>IF(CARGA_DIARIA!A447="","",CARGA_DIARIA!B447)</f>
        <v/>
      </c>
      <c r="C447" s="47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48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48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51" t="s">
        <v>146</v>
      </c>
      <c r="G447" s="51" t="s">
        <v>146</v>
      </c>
      <c r="H447" s="50" t="str">
        <f>IF(CARGA_DIARIA!A447="","",C447-D447-E447)</f>
        <v/>
      </c>
    </row>
    <row r="448" spans="1:8" ht="15.75" customHeight="1" x14ac:dyDescent="0.25">
      <c r="A448" s="45" t="str">
        <f>IF(CARGA_DIARIA!A448="","",CARGA_DIARIA!A448)</f>
        <v/>
      </c>
      <c r="B448" s="46" t="str">
        <f>IF(CARGA_DIARIA!A448="","",CARGA_DIARIA!B448)</f>
        <v/>
      </c>
      <c r="C448" s="47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48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48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51" t="s">
        <v>146</v>
      </c>
      <c r="G448" s="51" t="s">
        <v>146</v>
      </c>
      <c r="H448" s="50" t="str">
        <f>IF(CARGA_DIARIA!A448="","",C448-D448-E448)</f>
        <v/>
      </c>
    </row>
    <row r="449" spans="1:8" ht="15.75" customHeight="1" x14ac:dyDescent="0.25">
      <c r="A449" s="45" t="str">
        <f>IF(CARGA_DIARIA!A449="","",CARGA_DIARIA!A449)</f>
        <v/>
      </c>
      <c r="B449" s="46" t="str">
        <f>IF(CARGA_DIARIA!A449="","",CARGA_DIARIA!B449)</f>
        <v/>
      </c>
      <c r="C449" s="47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48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48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51" t="s">
        <v>146</v>
      </c>
      <c r="G449" s="51" t="s">
        <v>146</v>
      </c>
      <c r="H449" s="50" t="str">
        <f>IF(CARGA_DIARIA!A449="","",C449-D449-E449)</f>
        <v/>
      </c>
    </row>
    <row r="450" spans="1:8" ht="15.75" customHeight="1" x14ac:dyDescent="0.25">
      <c r="A450" s="45" t="str">
        <f>IF(CARGA_DIARIA!A450="","",CARGA_DIARIA!A450)</f>
        <v/>
      </c>
      <c r="B450" s="46" t="str">
        <f>IF(CARGA_DIARIA!A450="","",CARGA_DIARIA!B450)</f>
        <v/>
      </c>
      <c r="C450" s="47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48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48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51" t="s">
        <v>146</v>
      </c>
      <c r="G450" s="51" t="s">
        <v>146</v>
      </c>
      <c r="H450" s="50" t="str">
        <f>IF(CARGA_DIARIA!A450="","",C450-D450-E450)</f>
        <v/>
      </c>
    </row>
    <row r="451" spans="1:8" ht="15.75" customHeight="1" x14ac:dyDescent="0.25">
      <c r="A451" s="45" t="str">
        <f>IF(CARGA_DIARIA!A451="","",CARGA_DIARIA!A451)</f>
        <v/>
      </c>
      <c r="B451" s="46" t="str">
        <f>IF(CARGA_DIARIA!A451="","",CARGA_DIARIA!B451)</f>
        <v/>
      </c>
      <c r="C451" s="47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48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48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51" t="s">
        <v>146</v>
      </c>
      <c r="G451" s="51" t="s">
        <v>146</v>
      </c>
      <c r="H451" s="50" t="str">
        <f>IF(CARGA_DIARIA!A451="","",C451-D451-E451)</f>
        <v/>
      </c>
    </row>
    <row r="452" spans="1:8" ht="15.75" customHeight="1" x14ac:dyDescent="0.25">
      <c r="A452" s="45" t="str">
        <f>IF(CARGA_DIARIA!A452="","",CARGA_DIARIA!A452)</f>
        <v/>
      </c>
      <c r="B452" s="46" t="str">
        <f>IF(CARGA_DIARIA!A452="","",CARGA_DIARIA!B452)</f>
        <v/>
      </c>
      <c r="C452" s="47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48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48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51" t="s">
        <v>146</v>
      </c>
      <c r="G452" s="51" t="s">
        <v>146</v>
      </c>
      <c r="H452" s="50" t="str">
        <f>IF(CARGA_DIARIA!A452="","",C452-D452-E452)</f>
        <v/>
      </c>
    </row>
    <row r="453" spans="1:8" ht="15.75" customHeight="1" x14ac:dyDescent="0.25">
      <c r="A453" s="45" t="str">
        <f>IF(CARGA_DIARIA!A453="","",CARGA_DIARIA!A453)</f>
        <v/>
      </c>
      <c r="B453" s="46" t="str">
        <f>IF(CARGA_DIARIA!A453="","",CARGA_DIARIA!B453)</f>
        <v/>
      </c>
      <c r="C453" s="47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48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48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51" t="s">
        <v>146</v>
      </c>
      <c r="G453" s="51" t="s">
        <v>146</v>
      </c>
      <c r="H453" s="50" t="str">
        <f>IF(CARGA_DIARIA!A453="","",C453-D453-E453)</f>
        <v/>
      </c>
    </row>
    <row r="454" spans="1:8" ht="15.75" customHeight="1" x14ac:dyDescent="0.25">
      <c r="A454" s="45" t="str">
        <f>IF(CARGA_DIARIA!A454="","",CARGA_DIARIA!A454)</f>
        <v/>
      </c>
      <c r="B454" s="46" t="str">
        <f>IF(CARGA_DIARIA!A454="","",CARGA_DIARIA!B454)</f>
        <v/>
      </c>
      <c r="C454" s="47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48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48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51" t="s">
        <v>146</v>
      </c>
      <c r="G454" s="51" t="s">
        <v>146</v>
      </c>
      <c r="H454" s="50" t="str">
        <f>IF(CARGA_DIARIA!A454="","",C454-D454-E454)</f>
        <v/>
      </c>
    </row>
    <row r="455" spans="1:8" ht="15.75" customHeight="1" x14ac:dyDescent="0.25">
      <c r="A455" s="45" t="str">
        <f>IF(CARGA_DIARIA!A455="","",CARGA_DIARIA!A455)</f>
        <v/>
      </c>
      <c r="B455" s="46" t="str">
        <f>IF(CARGA_DIARIA!A455="","",CARGA_DIARIA!B455)</f>
        <v/>
      </c>
      <c r="C455" s="47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48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48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51" t="s">
        <v>146</v>
      </c>
      <c r="G455" s="51" t="s">
        <v>146</v>
      </c>
      <c r="H455" s="50" t="str">
        <f>IF(CARGA_DIARIA!A455="","",C455-D455-E455)</f>
        <v/>
      </c>
    </row>
    <row r="456" spans="1:8" ht="15.75" customHeight="1" x14ac:dyDescent="0.25">
      <c r="A456" s="45" t="str">
        <f>IF(CARGA_DIARIA!A456="","",CARGA_DIARIA!A456)</f>
        <v/>
      </c>
      <c r="B456" s="46" t="str">
        <f>IF(CARGA_DIARIA!A456="","",CARGA_DIARIA!B456)</f>
        <v/>
      </c>
      <c r="C456" s="47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48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48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51" t="s">
        <v>146</v>
      </c>
      <c r="G456" s="51" t="s">
        <v>146</v>
      </c>
      <c r="H456" s="50" t="str">
        <f>IF(CARGA_DIARIA!A456="","",C456-D456-E456)</f>
        <v/>
      </c>
    </row>
    <row r="457" spans="1:8" ht="15.75" customHeight="1" x14ac:dyDescent="0.25">
      <c r="A457" s="45" t="str">
        <f>IF(CARGA_DIARIA!A457="","",CARGA_DIARIA!A457)</f>
        <v/>
      </c>
      <c r="B457" s="46" t="str">
        <f>IF(CARGA_DIARIA!A457="","",CARGA_DIARIA!B457)</f>
        <v/>
      </c>
      <c r="C457" s="47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48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48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51" t="s">
        <v>146</v>
      </c>
      <c r="G457" s="51" t="s">
        <v>146</v>
      </c>
      <c r="H457" s="50" t="str">
        <f>IF(CARGA_DIARIA!A457="","",C457-D457-E457)</f>
        <v/>
      </c>
    </row>
    <row r="458" spans="1:8" ht="15.75" customHeight="1" x14ac:dyDescent="0.25">
      <c r="A458" s="45" t="str">
        <f>IF(CARGA_DIARIA!A458="","",CARGA_DIARIA!A458)</f>
        <v/>
      </c>
      <c r="B458" s="46" t="str">
        <f>IF(CARGA_DIARIA!A458="","",CARGA_DIARIA!B458)</f>
        <v/>
      </c>
      <c r="C458" s="47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48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48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51" t="s">
        <v>146</v>
      </c>
      <c r="G458" s="51" t="s">
        <v>146</v>
      </c>
      <c r="H458" s="50" t="str">
        <f>IF(CARGA_DIARIA!A458="","",C458-D458-E458)</f>
        <v/>
      </c>
    </row>
    <row r="459" spans="1:8" ht="15.75" customHeight="1" x14ac:dyDescent="0.25">
      <c r="A459" s="45" t="str">
        <f>IF(CARGA_DIARIA!A459="","",CARGA_DIARIA!A459)</f>
        <v/>
      </c>
      <c r="B459" s="46" t="str">
        <f>IF(CARGA_DIARIA!A459="","",CARGA_DIARIA!B459)</f>
        <v/>
      </c>
      <c r="C459" s="47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48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48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51" t="s">
        <v>146</v>
      </c>
      <c r="G459" s="51" t="s">
        <v>146</v>
      </c>
      <c r="H459" s="50" t="str">
        <f>IF(CARGA_DIARIA!A459="","",C459-D459-E459)</f>
        <v/>
      </c>
    </row>
    <row r="460" spans="1:8" ht="15.75" customHeight="1" x14ac:dyDescent="0.25">
      <c r="A460" s="45" t="str">
        <f>IF(CARGA_DIARIA!A460="","",CARGA_DIARIA!A460)</f>
        <v/>
      </c>
      <c r="B460" s="46" t="str">
        <f>IF(CARGA_DIARIA!A460="","",CARGA_DIARIA!B460)</f>
        <v/>
      </c>
      <c r="C460" s="47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48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48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51" t="s">
        <v>146</v>
      </c>
      <c r="G460" s="51" t="s">
        <v>146</v>
      </c>
      <c r="H460" s="50" t="str">
        <f>IF(CARGA_DIARIA!A460="","",C460-D460-E460)</f>
        <v/>
      </c>
    </row>
    <row r="461" spans="1:8" ht="15.75" customHeight="1" x14ac:dyDescent="0.25">
      <c r="A461" s="45" t="str">
        <f>IF(CARGA_DIARIA!A461="","",CARGA_DIARIA!A461)</f>
        <v/>
      </c>
      <c r="B461" s="46" t="str">
        <f>IF(CARGA_DIARIA!A461="","",CARGA_DIARIA!B461)</f>
        <v/>
      </c>
      <c r="C461" s="47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48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48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51" t="s">
        <v>146</v>
      </c>
      <c r="G461" s="51" t="s">
        <v>146</v>
      </c>
      <c r="H461" s="50" t="str">
        <f>IF(CARGA_DIARIA!A461="","",C461-D461-E461)</f>
        <v/>
      </c>
    </row>
    <row r="462" spans="1:8" ht="15.75" customHeight="1" x14ac:dyDescent="0.25">
      <c r="A462" s="45" t="str">
        <f>IF(CARGA_DIARIA!A462="","",CARGA_DIARIA!A462)</f>
        <v/>
      </c>
      <c r="B462" s="46" t="str">
        <f>IF(CARGA_DIARIA!A462="","",CARGA_DIARIA!B462)</f>
        <v/>
      </c>
      <c r="C462" s="47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48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48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51" t="s">
        <v>146</v>
      </c>
      <c r="G462" s="51" t="s">
        <v>146</v>
      </c>
      <c r="H462" s="50" t="str">
        <f>IF(CARGA_DIARIA!A462="","",C462-D462-E462)</f>
        <v/>
      </c>
    </row>
    <row r="463" spans="1:8" ht="15.75" customHeight="1" x14ac:dyDescent="0.25">
      <c r="A463" s="45" t="str">
        <f>IF(CARGA_DIARIA!A463="","",CARGA_DIARIA!A463)</f>
        <v/>
      </c>
      <c r="B463" s="46" t="str">
        <f>IF(CARGA_DIARIA!A463="","",CARGA_DIARIA!B463)</f>
        <v/>
      </c>
      <c r="C463" s="47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48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48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51" t="s">
        <v>146</v>
      </c>
      <c r="G463" s="51" t="s">
        <v>146</v>
      </c>
      <c r="H463" s="50" t="str">
        <f>IF(CARGA_DIARIA!A463="","",C463-D463-E463)</f>
        <v/>
      </c>
    </row>
    <row r="464" spans="1:8" ht="15.75" customHeight="1" x14ac:dyDescent="0.25">
      <c r="A464" s="45" t="str">
        <f>IF(CARGA_DIARIA!A464="","",CARGA_DIARIA!A464)</f>
        <v/>
      </c>
      <c r="B464" s="46" t="str">
        <f>IF(CARGA_DIARIA!A464="","",CARGA_DIARIA!B464)</f>
        <v/>
      </c>
      <c r="C464" s="47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48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48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51" t="s">
        <v>146</v>
      </c>
      <c r="G464" s="51" t="s">
        <v>146</v>
      </c>
      <c r="H464" s="50" t="str">
        <f>IF(CARGA_DIARIA!A464="","",C464-D464-E464)</f>
        <v/>
      </c>
    </row>
    <row r="465" spans="1:8" ht="15.75" customHeight="1" x14ac:dyDescent="0.25">
      <c r="A465" s="45" t="str">
        <f>IF(CARGA_DIARIA!A465="","",CARGA_DIARIA!A465)</f>
        <v/>
      </c>
      <c r="B465" s="46" t="str">
        <f>IF(CARGA_DIARIA!A465="","",CARGA_DIARIA!B465)</f>
        <v/>
      </c>
      <c r="C465" s="47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48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48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51" t="s">
        <v>146</v>
      </c>
      <c r="G465" s="51" t="s">
        <v>146</v>
      </c>
      <c r="H465" s="50" t="str">
        <f>IF(CARGA_DIARIA!A465="","",C465-D465-E465)</f>
        <v/>
      </c>
    </row>
    <row r="466" spans="1:8" ht="15.75" customHeight="1" x14ac:dyDescent="0.25">
      <c r="A466" s="45" t="str">
        <f>IF(CARGA_DIARIA!A466="","",CARGA_DIARIA!A466)</f>
        <v/>
      </c>
      <c r="B466" s="46" t="str">
        <f>IF(CARGA_DIARIA!A466="","",CARGA_DIARIA!B466)</f>
        <v/>
      </c>
      <c r="C466" s="47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48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48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51" t="s">
        <v>146</v>
      </c>
      <c r="G466" s="51" t="s">
        <v>146</v>
      </c>
      <c r="H466" s="50" t="str">
        <f>IF(CARGA_DIARIA!A466="","",C466-D466-E466)</f>
        <v/>
      </c>
    </row>
    <row r="467" spans="1:8" ht="15.75" customHeight="1" x14ac:dyDescent="0.25">
      <c r="A467" s="45" t="str">
        <f>IF(CARGA_DIARIA!A467="","",CARGA_DIARIA!A467)</f>
        <v/>
      </c>
      <c r="B467" s="46" t="str">
        <f>IF(CARGA_DIARIA!A467="","",CARGA_DIARIA!B467)</f>
        <v/>
      </c>
      <c r="C467" s="47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48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48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51" t="s">
        <v>146</v>
      </c>
      <c r="G467" s="51" t="s">
        <v>146</v>
      </c>
      <c r="H467" s="50" t="str">
        <f>IF(CARGA_DIARIA!A467="","",C467-D467-E467)</f>
        <v/>
      </c>
    </row>
    <row r="468" spans="1:8" ht="15.75" customHeight="1" x14ac:dyDescent="0.25">
      <c r="A468" s="45" t="str">
        <f>IF(CARGA_DIARIA!A468="","",CARGA_DIARIA!A468)</f>
        <v/>
      </c>
      <c r="B468" s="46" t="str">
        <f>IF(CARGA_DIARIA!A468="","",CARGA_DIARIA!B468)</f>
        <v/>
      </c>
      <c r="C468" s="47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48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48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51" t="s">
        <v>146</v>
      </c>
      <c r="G468" s="51" t="s">
        <v>146</v>
      </c>
      <c r="H468" s="50" t="str">
        <f>IF(CARGA_DIARIA!A468="","",C468-D468-E468)</f>
        <v/>
      </c>
    </row>
    <row r="469" spans="1:8" ht="15.75" customHeight="1" x14ac:dyDescent="0.25">
      <c r="A469" s="45" t="str">
        <f>IF(CARGA_DIARIA!A469="","",CARGA_DIARIA!A469)</f>
        <v/>
      </c>
      <c r="B469" s="46" t="str">
        <f>IF(CARGA_DIARIA!A469="","",CARGA_DIARIA!B469)</f>
        <v/>
      </c>
      <c r="C469" s="47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48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48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51" t="s">
        <v>146</v>
      </c>
      <c r="G469" s="51" t="s">
        <v>146</v>
      </c>
      <c r="H469" s="50" t="str">
        <f>IF(CARGA_DIARIA!A469="","",C469-D469-E469)</f>
        <v/>
      </c>
    </row>
    <row r="470" spans="1:8" ht="15.75" customHeight="1" x14ac:dyDescent="0.25">
      <c r="A470" s="45" t="str">
        <f>IF(CARGA_DIARIA!A470="","",CARGA_DIARIA!A470)</f>
        <v/>
      </c>
      <c r="B470" s="46" t="str">
        <f>IF(CARGA_DIARIA!A470="","",CARGA_DIARIA!B470)</f>
        <v/>
      </c>
      <c r="C470" s="47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48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48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51" t="s">
        <v>146</v>
      </c>
      <c r="G470" s="51" t="s">
        <v>146</v>
      </c>
      <c r="H470" s="50" t="str">
        <f>IF(CARGA_DIARIA!A470="","",C470-D470-E470)</f>
        <v/>
      </c>
    </row>
    <row r="471" spans="1:8" ht="15.75" customHeight="1" x14ac:dyDescent="0.25">
      <c r="A471" s="45" t="str">
        <f>IF(CARGA_DIARIA!A471="","",CARGA_DIARIA!A471)</f>
        <v/>
      </c>
      <c r="B471" s="46" t="str">
        <f>IF(CARGA_DIARIA!A471="","",CARGA_DIARIA!B471)</f>
        <v/>
      </c>
      <c r="C471" s="47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48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48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51" t="s">
        <v>146</v>
      </c>
      <c r="G471" s="51" t="s">
        <v>146</v>
      </c>
      <c r="H471" s="50" t="str">
        <f>IF(CARGA_DIARIA!A471="","",C471-D471-E471)</f>
        <v/>
      </c>
    </row>
    <row r="472" spans="1:8" ht="15.75" customHeight="1" x14ac:dyDescent="0.25">
      <c r="A472" s="45" t="str">
        <f>IF(CARGA_DIARIA!A472="","",CARGA_DIARIA!A472)</f>
        <v/>
      </c>
      <c r="B472" s="46" t="str">
        <f>IF(CARGA_DIARIA!A472="","",CARGA_DIARIA!B472)</f>
        <v/>
      </c>
      <c r="C472" s="47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48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48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51" t="s">
        <v>146</v>
      </c>
      <c r="G472" s="51" t="s">
        <v>146</v>
      </c>
      <c r="H472" s="50" t="str">
        <f>IF(CARGA_DIARIA!A472="","",C472-D472-E472)</f>
        <v/>
      </c>
    </row>
    <row r="473" spans="1:8" ht="15.75" customHeight="1" x14ac:dyDescent="0.25">
      <c r="A473" s="45" t="str">
        <f>IF(CARGA_DIARIA!A473="","",CARGA_DIARIA!A473)</f>
        <v/>
      </c>
      <c r="B473" s="46" t="str">
        <f>IF(CARGA_DIARIA!A473="","",CARGA_DIARIA!B473)</f>
        <v/>
      </c>
      <c r="C473" s="47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48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48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51" t="s">
        <v>146</v>
      </c>
      <c r="G473" s="51" t="s">
        <v>146</v>
      </c>
      <c r="H473" s="50" t="str">
        <f>IF(CARGA_DIARIA!A473="","",C473-D473-E473)</f>
        <v/>
      </c>
    </row>
    <row r="474" spans="1:8" ht="15.75" customHeight="1" x14ac:dyDescent="0.25">
      <c r="A474" s="45" t="str">
        <f>IF(CARGA_DIARIA!A474="","",CARGA_DIARIA!A474)</f>
        <v/>
      </c>
      <c r="B474" s="46" t="str">
        <f>IF(CARGA_DIARIA!A474="","",CARGA_DIARIA!B474)</f>
        <v/>
      </c>
      <c r="C474" s="47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48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48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51" t="s">
        <v>146</v>
      </c>
      <c r="G474" s="51" t="s">
        <v>146</v>
      </c>
      <c r="H474" s="50" t="str">
        <f>IF(CARGA_DIARIA!A474="","",C474-D474-E474)</f>
        <v/>
      </c>
    </row>
    <row r="475" spans="1:8" ht="15.75" customHeight="1" x14ac:dyDescent="0.25">
      <c r="A475" s="45" t="str">
        <f>IF(CARGA_DIARIA!A475="","",CARGA_DIARIA!A475)</f>
        <v/>
      </c>
      <c r="B475" s="46" t="str">
        <f>IF(CARGA_DIARIA!A475="","",CARGA_DIARIA!B475)</f>
        <v/>
      </c>
      <c r="C475" s="47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48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48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51" t="s">
        <v>146</v>
      </c>
      <c r="G475" s="51" t="s">
        <v>146</v>
      </c>
      <c r="H475" s="50" t="str">
        <f>IF(CARGA_DIARIA!A475="","",C475-D475-E475)</f>
        <v/>
      </c>
    </row>
    <row r="476" spans="1:8" ht="15.75" customHeight="1" x14ac:dyDescent="0.25">
      <c r="A476" s="45" t="str">
        <f>IF(CARGA_DIARIA!A476="","",CARGA_DIARIA!A476)</f>
        <v/>
      </c>
      <c r="B476" s="46" t="str">
        <f>IF(CARGA_DIARIA!A476="","",CARGA_DIARIA!B476)</f>
        <v/>
      </c>
      <c r="C476" s="47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48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48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51" t="s">
        <v>146</v>
      </c>
      <c r="G476" s="51" t="s">
        <v>146</v>
      </c>
      <c r="H476" s="50" t="str">
        <f>IF(CARGA_DIARIA!A476="","",C476-D476-E476)</f>
        <v/>
      </c>
    </row>
    <row r="477" spans="1:8" ht="15.75" customHeight="1" x14ac:dyDescent="0.25">
      <c r="A477" s="45" t="str">
        <f>IF(CARGA_DIARIA!A477="","",CARGA_DIARIA!A477)</f>
        <v/>
      </c>
      <c r="B477" s="46" t="str">
        <f>IF(CARGA_DIARIA!A477="","",CARGA_DIARIA!B477)</f>
        <v/>
      </c>
      <c r="C477" s="47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48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48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51" t="s">
        <v>146</v>
      </c>
      <c r="G477" s="51" t="s">
        <v>146</v>
      </c>
      <c r="H477" s="50" t="str">
        <f>IF(CARGA_DIARIA!A477="","",C477-D477-E477)</f>
        <v/>
      </c>
    </row>
    <row r="478" spans="1:8" ht="15.75" customHeight="1" x14ac:dyDescent="0.25">
      <c r="A478" s="45" t="str">
        <f>IF(CARGA_DIARIA!A478="","",CARGA_DIARIA!A478)</f>
        <v/>
      </c>
      <c r="B478" s="46" t="str">
        <f>IF(CARGA_DIARIA!A478="","",CARGA_DIARIA!B478)</f>
        <v/>
      </c>
      <c r="C478" s="47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48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48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51" t="s">
        <v>146</v>
      </c>
      <c r="G478" s="51" t="s">
        <v>146</v>
      </c>
      <c r="H478" s="50" t="str">
        <f>IF(CARGA_DIARIA!A478="","",C478-D478-E478)</f>
        <v/>
      </c>
    </row>
    <row r="479" spans="1:8" ht="15.75" customHeight="1" x14ac:dyDescent="0.25">
      <c r="A479" s="45" t="str">
        <f>IF(CARGA_DIARIA!A479="","",CARGA_DIARIA!A479)</f>
        <v/>
      </c>
      <c r="B479" s="46" t="str">
        <f>IF(CARGA_DIARIA!A479="","",CARGA_DIARIA!B479)</f>
        <v/>
      </c>
      <c r="C479" s="47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48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48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51" t="s">
        <v>146</v>
      </c>
      <c r="G479" s="51" t="s">
        <v>146</v>
      </c>
      <c r="H479" s="50" t="str">
        <f>IF(CARGA_DIARIA!A479="","",C479-D479-E479)</f>
        <v/>
      </c>
    </row>
    <row r="480" spans="1:8" ht="15.75" customHeight="1" x14ac:dyDescent="0.25">
      <c r="A480" s="45" t="str">
        <f>IF(CARGA_DIARIA!A480="","",CARGA_DIARIA!A480)</f>
        <v/>
      </c>
      <c r="B480" s="46" t="str">
        <f>IF(CARGA_DIARIA!A480="","",CARGA_DIARIA!B480)</f>
        <v/>
      </c>
      <c r="C480" s="47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48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48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51" t="s">
        <v>146</v>
      </c>
      <c r="G480" s="51" t="s">
        <v>146</v>
      </c>
      <c r="H480" s="50" t="str">
        <f>IF(CARGA_DIARIA!A480="","",C480-D480-E480)</f>
        <v/>
      </c>
    </row>
    <row r="481" spans="1:8" ht="15.75" customHeight="1" x14ac:dyDescent="0.25">
      <c r="A481" s="45" t="str">
        <f>IF(CARGA_DIARIA!A481="","",CARGA_DIARIA!A481)</f>
        <v/>
      </c>
      <c r="B481" s="46" t="str">
        <f>IF(CARGA_DIARIA!A481="","",CARGA_DIARIA!B481)</f>
        <v/>
      </c>
      <c r="C481" s="47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48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48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51" t="s">
        <v>146</v>
      </c>
      <c r="G481" s="51" t="s">
        <v>146</v>
      </c>
      <c r="H481" s="50" t="str">
        <f>IF(CARGA_DIARIA!A481="","",C481-D481-E481)</f>
        <v/>
      </c>
    </row>
    <row r="482" spans="1:8" ht="15.75" customHeight="1" x14ac:dyDescent="0.25">
      <c r="A482" s="45" t="str">
        <f>IF(CARGA_DIARIA!A482="","",CARGA_DIARIA!A482)</f>
        <v/>
      </c>
      <c r="B482" s="46" t="str">
        <f>IF(CARGA_DIARIA!A482="","",CARGA_DIARIA!B482)</f>
        <v/>
      </c>
      <c r="C482" s="47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48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48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51" t="s">
        <v>146</v>
      </c>
      <c r="G482" s="51" t="s">
        <v>146</v>
      </c>
      <c r="H482" s="50" t="str">
        <f>IF(CARGA_DIARIA!A482="","",C482-D482-E482)</f>
        <v/>
      </c>
    </row>
    <row r="483" spans="1:8" ht="15.75" customHeight="1" x14ac:dyDescent="0.25">
      <c r="A483" s="45" t="str">
        <f>IF(CARGA_DIARIA!A483="","",CARGA_DIARIA!A483)</f>
        <v/>
      </c>
      <c r="B483" s="46" t="str">
        <f>IF(CARGA_DIARIA!A483="","",CARGA_DIARIA!B483)</f>
        <v/>
      </c>
      <c r="C483" s="47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48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48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51" t="s">
        <v>146</v>
      </c>
      <c r="G483" s="51" t="s">
        <v>146</v>
      </c>
      <c r="H483" s="50" t="str">
        <f>IF(CARGA_DIARIA!A483="","",C483-D483-E483)</f>
        <v/>
      </c>
    </row>
    <row r="484" spans="1:8" ht="15.75" customHeight="1" x14ac:dyDescent="0.25">
      <c r="A484" s="45" t="str">
        <f>IF(CARGA_DIARIA!A484="","",CARGA_DIARIA!A484)</f>
        <v/>
      </c>
      <c r="B484" s="46" t="str">
        <f>IF(CARGA_DIARIA!A484="","",CARGA_DIARIA!B484)</f>
        <v/>
      </c>
      <c r="C484" s="47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48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48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51" t="s">
        <v>146</v>
      </c>
      <c r="G484" s="51" t="s">
        <v>146</v>
      </c>
      <c r="H484" s="50" t="str">
        <f>IF(CARGA_DIARIA!A484="","",C484-D484-E484)</f>
        <v/>
      </c>
    </row>
    <row r="485" spans="1:8" ht="15.75" customHeight="1" x14ac:dyDescent="0.25">
      <c r="A485" s="45" t="str">
        <f>IF(CARGA_DIARIA!A485="","",CARGA_DIARIA!A485)</f>
        <v/>
      </c>
      <c r="B485" s="46" t="str">
        <f>IF(CARGA_DIARIA!A485="","",CARGA_DIARIA!B485)</f>
        <v/>
      </c>
      <c r="C485" s="47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48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48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51" t="s">
        <v>146</v>
      </c>
      <c r="G485" s="51" t="s">
        <v>146</v>
      </c>
      <c r="H485" s="50" t="str">
        <f>IF(CARGA_DIARIA!A485="","",C485-D485-E485)</f>
        <v/>
      </c>
    </row>
    <row r="486" spans="1:8" ht="15.75" customHeight="1" x14ac:dyDescent="0.25">
      <c r="A486" s="45" t="str">
        <f>IF(CARGA_DIARIA!A486="","",CARGA_DIARIA!A486)</f>
        <v/>
      </c>
      <c r="B486" s="46" t="str">
        <f>IF(CARGA_DIARIA!A486="","",CARGA_DIARIA!B486)</f>
        <v/>
      </c>
      <c r="C486" s="47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48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48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51" t="s">
        <v>146</v>
      </c>
      <c r="G486" s="51" t="s">
        <v>146</v>
      </c>
      <c r="H486" s="50" t="str">
        <f>IF(CARGA_DIARIA!A486="","",C486-D486-E486)</f>
        <v/>
      </c>
    </row>
    <row r="487" spans="1:8" ht="15.75" customHeight="1" x14ac:dyDescent="0.25">
      <c r="A487" s="45" t="str">
        <f>IF(CARGA_DIARIA!A487="","",CARGA_DIARIA!A487)</f>
        <v/>
      </c>
      <c r="B487" s="46" t="str">
        <f>IF(CARGA_DIARIA!A487="","",CARGA_DIARIA!B487)</f>
        <v/>
      </c>
      <c r="C487" s="47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48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48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51" t="s">
        <v>146</v>
      </c>
      <c r="G487" s="51" t="s">
        <v>146</v>
      </c>
      <c r="H487" s="50" t="str">
        <f>IF(CARGA_DIARIA!A487="","",C487-D487-E487)</f>
        <v/>
      </c>
    </row>
    <row r="488" spans="1:8" ht="15.75" customHeight="1" x14ac:dyDescent="0.25">
      <c r="A488" s="45" t="str">
        <f>IF(CARGA_DIARIA!A488="","",CARGA_DIARIA!A488)</f>
        <v/>
      </c>
      <c r="B488" s="46" t="str">
        <f>IF(CARGA_DIARIA!A488="","",CARGA_DIARIA!B488)</f>
        <v/>
      </c>
      <c r="C488" s="47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48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48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51" t="s">
        <v>146</v>
      </c>
      <c r="G488" s="51" t="s">
        <v>146</v>
      </c>
      <c r="H488" s="50" t="str">
        <f>IF(CARGA_DIARIA!A488="","",C488-D488-E488)</f>
        <v/>
      </c>
    </row>
    <row r="489" spans="1:8" ht="15.75" customHeight="1" x14ac:dyDescent="0.25">
      <c r="A489" s="45" t="str">
        <f>IF(CARGA_DIARIA!A489="","",CARGA_DIARIA!A489)</f>
        <v/>
      </c>
      <c r="B489" s="46" t="str">
        <f>IF(CARGA_DIARIA!A489="","",CARGA_DIARIA!B489)</f>
        <v/>
      </c>
      <c r="C489" s="47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48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48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51" t="s">
        <v>146</v>
      </c>
      <c r="G489" s="51" t="s">
        <v>146</v>
      </c>
      <c r="H489" s="50" t="str">
        <f>IF(CARGA_DIARIA!A489="","",C489-D489-E489)</f>
        <v/>
      </c>
    </row>
    <row r="490" spans="1:8" ht="15.75" customHeight="1" x14ac:dyDescent="0.25">
      <c r="A490" s="45" t="str">
        <f>IF(CARGA_DIARIA!A490="","",CARGA_DIARIA!A490)</f>
        <v/>
      </c>
      <c r="B490" s="46" t="str">
        <f>IF(CARGA_DIARIA!A490="","",CARGA_DIARIA!B490)</f>
        <v/>
      </c>
      <c r="C490" s="47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48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48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51" t="s">
        <v>146</v>
      </c>
      <c r="G490" s="51" t="s">
        <v>146</v>
      </c>
      <c r="H490" s="50" t="str">
        <f>IF(CARGA_DIARIA!A490="","",C490-D490-E490)</f>
        <v/>
      </c>
    </row>
    <row r="491" spans="1:8" ht="15.75" customHeight="1" x14ac:dyDescent="0.25">
      <c r="A491" s="45" t="str">
        <f>IF(CARGA_DIARIA!A491="","",CARGA_DIARIA!A491)</f>
        <v/>
      </c>
      <c r="B491" s="46" t="str">
        <f>IF(CARGA_DIARIA!A491="","",CARGA_DIARIA!B491)</f>
        <v/>
      </c>
      <c r="C491" s="47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48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48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51" t="s">
        <v>146</v>
      </c>
      <c r="G491" s="51" t="s">
        <v>146</v>
      </c>
      <c r="H491" s="50" t="str">
        <f>IF(CARGA_DIARIA!A491="","",C491-D491-E491)</f>
        <v/>
      </c>
    </row>
    <row r="492" spans="1:8" ht="15.75" customHeight="1" x14ac:dyDescent="0.25">
      <c r="A492" s="45" t="str">
        <f>IF(CARGA_DIARIA!A492="","",CARGA_DIARIA!A492)</f>
        <v/>
      </c>
      <c r="B492" s="46" t="str">
        <f>IF(CARGA_DIARIA!A492="","",CARGA_DIARIA!B492)</f>
        <v/>
      </c>
      <c r="C492" s="47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48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48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51" t="s">
        <v>146</v>
      </c>
      <c r="G492" s="51" t="s">
        <v>146</v>
      </c>
      <c r="H492" s="50" t="str">
        <f>IF(CARGA_DIARIA!A492="","",C492-D492-E492)</f>
        <v/>
      </c>
    </row>
    <row r="493" spans="1:8" ht="15.75" customHeight="1" x14ac:dyDescent="0.25">
      <c r="A493" s="45" t="str">
        <f>IF(CARGA_DIARIA!A493="","",CARGA_DIARIA!A493)</f>
        <v/>
      </c>
      <c r="B493" s="46" t="str">
        <f>IF(CARGA_DIARIA!A493="","",CARGA_DIARIA!B493)</f>
        <v/>
      </c>
      <c r="C493" s="47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48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48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51" t="s">
        <v>146</v>
      </c>
      <c r="G493" s="51" t="s">
        <v>146</v>
      </c>
      <c r="H493" s="50" t="str">
        <f>IF(CARGA_DIARIA!A493="","",C493-D493-E493)</f>
        <v/>
      </c>
    </row>
    <row r="494" spans="1:8" ht="15.75" customHeight="1" x14ac:dyDescent="0.25">
      <c r="A494" s="45" t="str">
        <f>IF(CARGA_DIARIA!A494="","",CARGA_DIARIA!A494)</f>
        <v/>
      </c>
      <c r="B494" s="46" t="str">
        <f>IF(CARGA_DIARIA!A494="","",CARGA_DIARIA!B494)</f>
        <v/>
      </c>
      <c r="C494" s="47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48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48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51" t="s">
        <v>146</v>
      </c>
      <c r="G494" s="51" t="s">
        <v>146</v>
      </c>
      <c r="H494" s="50" t="str">
        <f>IF(CARGA_DIARIA!A494="","",C494-D494-E494)</f>
        <v/>
      </c>
    </row>
    <row r="495" spans="1:8" ht="15.75" customHeight="1" x14ac:dyDescent="0.25">
      <c r="A495" s="45" t="str">
        <f>IF(CARGA_DIARIA!A495="","",CARGA_DIARIA!A495)</f>
        <v/>
      </c>
      <c r="B495" s="46" t="str">
        <f>IF(CARGA_DIARIA!A495="","",CARGA_DIARIA!B495)</f>
        <v/>
      </c>
      <c r="C495" s="47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48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48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51" t="s">
        <v>146</v>
      </c>
      <c r="G495" s="51" t="s">
        <v>146</v>
      </c>
      <c r="H495" s="50" t="str">
        <f>IF(CARGA_DIARIA!A495="","",C495-D495-E495)</f>
        <v/>
      </c>
    </row>
    <row r="496" spans="1:8" ht="15.75" customHeight="1" x14ac:dyDescent="0.25">
      <c r="A496" s="45" t="str">
        <f>IF(CARGA_DIARIA!A496="","",CARGA_DIARIA!A496)</f>
        <v/>
      </c>
      <c r="B496" s="46" t="str">
        <f>IF(CARGA_DIARIA!A496="","",CARGA_DIARIA!B496)</f>
        <v/>
      </c>
      <c r="C496" s="47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48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48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51" t="s">
        <v>146</v>
      </c>
      <c r="G496" s="51" t="s">
        <v>146</v>
      </c>
      <c r="H496" s="50" t="str">
        <f>IF(CARGA_DIARIA!A496="","",C496-D496-E496)</f>
        <v/>
      </c>
    </row>
    <row r="497" spans="1:8" ht="15.75" customHeight="1" x14ac:dyDescent="0.25">
      <c r="A497" s="45" t="str">
        <f>IF(CARGA_DIARIA!A497="","",CARGA_DIARIA!A497)</f>
        <v/>
      </c>
      <c r="B497" s="46" t="str">
        <f>IF(CARGA_DIARIA!A497="","",CARGA_DIARIA!B497)</f>
        <v/>
      </c>
      <c r="C497" s="47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48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48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51" t="s">
        <v>146</v>
      </c>
      <c r="G497" s="51" t="s">
        <v>146</v>
      </c>
      <c r="H497" s="50" t="str">
        <f>IF(CARGA_DIARIA!A497="","",C497-D497-E497)</f>
        <v/>
      </c>
    </row>
    <row r="498" spans="1:8" ht="15.75" customHeight="1" x14ac:dyDescent="0.25">
      <c r="A498" s="45" t="str">
        <f>IF(CARGA_DIARIA!A498="","",CARGA_DIARIA!A498)</f>
        <v/>
      </c>
      <c r="B498" s="46" t="str">
        <f>IF(CARGA_DIARIA!A498="","",CARGA_DIARIA!B498)</f>
        <v/>
      </c>
      <c r="C498" s="47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48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48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51" t="s">
        <v>146</v>
      </c>
      <c r="G498" s="51" t="s">
        <v>146</v>
      </c>
      <c r="H498" s="50" t="str">
        <f>IF(CARGA_DIARIA!A498="","",C498-D498-E498)</f>
        <v/>
      </c>
    </row>
    <row r="499" spans="1:8" ht="15.75" customHeight="1" x14ac:dyDescent="0.25">
      <c r="A499" s="45" t="str">
        <f>IF(CARGA_DIARIA!A499="","",CARGA_DIARIA!A499)</f>
        <v/>
      </c>
      <c r="B499" s="46" t="str">
        <f>IF(CARGA_DIARIA!A499="","",CARGA_DIARIA!B499)</f>
        <v/>
      </c>
      <c r="C499" s="47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48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48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51" t="s">
        <v>146</v>
      </c>
      <c r="G499" s="51" t="s">
        <v>146</v>
      </c>
      <c r="H499" s="50" t="str">
        <f>IF(CARGA_DIARIA!A499="","",C499-D499-E499)</f>
        <v/>
      </c>
    </row>
    <row r="500" spans="1:8" ht="15.75" customHeight="1" x14ac:dyDescent="0.25">
      <c r="A500" s="45" t="str">
        <f>IF(CARGA_DIARIA!A500="","",CARGA_DIARIA!A500)</f>
        <v/>
      </c>
      <c r="B500" s="46" t="str">
        <f>IF(CARGA_DIARIA!A500="","",CARGA_DIARIA!B500)</f>
        <v/>
      </c>
      <c r="C500" s="47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48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48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51" t="s">
        <v>146</v>
      </c>
      <c r="G500" s="51" t="s">
        <v>146</v>
      </c>
      <c r="H500" s="50" t="str">
        <f>IF(CARGA_DIARIA!A500="","",C500-D500-E500)</f>
        <v/>
      </c>
    </row>
    <row r="501" spans="1:8" ht="15.75" customHeight="1" x14ac:dyDescent="0.25">
      <c r="A501" s="45" t="str">
        <f>IF(CARGA_DIARIA!A501="","",CARGA_DIARIA!A501)</f>
        <v/>
      </c>
      <c r="B501" s="46" t="str">
        <f>IF(CARGA_DIARIA!A501="","",CARGA_DIARIA!B501)</f>
        <v/>
      </c>
      <c r="C501" s="47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48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48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51" t="s">
        <v>146</v>
      </c>
      <c r="G501" s="51" t="s">
        <v>146</v>
      </c>
      <c r="H501" s="50" t="str">
        <f>IF(CARGA_DIARIA!A501="","",C501-D501-E501)</f>
        <v/>
      </c>
    </row>
    <row r="502" spans="1:8" ht="15.75" customHeight="1" x14ac:dyDescent="0.25">
      <c r="A502" s="45" t="str">
        <f>IF(CARGA_DIARIA!A502="","",CARGA_DIARIA!A502)</f>
        <v/>
      </c>
      <c r="B502" s="46" t="str">
        <f>IF(CARGA_DIARIA!A502="","",CARGA_DIARIA!B502)</f>
        <v/>
      </c>
      <c r="C502" s="47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48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48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51" t="s">
        <v>146</v>
      </c>
      <c r="G502" s="51" t="s">
        <v>146</v>
      </c>
      <c r="H502" s="50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9" t="s">
        <v>147</v>
      </c>
      <c r="B1" s="9"/>
      <c r="C1" s="9"/>
      <c r="D1" s="9"/>
      <c r="E1" s="9"/>
      <c r="F1" s="9"/>
      <c r="G1" s="9"/>
    </row>
    <row r="2" spans="1:7" ht="15.75" customHeight="1" x14ac:dyDescent="0.25">
      <c r="A2" s="2" t="s">
        <v>148</v>
      </c>
      <c r="B2" s="2"/>
      <c r="C2" s="2"/>
      <c r="D2" s="2"/>
      <c r="E2" s="2"/>
      <c r="F2" s="2"/>
      <c r="G2" s="2"/>
    </row>
    <row r="3" spans="1:7" ht="30" customHeight="1" x14ac:dyDescent="0.25">
      <c r="A3" s="31" t="s">
        <v>149</v>
      </c>
      <c r="B3" s="31" t="s">
        <v>150</v>
      </c>
      <c r="C3" s="31" t="s">
        <v>125</v>
      </c>
      <c r="D3" s="31" t="s">
        <v>151</v>
      </c>
      <c r="E3" s="31" t="s">
        <v>152</v>
      </c>
      <c r="F3" s="31" t="s">
        <v>153</v>
      </c>
      <c r="G3" s="31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25">
        <v>46127</v>
      </c>
      <c r="E4" s="79">
        <v>46127</v>
      </c>
      <c r="F4" s="52">
        <f>IF(E4="","",E4+2)</f>
        <v>46129</v>
      </c>
      <c r="G4" s="39"/>
    </row>
    <row r="5" spans="1:7" ht="15.75" customHeight="1" x14ac:dyDescent="0.25">
      <c r="A5" t="s">
        <v>701</v>
      </c>
      <c r="B5">
        <v>13111470</v>
      </c>
      <c r="C5">
        <v>3224950</v>
      </c>
      <c r="D5" s="25">
        <v>46127</v>
      </c>
      <c r="E5" s="79">
        <v>46132</v>
      </c>
      <c r="F5" s="52">
        <f t="shared" ref="F5:F68" si="0">IF(E5="","",E5+2)</f>
        <v>46134</v>
      </c>
      <c r="G5" s="39"/>
    </row>
    <row r="6" spans="1:7" ht="15.75" customHeight="1" x14ac:dyDescent="0.25">
      <c r="A6" t="s">
        <v>702</v>
      </c>
      <c r="B6">
        <v>78055914</v>
      </c>
      <c r="C6">
        <v>1130000</v>
      </c>
      <c r="D6" s="25">
        <v>46127</v>
      </c>
      <c r="E6" s="79">
        <v>46146</v>
      </c>
      <c r="F6" s="52">
        <f t="shared" si="0"/>
        <v>46148</v>
      </c>
      <c r="G6" s="39"/>
    </row>
    <row r="7" spans="1:7" ht="15.75" customHeight="1" x14ac:dyDescent="0.25">
      <c r="A7" t="s">
        <v>701</v>
      </c>
      <c r="B7">
        <v>12924495</v>
      </c>
      <c r="C7">
        <v>4981600</v>
      </c>
      <c r="D7" s="25">
        <v>46127</v>
      </c>
      <c r="E7" s="79">
        <v>46147</v>
      </c>
      <c r="F7" s="52">
        <f t="shared" si="0"/>
        <v>46149</v>
      </c>
      <c r="G7" s="39"/>
    </row>
    <row r="8" spans="1:7" ht="15.75" customHeight="1" x14ac:dyDescent="0.25">
      <c r="A8" t="s">
        <v>700</v>
      </c>
      <c r="B8">
        <v>65636545</v>
      </c>
      <c r="C8">
        <v>2800000</v>
      </c>
      <c r="D8" s="25">
        <v>46127</v>
      </c>
      <c r="E8" s="79">
        <v>46149</v>
      </c>
      <c r="F8" s="52">
        <f t="shared" si="0"/>
        <v>46151</v>
      </c>
      <c r="G8" s="39"/>
    </row>
    <row r="9" spans="1:7" ht="15.75" customHeight="1" x14ac:dyDescent="0.25">
      <c r="A9" t="s">
        <v>703</v>
      </c>
      <c r="B9">
        <v>61747693</v>
      </c>
      <c r="C9">
        <v>7588800</v>
      </c>
      <c r="D9" s="25">
        <v>46127</v>
      </c>
      <c r="E9" s="79">
        <v>46150</v>
      </c>
      <c r="F9" s="52">
        <f t="shared" si="0"/>
        <v>46152</v>
      </c>
      <c r="G9" s="39"/>
    </row>
    <row r="10" spans="1:7" ht="15.75" customHeight="1" x14ac:dyDescent="0.25">
      <c r="A10" t="s">
        <v>704</v>
      </c>
      <c r="B10">
        <v>5235</v>
      </c>
      <c r="C10">
        <v>585630</v>
      </c>
      <c r="D10" s="25">
        <v>46127</v>
      </c>
      <c r="E10" s="79">
        <v>46150</v>
      </c>
      <c r="F10" s="52">
        <f t="shared" si="0"/>
        <v>46152</v>
      </c>
      <c r="G10" s="39"/>
    </row>
    <row r="11" spans="1:7" ht="15.75" customHeight="1" x14ac:dyDescent="0.25">
      <c r="A11" t="s">
        <v>702</v>
      </c>
      <c r="B11">
        <v>78055918</v>
      </c>
      <c r="C11">
        <v>900000</v>
      </c>
      <c r="D11" s="25">
        <v>46127</v>
      </c>
      <c r="E11" s="79">
        <v>46150</v>
      </c>
      <c r="F11" s="52">
        <f t="shared" si="0"/>
        <v>46152</v>
      </c>
      <c r="G11" s="39"/>
    </row>
    <row r="12" spans="1:7" ht="15.75" customHeight="1" x14ac:dyDescent="0.25">
      <c r="A12" t="s">
        <v>701</v>
      </c>
      <c r="B12">
        <v>12924512</v>
      </c>
      <c r="C12">
        <v>10000000</v>
      </c>
      <c r="D12" s="25">
        <v>46127</v>
      </c>
      <c r="E12" s="79">
        <v>46153</v>
      </c>
      <c r="F12" s="52">
        <f t="shared" si="0"/>
        <v>46155</v>
      </c>
      <c r="G12" s="39"/>
    </row>
    <row r="13" spans="1:7" ht="15.75" customHeight="1" x14ac:dyDescent="0.25">
      <c r="A13" t="s">
        <v>705</v>
      </c>
      <c r="B13">
        <v>6972</v>
      </c>
      <c r="C13">
        <v>17428000</v>
      </c>
      <c r="D13" s="25">
        <v>46127</v>
      </c>
      <c r="E13" s="79">
        <v>46153</v>
      </c>
      <c r="F13" s="52">
        <f t="shared" si="0"/>
        <v>46155</v>
      </c>
      <c r="G13" s="39"/>
    </row>
    <row r="14" spans="1:7" ht="15.75" customHeight="1" x14ac:dyDescent="0.25">
      <c r="A14" t="s">
        <v>702</v>
      </c>
      <c r="B14">
        <v>78055919</v>
      </c>
      <c r="C14">
        <v>1080000</v>
      </c>
      <c r="D14" s="25">
        <v>46127</v>
      </c>
      <c r="E14" s="79">
        <v>46153</v>
      </c>
      <c r="F14" s="52">
        <f t="shared" si="0"/>
        <v>46155</v>
      </c>
      <c r="G14" s="39"/>
    </row>
    <row r="15" spans="1:7" ht="15.75" customHeight="1" x14ac:dyDescent="0.25">
      <c r="A15" t="s">
        <v>701</v>
      </c>
      <c r="B15">
        <v>12924513</v>
      </c>
      <c r="C15">
        <v>10000000</v>
      </c>
      <c r="D15" s="25">
        <v>46127</v>
      </c>
      <c r="E15" s="79">
        <v>46154</v>
      </c>
      <c r="F15" s="52">
        <f t="shared" si="0"/>
        <v>46156</v>
      </c>
      <c r="G15" s="39"/>
    </row>
    <row r="16" spans="1:7" ht="15.75" customHeight="1" x14ac:dyDescent="0.25">
      <c r="A16" t="s">
        <v>701</v>
      </c>
      <c r="B16">
        <v>12924514</v>
      </c>
      <c r="C16">
        <v>10000000</v>
      </c>
      <c r="D16" s="25">
        <v>46127</v>
      </c>
      <c r="E16" s="79">
        <v>46155</v>
      </c>
      <c r="F16" s="52">
        <f t="shared" si="0"/>
        <v>46157</v>
      </c>
      <c r="G16" s="39"/>
    </row>
    <row r="17" spans="1:7" ht="15.75" customHeight="1" x14ac:dyDescent="0.25">
      <c r="A17" t="s">
        <v>706</v>
      </c>
      <c r="B17">
        <v>13378006</v>
      </c>
      <c r="C17">
        <v>3100000</v>
      </c>
      <c r="D17" s="25">
        <v>46127</v>
      </c>
      <c r="E17" s="79">
        <v>46156</v>
      </c>
      <c r="F17" s="52">
        <f t="shared" si="0"/>
        <v>46158</v>
      </c>
      <c r="G17" s="39"/>
    </row>
    <row r="18" spans="1:7" ht="15.75" customHeight="1" x14ac:dyDescent="0.25">
      <c r="A18" t="s">
        <v>706</v>
      </c>
      <c r="B18">
        <v>13378021</v>
      </c>
      <c r="C18">
        <v>2200000</v>
      </c>
      <c r="D18" s="25">
        <v>46127</v>
      </c>
      <c r="E18" s="79">
        <v>46156</v>
      </c>
      <c r="F18" s="52">
        <f t="shared" si="0"/>
        <v>46158</v>
      </c>
      <c r="G18" s="39"/>
    </row>
    <row r="19" spans="1:7" ht="15.75" customHeight="1" x14ac:dyDescent="0.25">
      <c r="A19" t="s">
        <v>702</v>
      </c>
      <c r="B19">
        <v>78055865</v>
      </c>
      <c r="C19">
        <v>1325000</v>
      </c>
      <c r="D19" s="25">
        <v>46127</v>
      </c>
      <c r="E19" s="79">
        <v>46156</v>
      </c>
      <c r="F19" s="52">
        <f t="shared" si="0"/>
        <v>46158</v>
      </c>
      <c r="G19" s="39"/>
    </row>
    <row r="20" spans="1:7" ht="15.75" customHeight="1" x14ac:dyDescent="0.25">
      <c r="A20" t="s">
        <v>701</v>
      </c>
      <c r="B20">
        <v>12924515</v>
      </c>
      <c r="C20">
        <v>10000000</v>
      </c>
      <c r="D20" s="25">
        <v>46127</v>
      </c>
      <c r="E20" s="79">
        <v>46156</v>
      </c>
      <c r="F20" s="52">
        <f t="shared" si="0"/>
        <v>46158</v>
      </c>
      <c r="G20" s="39"/>
    </row>
    <row r="21" spans="1:7" ht="15.75" customHeight="1" x14ac:dyDescent="0.25">
      <c r="A21" t="s">
        <v>704</v>
      </c>
      <c r="B21">
        <v>4959</v>
      </c>
      <c r="C21">
        <v>3118540</v>
      </c>
      <c r="D21" s="25">
        <v>46127</v>
      </c>
      <c r="E21" s="79">
        <v>46156</v>
      </c>
      <c r="F21" s="52">
        <f t="shared" si="0"/>
        <v>46158</v>
      </c>
      <c r="G21" s="39"/>
    </row>
    <row r="22" spans="1:7" ht="15.75" customHeight="1" x14ac:dyDescent="0.25">
      <c r="A22" t="s">
        <v>702</v>
      </c>
      <c r="B22">
        <v>78055890</v>
      </c>
      <c r="C22">
        <v>890000</v>
      </c>
      <c r="D22" s="25">
        <v>46127</v>
      </c>
      <c r="E22" s="79">
        <v>46156</v>
      </c>
      <c r="F22" s="52">
        <f t="shared" si="0"/>
        <v>46158</v>
      </c>
      <c r="G22" s="39"/>
    </row>
    <row r="23" spans="1:7" ht="15.75" customHeight="1" x14ac:dyDescent="0.25">
      <c r="A23" t="s">
        <v>702</v>
      </c>
      <c r="B23">
        <v>8055882</v>
      </c>
      <c r="C23">
        <v>500000</v>
      </c>
      <c r="D23" s="25">
        <v>46127</v>
      </c>
      <c r="E23" s="79">
        <v>46156</v>
      </c>
      <c r="F23" s="52">
        <f t="shared" si="0"/>
        <v>46158</v>
      </c>
      <c r="G23" s="39"/>
    </row>
    <row r="24" spans="1:7" ht="15.75" customHeight="1" x14ac:dyDescent="0.25">
      <c r="A24" t="s">
        <v>706</v>
      </c>
      <c r="B24">
        <v>13378022</v>
      </c>
      <c r="C24">
        <v>2200000</v>
      </c>
      <c r="D24" s="25">
        <v>46127</v>
      </c>
      <c r="E24" s="79">
        <v>46157</v>
      </c>
      <c r="F24" s="52">
        <f t="shared" si="0"/>
        <v>46159</v>
      </c>
      <c r="G24" s="39"/>
    </row>
    <row r="25" spans="1:7" ht="15.75" customHeight="1" x14ac:dyDescent="0.25">
      <c r="A25" t="s">
        <v>702</v>
      </c>
      <c r="B25">
        <v>78055866</v>
      </c>
      <c r="C25">
        <v>1325000</v>
      </c>
      <c r="D25" s="25">
        <v>46127</v>
      </c>
      <c r="E25" s="79">
        <v>46157</v>
      </c>
      <c r="F25" s="52">
        <f t="shared" si="0"/>
        <v>46159</v>
      </c>
      <c r="G25" s="39"/>
    </row>
    <row r="26" spans="1:7" ht="15.75" customHeight="1" x14ac:dyDescent="0.25">
      <c r="A26" t="s">
        <v>705</v>
      </c>
      <c r="B26">
        <v>6769</v>
      </c>
      <c r="C26">
        <v>17049600</v>
      </c>
      <c r="D26" s="25">
        <v>46127</v>
      </c>
      <c r="E26" s="79">
        <v>46157</v>
      </c>
      <c r="F26" s="52">
        <f t="shared" si="0"/>
        <v>46159</v>
      </c>
      <c r="G26" s="39"/>
    </row>
    <row r="27" spans="1:7" ht="15.75" customHeight="1" x14ac:dyDescent="0.25">
      <c r="A27" t="s">
        <v>701</v>
      </c>
      <c r="B27">
        <v>12924516</v>
      </c>
      <c r="C27">
        <v>10000000</v>
      </c>
      <c r="D27" s="25">
        <v>46127</v>
      </c>
      <c r="E27" s="79">
        <v>46157</v>
      </c>
      <c r="F27" s="52">
        <f t="shared" si="0"/>
        <v>46159</v>
      </c>
      <c r="G27" s="39"/>
    </row>
    <row r="28" spans="1:7" ht="15.75" customHeight="1" x14ac:dyDescent="0.25">
      <c r="A28" t="s">
        <v>707</v>
      </c>
      <c r="B28">
        <v>29117288</v>
      </c>
      <c r="C28">
        <v>10000000</v>
      </c>
      <c r="D28" s="25">
        <v>46127</v>
      </c>
      <c r="E28" s="79">
        <v>46157</v>
      </c>
      <c r="F28" s="52">
        <f t="shared" si="0"/>
        <v>46159</v>
      </c>
      <c r="G28" s="39"/>
    </row>
    <row r="29" spans="1:7" ht="15.75" customHeight="1" x14ac:dyDescent="0.25">
      <c r="A29" t="s">
        <v>708</v>
      </c>
      <c r="B29">
        <v>4540</v>
      </c>
      <c r="C29">
        <v>891750</v>
      </c>
      <c r="D29" s="25">
        <v>46127</v>
      </c>
      <c r="E29" s="79">
        <v>46157</v>
      </c>
      <c r="F29" s="52">
        <f t="shared" si="0"/>
        <v>46159</v>
      </c>
      <c r="G29" s="39"/>
    </row>
    <row r="30" spans="1:7" ht="15.75" customHeight="1" x14ac:dyDescent="0.25">
      <c r="A30" t="s">
        <v>708</v>
      </c>
      <c r="B30">
        <v>4574</v>
      </c>
      <c r="C30">
        <v>1300000</v>
      </c>
      <c r="D30" s="25">
        <v>46127</v>
      </c>
      <c r="E30" s="79">
        <v>46157</v>
      </c>
      <c r="F30" s="52">
        <f t="shared" si="0"/>
        <v>46159</v>
      </c>
      <c r="G30" s="39"/>
    </row>
    <row r="31" spans="1:7" ht="15.75" customHeight="1" x14ac:dyDescent="0.25">
      <c r="A31" t="s">
        <v>707</v>
      </c>
      <c r="B31">
        <v>3360</v>
      </c>
      <c r="C31">
        <v>2190000</v>
      </c>
      <c r="D31" s="25">
        <v>46127</v>
      </c>
      <c r="E31" s="79">
        <v>46157</v>
      </c>
      <c r="F31" s="52">
        <f t="shared" si="0"/>
        <v>46159</v>
      </c>
      <c r="G31" s="39"/>
    </row>
    <row r="32" spans="1:7" ht="15.75" customHeight="1" x14ac:dyDescent="0.25">
      <c r="A32" t="s">
        <v>702</v>
      </c>
      <c r="B32">
        <v>78055883</v>
      </c>
      <c r="C32">
        <v>500000</v>
      </c>
      <c r="D32" s="25">
        <v>46127</v>
      </c>
      <c r="E32" s="79">
        <v>46157</v>
      </c>
      <c r="F32" s="52">
        <f t="shared" si="0"/>
        <v>46159</v>
      </c>
      <c r="G32" s="39"/>
    </row>
    <row r="33" spans="1:7" ht="15.75" customHeight="1" x14ac:dyDescent="0.25">
      <c r="A33" t="s">
        <v>702</v>
      </c>
      <c r="B33">
        <v>78055891</v>
      </c>
      <c r="C33">
        <v>890000</v>
      </c>
      <c r="D33" s="25">
        <v>46127</v>
      </c>
      <c r="E33" s="79">
        <v>46157</v>
      </c>
      <c r="F33" s="52">
        <f t="shared" si="0"/>
        <v>46159</v>
      </c>
      <c r="G33" s="39"/>
    </row>
    <row r="34" spans="1:7" ht="15.75" customHeight="1" x14ac:dyDescent="0.25">
      <c r="A34" t="s">
        <v>709</v>
      </c>
      <c r="B34">
        <v>122</v>
      </c>
      <c r="C34">
        <v>3000261.82</v>
      </c>
      <c r="D34" s="25">
        <v>46127</v>
      </c>
      <c r="E34" s="79">
        <v>46157</v>
      </c>
      <c r="F34" s="52">
        <f t="shared" si="0"/>
        <v>46159</v>
      </c>
      <c r="G34" s="39"/>
    </row>
    <row r="35" spans="1:7" ht="15.75" customHeight="1" x14ac:dyDescent="0.25">
      <c r="A35" t="s">
        <v>709</v>
      </c>
      <c r="B35">
        <v>123</v>
      </c>
      <c r="C35">
        <v>3870000</v>
      </c>
      <c r="D35" s="25">
        <v>46127</v>
      </c>
      <c r="E35" s="79">
        <v>46157</v>
      </c>
      <c r="F35" s="52">
        <f t="shared" si="0"/>
        <v>46159</v>
      </c>
      <c r="G35" s="39"/>
    </row>
    <row r="36" spans="1:7" ht="15.75" customHeight="1" x14ac:dyDescent="0.25">
      <c r="A36" t="s">
        <v>709</v>
      </c>
      <c r="B36">
        <v>124</v>
      </c>
      <c r="C36">
        <v>4000000</v>
      </c>
      <c r="D36" s="25">
        <v>46127</v>
      </c>
      <c r="E36" s="79">
        <v>46157</v>
      </c>
      <c r="F36" s="52">
        <f t="shared" si="0"/>
        <v>46159</v>
      </c>
      <c r="G36" s="39"/>
    </row>
    <row r="37" spans="1:7" ht="15.75" customHeight="1" x14ac:dyDescent="0.25">
      <c r="A37" t="s">
        <v>710</v>
      </c>
      <c r="B37">
        <v>66486728</v>
      </c>
      <c r="C37">
        <v>4528200</v>
      </c>
      <c r="D37" s="25">
        <v>46127</v>
      </c>
      <c r="E37" s="79">
        <v>46157</v>
      </c>
      <c r="F37" s="52">
        <f t="shared" si="0"/>
        <v>46159</v>
      </c>
      <c r="G37" s="39"/>
    </row>
    <row r="38" spans="1:7" ht="15.75" customHeight="1" x14ac:dyDescent="0.25">
      <c r="A38" t="s">
        <v>703</v>
      </c>
      <c r="B38">
        <v>61747694</v>
      </c>
      <c r="C38">
        <v>7365600</v>
      </c>
      <c r="D38" s="25">
        <v>46127</v>
      </c>
      <c r="E38" s="79">
        <v>46157</v>
      </c>
      <c r="F38" s="52">
        <f t="shared" si="0"/>
        <v>46159</v>
      </c>
      <c r="G38" s="39"/>
    </row>
    <row r="39" spans="1:7" ht="15.75" customHeight="1" x14ac:dyDescent="0.25">
      <c r="A39" t="s">
        <v>708</v>
      </c>
      <c r="B39">
        <v>4628</v>
      </c>
      <c r="C39">
        <v>1300000</v>
      </c>
      <c r="D39" s="25">
        <v>46127</v>
      </c>
      <c r="E39" s="79">
        <v>46157</v>
      </c>
      <c r="F39" s="52">
        <f t="shared" si="0"/>
        <v>46159</v>
      </c>
      <c r="G39" s="39"/>
    </row>
    <row r="40" spans="1:7" ht="15.75" customHeight="1" x14ac:dyDescent="0.25">
      <c r="A40" t="s">
        <v>711</v>
      </c>
      <c r="B40">
        <v>3436586</v>
      </c>
      <c r="C40">
        <v>1800000</v>
      </c>
      <c r="D40" s="25">
        <v>46127</v>
      </c>
      <c r="E40" s="79">
        <v>46160</v>
      </c>
      <c r="F40" s="52">
        <f t="shared" si="0"/>
        <v>46162</v>
      </c>
      <c r="G40" s="39"/>
    </row>
    <row r="41" spans="1:7" ht="15.75" customHeight="1" x14ac:dyDescent="0.25">
      <c r="A41" t="s">
        <v>711</v>
      </c>
      <c r="B41">
        <v>3436587</v>
      </c>
      <c r="C41">
        <v>1850000</v>
      </c>
      <c r="D41" s="25">
        <v>46127</v>
      </c>
      <c r="E41" s="79">
        <v>46160</v>
      </c>
      <c r="F41" s="52">
        <f t="shared" si="0"/>
        <v>46162</v>
      </c>
      <c r="G41" s="39"/>
    </row>
    <row r="42" spans="1:7" ht="15.75" customHeight="1" x14ac:dyDescent="0.25">
      <c r="A42" t="s">
        <v>702</v>
      </c>
      <c r="B42">
        <v>78055867</v>
      </c>
      <c r="C42">
        <v>1324500</v>
      </c>
      <c r="D42" s="25">
        <v>46127</v>
      </c>
      <c r="E42" s="79">
        <v>46160</v>
      </c>
      <c r="F42" s="52">
        <f t="shared" si="0"/>
        <v>46162</v>
      </c>
      <c r="G42" s="39"/>
    </row>
    <row r="43" spans="1:7" ht="15.75" customHeight="1" x14ac:dyDescent="0.25">
      <c r="A43" t="s">
        <v>712</v>
      </c>
      <c r="B43">
        <v>9487743</v>
      </c>
      <c r="C43">
        <v>12220447.59</v>
      </c>
      <c r="D43" s="25">
        <v>46127</v>
      </c>
      <c r="E43" s="79">
        <v>46160</v>
      </c>
      <c r="F43" s="52">
        <f t="shared" si="0"/>
        <v>46162</v>
      </c>
      <c r="G43" s="39"/>
    </row>
    <row r="44" spans="1:7" ht="15.75" customHeight="1" x14ac:dyDescent="0.25">
      <c r="A44" t="s">
        <v>701</v>
      </c>
      <c r="B44">
        <v>12924517</v>
      </c>
      <c r="C44">
        <v>7374980</v>
      </c>
      <c r="D44" s="25">
        <v>46127</v>
      </c>
      <c r="E44" s="79">
        <v>46160</v>
      </c>
      <c r="F44" s="52">
        <f t="shared" si="0"/>
        <v>46162</v>
      </c>
      <c r="G44" s="39"/>
    </row>
    <row r="45" spans="1:7" ht="15.75" customHeight="1" x14ac:dyDescent="0.25">
      <c r="A45" t="s">
        <v>708</v>
      </c>
      <c r="B45">
        <v>4575</v>
      </c>
      <c r="C45">
        <v>1300000</v>
      </c>
      <c r="D45" s="25">
        <v>46127</v>
      </c>
      <c r="E45" s="79">
        <v>46160</v>
      </c>
      <c r="F45" s="52">
        <f t="shared" si="0"/>
        <v>46162</v>
      </c>
      <c r="G45" s="39"/>
    </row>
    <row r="46" spans="1:7" ht="15.75" customHeight="1" x14ac:dyDescent="0.25">
      <c r="A46" t="s">
        <v>713</v>
      </c>
      <c r="B46">
        <v>674</v>
      </c>
      <c r="C46">
        <v>4500000</v>
      </c>
      <c r="D46" s="25">
        <v>46127</v>
      </c>
      <c r="E46" s="79">
        <v>46160</v>
      </c>
      <c r="F46" s="52">
        <f t="shared" si="0"/>
        <v>46162</v>
      </c>
      <c r="G46" s="39"/>
    </row>
    <row r="47" spans="1:7" ht="15.75" customHeight="1" x14ac:dyDescent="0.25">
      <c r="A47" t="s">
        <v>713</v>
      </c>
      <c r="B47">
        <v>675</v>
      </c>
      <c r="C47">
        <v>4500000</v>
      </c>
      <c r="D47" s="25">
        <v>46127</v>
      </c>
      <c r="E47" s="79">
        <v>46160</v>
      </c>
      <c r="F47" s="52">
        <f t="shared" si="0"/>
        <v>46162</v>
      </c>
      <c r="G47" s="39"/>
    </row>
    <row r="48" spans="1:7" ht="15.75" customHeight="1" x14ac:dyDescent="0.25">
      <c r="A48" t="s">
        <v>713</v>
      </c>
      <c r="B48">
        <v>676</v>
      </c>
      <c r="C48">
        <v>3724600</v>
      </c>
      <c r="D48" s="25">
        <v>46127</v>
      </c>
      <c r="E48" s="79">
        <v>46160</v>
      </c>
      <c r="F48" s="52">
        <f t="shared" si="0"/>
        <v>46162</v>
      </c>
      <c r="G48" s="39"/>
    </row>
    <row r="49" spans="1:7" ht="15.75" customHeight="1" x14ac:dyDescent="0.25">
      <c r="A49" t="s">
        <v>713</v>
      </c>
      <c r="B49">
        <v>677</v>
      </c>
      <c r="C49">
        <v>4500000</v>
      </c>
      <c r="D49" s="25">
        <v>46127</v>
      </c>
      <c r="E49" s="79">
        <v>46160</v>
      </c>
      <c r="F49" s="52">
        <f t="shared" si="0"/>
        <v>46162</v>
      </c>
      <c r="G49" s="39"/>
    </row>
    <row r="50" spans="1:7" ht="15.75" customHeight="1" x14ac:dyDescent="0.25">
      <c r="A50" t="s">
        <v>714</v>
      </c>
      <c r="B50">
        <v>66288756</v>
      </c>
      <c r="C50">
        <v>10766250</v>
      </c>
      <c r="D50" s="25">
        <v>46127</v>
      </c>
      <c r="E50" s="79">
        <v>46160</v>
      </c>
      <c r="F50" s="52">
        <f t="shared" si="0"/>
        <v>46162</v>
      </c>
      <c r="G50" s="39"/>
    </row>
    <row r="51" spans="1:7" ht="15.75" customHeight="1" x14ac:dyDescent="0.25">
      <c r="A51" t="s">
        <v>714</v>
      </c>
      <c r="B51">
        <v>66288779</v>
      </c>
      <c r="C51">
        <v>9000000</v>
      </c>
      <c r="D51" s="25">
        <v>46127</v>
      </c>
      <c r="E51" s="79">
        <v>46160</v>
      </c>
      <c r="F51" s="52">
        <f t="shared" si="0"/>
        <v>46162</v>
      </c>
      <c r="G51" s="39"/>
    </row>
    <row r="52" spans="1:7" ht="15.75" customHeight="1" x14ac:dyDescent="0.25">
      <c r="A52" t="s">
        <v>715</v>
      </c>
      <c r="B52">
        <v>29133200</v>
      </c>
      <c r="C52">
        <v>9455600</v>
      </c>
      <c r="D52" s="25">
        <v>46127</v>
      </c>
      <c r="E52" s="79">
        <v>46160</v>
      </c>
      <c r="F52" s="52">
        <f t="shared" si="0"/>
        <v>46162</v>
      </c>
      <c r="G52" s="39"/>
    </row>
    <row r="53" spans="1:7" ht="15.75" customHeight="1" x14ac:dyDescent="0.25">
      <c r="A53" t="s">
        <v>704</v>
      </c>
      <c r="B53">
        <v>4960</v>
      </c>
      <c r="C53">
        <v>1864135</v>
      </c>
      <c r="D53" s="25">
        <v>46127</v>
      </c>
      <c r="E53" s="79">
        <v>46160</v>
      </c>
      <c r="F53" s="52">
        <f t="shared" si="0"/>
        <v>46162</v>
      </c>
      <c r="G53" s="39"/>
    </row>
    <row r="54" spans="1:7" ht="15.75" customHeight="1" x14ac:dyDescent="0.25">
      <c r="A54" t="s">
        <v>702</v>
      </c>
      <c r="B54">
        <v>78055884</v>
      </c>
      <c r="C54">
        <v>500000</v>
      </c>
      <c r="D54" s="25">
        <v>46127</v>
      </c>
      <c r="E54" s="79">
        <v>46160</v>
      </c>
      <c r="F54" s="52">
        <f t="shared" si="0"/>
        <v>46162</v>
      </c>
      <c r="G54" s="39"/>
    </row>
    <row r="55" spans="1:7" ht="15.75" customHeight="1" x14ac:dyDescent="0.25">
      <c r="A55" t="s">
        <v>702</v>
      </c>
      <c r="B55">
        <v>78055892</v>
      </c>
      <c r="C55">
        <v>890000</v>
      </c>
      <c r="D55" s="25">
        <v>46127</v>
      </c>
      <c r="E55" s="79">
        <v>46160</v>
      </c>
      <c r="F55" s="52">
        <f t="shared" si="0"/>
        <v>46162</v>
      </c>
      <c r="G55" s="39"/>
    </row>
    <row r="56" spans="1:7" ht="15.75" customHeight="1" x14ac:dyDescent="0.25">
      <c r="A56" t="s">
        <v>709</v>
      </c>
      <c r="B56">
        <v>125</v>
      </c>
      <c r="C56">
        <v>3000314.05</v>
      </c>
      <c r="D56" s="25">
        <v>46127</v>
      </c>
      <c r="E56" s="79">
        <v>46160</v>
      </c>
      <c r="F56" s="52">
        <f t="shared" si="0"/>
        <v>46162</v>
      </c>
      <c r="G56" s="39"/>
    </row>
    <row r="57" spans="1:7" ht="15.75" customHeight="1" x14ac:dyDescent="0.25">
      <c r="A57" t="s">
        <v>709</v>
      </c>
      <c r="B57">
        <v>126</v>
      </c>
      <c r="C57">
        <v>3500000</v>
      </c>
      <c r="D57" s="25">
        <v>46127</v>
      </c>
      <c r="E57" s="79">
        <v>46160</v>
      </c>
      <c r="F57" s="52">
        <f t="shared" si="0"/>
        <v>46162</v>
      </c>
      <c r="G57" s="39"/>
    </row>
    <row r="58" spans="1:7" ht="15.75" customHeight="1" x14ac:dyDescent="0.25">
      <c r="A58" t="s">
        <v>709</v>
      </c>
      <c r="B58">
        <v>127</v>
      </c>
      <c r="C58">
        <v>3024000</v>
      </c>
      <c r="D58" s="25">
        <v>46127</v>
      </c>
      <c r="E58" s="79">
        <v>46160</v>
      </c>
      <c r="F58" s="52">
        <f t="shared" si="0"/>
        <v>46162</v>
      </c>
      <c r="G58" s="39"/>
    </row>
    <row r="59" spans="1:7" ht="15.75" customHeight="1" x14ac:dyDescent="0.25">
      <c r="A59" t="s">
        <v>709</v>
      </c>
      <c r="B59">
        <v>128</v>
      </c>
      <c r="C59">
        <v>2000000</v>
      </c>
      <c r="D59" s="25">
        <v>46127</v>
      </c>
      <c r="E59" s="79">
        <v>46160</v>
      </c>
      <c r="F59" s="52">
        <f t="shared" si="0"/>
        <v>46162</v>
      </c>
      <c r="G59" s="39"/>
    </row>
    <row r="60" spans="1:7" ht="15.75" customHeight="1" x14ac:dyDescent="0.25">
      <c r="A60" t="s">
        <v>714</v>
      </c>
      <c r="B60">
        <v>66612046</v>
      </c>
      <c r="C60">
        <v>13057192.01</v>
      </c>
      <c r="D60" s="25">
        <v>46127</v>
      </c>
      <c r="E60" s="79">
        <v>46160</v>
      </c>
      <c r="F60" s="52">
        <f t="shared" si="0"/>
        <v>46162</v>
      </c>
      <c r="G60" s="39"/>
    </row>
    <row r="61" spans="1:7" ht="15.75" customHeight="1" x14ac:dyDescent="0.25">
      <c r="A61" t="s">
        <v>702</v>
      </c>
      <c r="B61">
        <v>78055898</v>
      </c>
      <c r="C61">
        <v>960000</v>
      </c>
      <c r="D61" s="25">
        <v>46127</v>
      </c>
      <c r="E61" s="79">
        <v>46160</v>
      </c>
      <c r="F61" s="52">
        <f t="shared" si="0"/>
        <v>46162</v>
      </c>
      <c r="G61" s="39"/>
    </row>
    <row r="62" spans="1:7" ht="15.75" customHeight="1" x14ac:dyDescent="0.25">
      <c r="A62" t="s">
        <v>716</v>
      </c>
      <c r="B62">
        <v>90018038</v>
      </c>
      <c r="C62">
        <v>9684400</v>
      </c>
      <c r="D62" s="25">
        <v>46127</v>
      </c>
      <c r="E62" s="79">
        <v>46160</v>
      </c>
      <c r="F62" s="52">
        <f t="shared" si="0"/>
        <v>46162</v>
      </c>
      <c r="G62" s="39"/>
    </row>
    <row r="63" spans="1:7" ht="15.75" customHeight="1" x14ac:dyDescent="0.25">
      <c r="A63" t="s">
        <v>708</v>
      </c>
      <c r="B63">
        <v>4629</v>
      </c>
      <c r="C63">
        <v>1300000</v>
      </c>
      <c r="D63" s="25">
        <v>46127</v>
      </c>
      <c r="E63" s="79">
        <v>46160</v>
      </c>
      <c r="F63" s="52">
        <f t="shared" si="0"/>
        <v>46162</v>
      </c>
      <c r="G63" s="39"/>
    </row>
    <row r="64" spans="1:7" ht="15.75" customHeight="1" x14ac:dyDescent="0.25">
      <c r="A64" t="s">
        <v>715</v>
      </c>
      <c r="B64">
        <v>29057186</v>
      </c>
      <c r="C64">
        <v>30901040</v>
      </c>
      <c r="D64" s="25">
        <v>46127</v>
      </c>
      <c r="E64" s="79">
        <v>46161</v>
      </c>
      <c r="F64" s="52">
        <f t="shared" si="0"/>
        <v>46163</v>
      </c>
      <c r="G64" s="39"/>
    </row>
    <row r="65" spans="1:7" ht="15.75" customHeight="1" x14ac:dyDescent="0.25">
      <c r="A65" t="s">
        <v>707</v>
      </c>
      <c r="B65">
        <v>29117287</v>
      </c>
      <c r="C65">
        <v>10216372.48</v>
      </c>
      <c r="D65" s="25">
        <v>46127</v>
      </c>
      <c r="E65" s="79">
        <v>46161</v>
      </c>
      <c r="F65" s="52">
        <f t="shared" si="0"/>
        <v>46163</v>
      </c>
      <c r="G65" s="39"/>
    </row>
    <row r="66" spans="1:7" ht="15.75" customHeight="1" x14ac:dyDescent="0.25">
      <c r="A66" t="s">
        <v>717</v>
      </c>
      <c r="B66">
        <v>9583076</v>
      </c>
      <c r="C66">
        <v>11530750</v>
      </c>
      <c r="D66" s="25">
        <v>46127</v>
      </c>
      <c r="E66" s="79">
        <v>46161</v>
      </c>
      <c r="F66" s="52">
        <f t="shared" si="0"/>
        <v>46163</v>
      </c>
      <c r="G66" s="39"/>
    </row>
    <row r="67" spans="1:7" ht="15.75" customHeight="1" x14ac:dyDescent="0.25">
      <c r="A67" t="s">
        <v>708</v>
      </c>
      <c r="B67">
        <v>4576</v>
      </c>
      <c r="C67">
        <v>949750</v>
      </c>
      <c r="D67" s="25">
        <v>46127</v>
      </c>
      <c r="E67" s="79">
        <v>46161</v>
      </c>
      <c r="F67" s="52">
        <f t="shared" si="0"/>
        <v>46163</v>
      </c>
      <c r="G67" s="39"/>
    </row>
    <row r="68" spans="1:7" ht="15.75" customHeight="1" x14ac:dyDescent="0.25">
      <c r="A68" t="s">
        <v>702</v>
      </c>
      <c r="B68">
        <v>78055885</v>
      </c>
      <c r="C68">
        <v>500000</v>
      </c>
      <c r="D68" s="25">
        <v>46127</v>
      </c>
      <c r="E68" s="79">
        <v>46161</v>
      </c>
      <c r="F68" s="52">
        <f t="shared" si="0"/>
        <v>46163</v>
      </c>
      <c r="G68" s="39"/>
    </row>
    <row r="69" spans="1:7" ht="15.75" customHeight="1" x14ac:dyDescent="0.25">
      <c r="A69" t="s">
        <v>702</v>
      </c>
      <c r="B69">
        <v>78055893</v>
      </c>
      <c r="C69">
        <v>890000</v>
      </c>
      <c r="D69" s="25">
        <v>46127</v>
      </c>
      <c r="E69" s="79">
        <v>46161</v>
      </c>
      <c r="F69" s="52">
        <f t="shared" ref="F69:F132" si="1">IF(E69="","",E69+2)</f>
        <v>46163</v>
      </c>
      <c r="G69" s="39"/>
    </row>
    <row r="70" spans="1:7" ht="15.75" customHeight="1" x14ac:dyDescent="0.25">
      <c r="A70" t="s">
        <v>702</v>
      </c>
      <c r="B70">
        <v>78055899</v>
      </c>
      <c r="C70">
        <v>960000</v>
      </c>
      <c r="D70" s="25">
        <v>46127</v>
      </c>
      <c r="E70" s="79">
        <v>46161</v>
      </c>
      <c r="F70" s="52">
        <f t="shared" si="1"/>
        <v>46163</v>
      </c>
      <c r="G70" s="39"/>
    </row>
    <row r="71" spans="1:7" ht="15.75" customHeight="1" x14ac:dyDescent="0.25">
      <c r="A71" t="s">
        <v>708</v>
      </c>
      <c r="B71">
        <v>4630</v>
      </c>
      <c r="C71">
        <v>1300000</v>
      </c>
      <c r="D71" s="25">
        <v>46127</v>
      </c>
      <c r="E71" s="79">
        <v>46161</v>
      </c>
      <c r="F71" s="52">
        <f t="shared" si="1"/>
        <v>46163</v>
      </c>
      <c r="G71" s="39"/>
    </row>
    <row r="72" spans="1:7" ht="15.75" customHeight="1" x14ac:dyDescent="0.25">
      <c r="A72" t="s">
        <v>718</v>
      </c>
      <c r="B72">
        <v>1368</v>
      </c>
      <c r="C72">
        <v>26000000</v>
      </c>
      <c r="D72" s="25">
        <v>46127</v>
      </c>
      <c r="E72" s="79">
        <v>46162</v>
      </c>
      <c r="F72" s="52">
        <f t="shared" si="1"/>
        <v>46164</v>
      </c>
      <c r="G72" s="39"/>
    </row>
    <row r="73" spans="1:7" ht="15.75" customHeight="1" x14ac:dyDescent="0.25">
      <c r="A73" t="s">
        <v>710</v>
      </c>
      <c r="B73">
        <v>66486598</v>
      </c>
      <c r="C73">
        <v>5000000</v>
      </c>
      <c r="D73" s="25">
        <v>46127</v>
      </c>
      <c r="E73" s="79">
        <v>46162</v>
      </c>
      <c r="F73" s="52">
        <f t="shared" si="1"/>
        <v>46164</v>
      </c>
      <c r="G73" s="39"/>
    </row>
    <row r="74" spans="1:7" ht="15.75" customHeight="1" x14ac:dyDescent="0.25">
      <c r="A74" t="s">
        <v>708</v>
      </c>
      <c r="B74">
        <v>4631</v>
      </c>
      <c r="C74">
        <v>1300000</v>
      </c>
      <c r="D74" s="25">
        <v>46127</v>
      </c>
      <c r="E74" s="79">
        <v>46162</v>
      </c>
      <c r="F74" s="52">
        <f t="shared" si="1"/>
        <v>46164</v>
      </c>
      <c r="G74" s="39"/>
    </row>
    <row r="75" spans="1:7" ht="15.75" customHeight="1" x14ac:dyDescent="0.25">
      <c r="A75" t="s">
        <v>717</v>
      </c>
      <c r="B75">
        <v>1</v>
      </c>
      <c r="C75">
        <v>14034570</v>
      </c>
      <c r="D75" s="25">
        <v>46127</v>
      </c>
      <c r="E75" s="79">
        <v>46163</v>
      </c>
      <c r="F75" s="52">
        <f t="shared" si="1"/>
        <v>46165</v>
      </c>
      <c r="G75" s="39"/>
    </row>
    <row r="76" spans="1:7" ht="15.75" customHeight="1" x14ac:dyDescent="0.25">
      <c r="A76" t="s">
        <v>706</v>
      </c>
      <c r="B76">
        <v>13378069</v>
      </c>
      <c r="C76">
        <v>2465900</v>
      </c>
      <c r="D76" s="25">
        <v>46127</v>
      </c>
      <c r="E76" s="79">
        <v>46163</v>
      </c>
      <c r="F76" s="52">
        <f t="shared" si="1"/>
        <v>46165</v>
      </c>
      <c r="G76" s="39"/>
    </row>
    <row r="77" spans="1:7" ht="15.75" customHeight="1" x14ac:dyDescent="0.25">
      <c r="A77" t="s">
        <v>702</v>
      </c>
      <c r="B77">
        <v>78055886</v>
      </c>
      <c r="C77">
        <v>500000</v>
      </c>
      <c r="D77" s="25">
        <v>46127</v>
      </c>
      <c r="E77" s="79">
        <v>46163</v>
      </c>
      <c r="F77" s="52">
        <f t="shared" si="1"/>
        <v>46165</v>
      </c>
      <c r="G77" s="39"/>
    </row>
    <row r="78" spans="1:7" ht="15.75" customHeight="1" x14ac:dyDescent="0.25">
      <c r="A78" t="s">
        <v>702</v>
      </c>
      <c r="B78">
        <v>78055894</v>
      </c>
      <c r="C78">
        <v>890000</v>
      </c>
      <c r="D78" s="25">
        <v>46127</v>
      </c>
      <c r="E78" s="79">
        <v>46163</v>
      </c>
      <c r="F78" s="52">
        <f t="shared" si="1"/>
        <v>46165</v>
      </c>
      <c r="G78" s="39"/>
    </row>
    <row r="79" spans="1:7" ht="15.75" customHeight="1" x14ac:dyDescent="0.25">
      <c r="A79" t="s">
        <v>702</v>
      </c>
      <c r="B79">
        <v>78055900</v>
      </c>
      <c r="C79">
        <v>960000</v>
      </c>
      <c r="D79" s="25">
        <v>46127</v>
      </c>
      <c r="E79" s="79">
        <v>46163</v>
      </c>
      <c r="F79" s="52">
        <f t="shared" si="1"/>
        <v>46165</v>
      </c>
      <c r="G79" s="39"/>
    </row>
    <row r="80" spans="1:7" ht="15.75" customHeight="1" x14ac:dyDescent="0.25">
      <c r="A80" t="s">
        <v>706</v>
      </c>
      <c r="B80">
        <v>13378070</v>
      </c>
      <c r="C80">
        <v>2500000</v>
      </c>
      <c r="D80" s="25">
        <v>46127</v>
      </c>
      <c r="E80" s="79">
        <v>46164</v>
      </c>
      <c r="F80" s="52">
        <f t="shared" si="1"/>
        <v>46166</v>
      </c>
      <c r="G80" s="39"/>
    </row>
    <row r="81" spans="1:7" ht="15.75" customHeight="1" x14ac:dyDescent="0.25">
      <c r="A81" t="s">
        <v>704</v>
      </c>
      <c r="B81">
        <v>5214</v>
      </c>
      <c r="C81">
        <v>1373700</v>
      </c>
      <c r="D81" s="25">
        <v>46127</v>
      </c>
      <c r="E81" s="79">
        <v>46164</v>
      </c>
      <c r="F81" s="52">
        <f t="shared" si="1"/>
        <v>46166</v>
      </c>
      <c r="G81" s="39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25">
        <v>46127</v>
      </c>
      <c r="E82" s="79">
        <v>46164</v>
      </c>
      <c r="F82" s="52">
        <f t="shared" si="1"/>
        <v>46166</v>
      </c>
      <c r="G82" s="39"/>
    </row>
    <row r="83" spans="1:7" ht="15.75" customHeight="1" x14ac:dyDescent="0.25">
      <c r="A83" t="s">
        <v>702</v>
      </c>
      <c r="B83">
        <v>78055895</v>
      </c>
      <c r="C83">
        <v>890000</v>
      </c>
      <c r="D83" s="25">
        <v>46127</v>
      </c>
      <c r="E83" s="79">
        <v>46164</v>
      </c>
      <c r="F83" s="52">
        <f t="shared" si="1"/>
        <v>46166</v>
      </c>
      <c r="G83" s="39"/>
    </row>
    <row r="84" spans="1:7" ht="15.75" customHeight="1" x14ac:dyDescent="0.25">
      <c r="A84" t="s">
        <v>702</v>
      </c>
      <c r="B84">
        <v>78055896</v>
      </c>
      <c r="C84">
        <v>890000</v>
      </c>
      <c r="D84" s="25">
        <v>46127</v>
      </c>
      <c r="E84" s="79">
        <v>46164</v>
      </c>
      <c r="F84" s="52">
        <f t="shared" si="1"/>
        <v>46166</v>
      </c>
      <c r="G84" s="39"/>
    </row>
    <row r="85" spans="1:7" ht="15.75" customHeight="1" x14ac:dyDescent="0.25">
      <c r="A85" t="s">
        <v>702</v>
      </c>
      <c r="B85">
        <v>8055887</v>
      </c>
      <c r="C85">
        <v>525400</v>
      </c>
      <c r="D85" s="25">
        <v>46127</v>
      </c>
      <c r="E85" s="79">
        <v>46164</v>
      </c>
      <c r="F85" s="52">
        <f t="shared" si="1"/>
        <v>46166</v>
      </c>
      <c r="G85" s="39"/>
    </row>
    <row r="86" spans="1:7" ht="15.75" customHeight="1" x14ac:dyDescent="0.25">
      <c r="A86" t="s">
        <v>718</v>
      </c>
      <c r="B86">
        <v>1369</v>
      </c>
      <c r="C86">
        <v>26348155</v>
      </c>
      <c r="D86" s="25">
        <v>46127</v>
      </c>
      <c r="E86" s="79">
        <v>46164</v>
      </c>
      <c r="F86" s="52">
        <f t="shared" si="1"/>
        <v>46166</v>
      </c>
      <c r="G86" s="39"/>
    </row>
    <row r="87" spans="1:7" ht="15.75" customHeight="1" x14ac:dyDescent="0.25">
      <c r="A87" t="s">
        <v>719</v>
      </c>
      <c r="B87">
        <v>6800188</v>
      </c>
      <c r="C87">
        <v>16576560</v>
      </c>
      <c r="D87" s="25">
        <v>46127</v>
      </c>
      <c r="E87" s="79">
        <v>46164</v>
      </c>
      <c r="F87" s="52">
        <f t="shared" si="1"/>
        <v>46166</v>
      </c>
      <c r="G87" s="39"/>
    </row>
    <row r="88" spans="1:7" ht="15.75" customHeight="1" x14ac:dyDescent="0.25">
      <c r="A88" t="s">
        <v>702</v>
      </c>
      <c r="B88">
        <v>78055901</v>
      </c>
      <c r="C88">
        <v>960000</v>
      </c>
      <c r="D88" s="25">
        <v>46127</v>
      </c>
      <c r="E88" s="79">
        <v>46164</v>
      </c>
      <c r="F88" s="52">
        <f t="shared" si="1"/>
        <v>46166</v>
      </c>
      <c r="G88" s="39"/>
    </row>
    <row r="89" spans="1:7" ht="15.75" customHeight="1" x14ac:dyDescent="0.25">
      <c r="A89" t="s">
        <v>716</v>
      </c>
      <c r="B89">
        <v>90018039</v>
      </c>
      <c r="C89">
        <v>9640400</v>
      </c>
      <c r="D89" s="25">
        <v>46127</v>
      </c>
      <c r="E89" s="79">
        <v>46164</v>
      </c>
      <c r="F89" s="52">
        <f t="shared" si="1"/>
        <v>46166</v>
      </c>
      <c r="G89" s="39"/>
    </row>
    <row r="90" spans="1:7" ht="15.75" customHeight="1" x14ac:dyDescent="0.25">
      <c r="A90" t="s">
        <v>708</v>
      </c>
      <c r="B90">
        <v>4715</v>
      </c>
      <c r="C90">
        <v>1300000</v>
      </c>
      <c r="D90" s="25">
        <v>46127</v>
      </c>
      <c r="E90" s="79">
        <v>46164</v>
      </c>
      <c r="F90" s="52">
        <f t="shared" si="1"/>
        <v>46166</v>
      </c>
      <c r="G90" s="39"/>
    </row>
    <row r="91" spans="1:7" ht="15.75" customHeight="1" x14ac:dyDescent="0.25">
      <c r="A91" t="s">
        <v>708</v>
      </c>
      <c r="B91">
        <v>4632</v>
      </c>
      <c r="C91">
        <v>1300000</v>
      </c>
      <c r="D91" s="25">
        <v>46127</v>
      </c>
      <c r="E91" s="79">
        <v>46164</v>
      </c>
      <c r="F91" s="52">
        <f t="shared" si="1"/>
        <v>46166</v>
      </c>
      <c r="G91" s="39"/>
    </row>
    <row r="92" spans="1:7" ht="15.75" customHeight="1" x14ac:dyDescent="0.25">
      <c r="A92" t="s">
        <v>715</v>
      </c>
      <c r="B92">
        <v>29265627</v>
      </c>
      <c r="C92">
        <v>9884160</v>
      </c>
      <c r="D92" s="25">
        <v>46127</v>
      </c>
      <c r="E92" s="79">
        <v>46164</v>
      </c>
      <c r="F92" s="52">
        <f t="shared" si="1"/>
        <v>46166</v>
      </c>
      <c r="G92" s="39"/>
    </row>
    <row r="93" spans="1:7" ht="15.75" customHeight="1" x14ac:dyDescent="0.25">
      <c r="A93" t="s">
        <v>705</v>
      </c>
      <c r="B93">
        <v>6818</v>
      </c>
      <c r="C93">
        <v>22336160</v>
      </c>
      <c r="D93" s="25">
        <v>46127</v>
      </c>
      <c r="E93" s="79">
        <v>46167</v>
      </c>
      <c r="F93" s="52">
        <f t="shared" si="1"/>
        <v>46169</v>
      </c>
      <c r="G93" s="39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25">
        <v>46127</v>
      </c>
      <c r="E94" s="79">
        <v>46167</v>
      </c>
      <c r="F94" s="52">
        <f t="shared" si="1"/>
        <v>46169</v>
      </c>
      <c r="G94" s="39"/>
    </row>
    <row r="95" spans="1:7" ht="15.75" customHeight="1" x14ac:dyDescent="0.25">
      <c r="A95" t="s">
        <v>706</v>
      </c>
      <c r="B95">
        <v>13378071</v>
      </c>
      <c r="C95">
        <v>2500000</v>
      </c>
      <c r="D95" s="25">
        <v>46127</v>
      </c>
      <c r="E95" s="79">
        <v>46167</v>
      </c>
      <c r="F95" s="52">
        <f t="shared" si="1"/>
        <v>46169</v>
      </c>
      <c r="G95" s="39"/>
    </row>
    <row r="96" spans="1:7" ht="15.75" customHeight="1" x14ac:dyDescent="0.25">
      <c r="A96" t="s">
        <v>706</v>
      </c>
      <c r="B96">
        <v>13378072</v>
      </c>
      <c r="C96">
        <v>2500000</v>
      </c>
      <c r="D96" s="25">
        <v>46127</v>
      </c>
      <c r="E96" s="79">
        <v>46167</v>
      </c>
      <c r="F96" s="52">
        <f t="shared" si="1"/>
        <v>46169</v>
      </c>
      <c r="G96" s="39"/>
    </row>
    <row r="97" spans="1:7" ht="15.75" customHeight="1" x14ac:dyDescent="0.25">
      <c r="A97" t="s">
        <v>706</v>
      </c>
      <c r="B97">
        <v>13378073</v>
      </c>
      <c r="C97">
        <v>2500000</v>
      </c>
      <c r="D97" s="25">
        <v>46127</v>
      </c>
      <c r="E97" s="79">
        <v>46167</v>
      </c>
      <c r="F97" s="52">
        <f t="shared" si="1"/>
        <v>46169</v>
      </c>
      <c r="G97" s="39"/>
    </row>
    <row r="98" spans="1:7" ht="15.75" customHeight="1" x14ac:dyDescent="0.25">
      <c r="A98" t="s">
        <v>714</v>
      </c>
      <c r="B98">
        <v>66612110</v>
      </c>
      <c r="C98">
        <v>14000000</v>
      </c>
      <c r="D98" s="25">
        <v>46127</v>
      </c>
      <c r="E98" s="79">
        <v>46167</v>
      </c>
      <c r="F98" s="52">
        <f t="shared" si="1"/>
        <v>46169</v>
      </c>
      <c r="G98" s="39"/>
    </row>
    <row r="99" spans="1:7" ht="15.75" customHeight="1" x14ac:dyDescent="0.25">
      <c r="A99" t="s">
        <v>710</v>
      </c>
      <c r="B99">
        <v>66487132</v>
      </c>
      <c r="C99">
        <v>4796000</v>
      </c>
      <c r="D99" s="25">
        <v>46127</v>
      </c>
      <c r="E99" s="79">
        <v>46167</v>
      </c>
      <c r="F99" s="52">
        <f t="shared" si="1"/>
        <v>46169</v>
      </c>
      <c r="G99" s="39"/>
    </row>
    <row r="100" spans="1:7" ht="15.75" customHeight="1" x14ac:dyDescent="0.25">
      <c r="A100" t="s">
        <v>702</v>
      </c>
      <c r="B100">
        <v>78055897</v>
      </c>
      <c r="C100">
        <v>907700</v>
      </c>
      <c r="D100" s="25">
        <v>46127</v>
      </c>
      <c r="E100" s="79">
        <v>46168</v>
      </c>
      <c r="F100" s="52">
        <f t="shared" si="1"/>
        <v>46170</v>
      </c>
      <c r="G100" s="39"/>
    </row>
    <row r="101" spans="1:7" ht="15.75" customHeight="1" x14ac:dyDescent="0.25">
      <c r="A101" t="s">
        <v>702</v>
      </c>
      <c r="B101">
        <v>78055902</v>
      </c>
      <c r="C101">
        <v>960000</v>
      </c>
      <c r="D101" s="25">
        <v>46127</v>
      </c>
      <c r="E101" s="79">
        <v>46168</v>
      </c>
      <c r="F101" s="52">
        <f t="shared" si="1"/>
        <v>46170</v>
      </c>
      <c r="G101" s="39"/>
    </row>
    <row r="102" spans="1:7" ht="15.75" customHeight="1" x14ac:dyDescent="0.25">
      <c r="A102" t="s">
        <v>708</v>
      </c>
      <c r="B102">
        <v>4716</v>
      </c>
      <c r="C102">
        <v>1300000</v>
      </c>
      <c r="D102" s="25">
        <v>46127</v>
      </c>
      <c r="E102" s="79">
        <v>46168</v>
      </c>
      <c r="F102" s="52">
        <f t="shared" si="1"/>
        <v>46170</v>
      </c>
      <c r="G102" s="39"/>
    </row>
    <row r="103" spans="1:7" ht="15.75" customHeight="1" x14ac:dyDescent="0.25">
      <c r="A103" t="s">
        <v>708</v>
      </c>
      <c r="B103">
        <v>4633</v>
      </c>
      <c r="C103">
        <v>1162600</v>
      </c>
      <c r="D103" s="25">
        <v>46127</v>
      </c>
      <c r="E103" s="79">
        <v>46168</v>
      </c>
      <c r="F103" s="52">
        <f t="shared" si="1"/>
        <v>46170</v>
      </c>
      <c r="G103" s="39"/>
    </row>
    <row r="104" spans="1:7" ht="15.75" customHeight="1" x14ac:dyDescent="0.25">
      <c r="A104" t="s">
        <v>708</v>
      </c>
      <c r="B104">
        <v>4742</v>
      </c>
      <c r="C104">
        <v>1200000</v>
      </c>
      <c r="D104" s="25">
        <v>46127</v>
      </c>
      <c r="E104" s="79">
        <v>46168</v>
      </c>
      <c r="F104" s="52">
        <f t="shared" si="1"/>
        <v>46170</v>
      </c>
      <c r="G104" s="39"/>
    </row>
    <row r="105" spans="1:7" ht="15.75" customHeight="1" x14ac:dyDescent="0.25">
      <c r="A105" t="s">
        <v>702</v>
      </c>
      <c r="B105">
        <v>78055908</v>
      </c>
      <c r="C105">
        <v>1130000</v>
      </c>
      <c r="D105" s="25">
        <v>46127</v>
      </c>
      <c r="E105" s="79">
        <v>46168</v>
      </c>
      <c r="F105" s="52">
        <f t="shared" si="1"/>
        <v>46170</v>
      </c>
      <c r="G105" s="39"/>
    </row>
    <row r="106" spans="1:7" ht="15.75" customHeight="1" x14ac:dyDescent="0.25">
      <c r="A106" t="s">
        <v>717</v>
      </c>
      <c r="B106">
        <v>16</v>
      </c>
      <c r="C106">
        <v>19042210</v>
      </c>
      <c r="D106" s="25">
        <v>46127</v>
      </c>
      <c r="E106" s="79">
        <v>46169</v>
      </c>
      <c r="F106" s="52">
        <f t="shared" si="1"/>
        <v>46171</v>
      </c>
      <c r="G106" s="39"/>
    </row>
    <row r="107" spans="1:7" ht="15.75" customHeight="1" x14ac:dyDescent="0.25">
      <c r="A107" t="s">
        <v>710</v>
      </c>
      <c r="B107">
        <v>66486893</v>
      </c>
      <c r="C107">
        <v>5000000</v>
      </c>
      <c r="D107" s="25">
        <v>46127</v>
      </c>
      <c r="E107" s="79">
        <v>46169</v>
      </c>
      <c r="F107" s="52">
        <f t="shared" si="1"/>
        <v>46171</v>
      </c>
      <c r="G107" s="39"/>
    </row>
    <row r="108" spans="1:7" ht="15.75" customHeight="1" x14ac:dyDescent="0.25">
      <c r="A108" t="s">
        <v>702</v>
      </c>
      <c r="B108">
        <v>78055903</v>
      </c>
      <c r="C108">
        <v>960000</v>
      </c>
      <c r="D108" s="25">
        <v>46127</v>
      </c>
      <c r="E108" s="79">
        <v>46169</v>
      </c>
      <c r="F108" s="52">
        <f t="shared" si="1"/>
        <v>46171</v>
      </c>
      <c r="G108" s="39"/>
    </row>
    <row r="109" spans="1:7" ht="15.75" customHeight="1" x14ac:dyDescent="0.25">
      <c r="A109" t="s">
        <v>708</v>
      </c>
      <c r="B109">
        <v>4717</v>
      </c>
      <c r="C109">
        <v>1300000</v>
      </c>
      <c r="D109" s="25">
        <v>46127</v>
      </c>
      <c r="E109" s="79">
        <v>46169</v>
      </c>
      <c r="F109" s="52">
        <f t="shared" si="1"/>
        <v>46171</v>
      </c>
      <c r="G109" s="39"/>
    </row>
    <row r="110" spans="1:7" ht="15.75" customHeight="1" x14ac:dyDescent="0.25">
      <c r="A110" t="s">
        <v>708</v>
      </c>
      <c r="B110">
        <v>4743</v>
      </c>
      <c r="C110">
        <v>1200000</v>
      </c>
      <c r="D110" s="25">
        <v>46127</v>
      </c>
      <c r="E110" s="79">
        <v>46169</v>
      </c>
      <c r="F110" s="52">
        <f t="shared" si="1"/>
        <v>46171</v>
      </c>
      <c r="G110" s="39"/>
    </row>
    <row r="111" spans="1:7" ht="15.75" customHeight="1" x14ac:dyDescent="0.25">
      <c r="A111" t="s">
        <v>708</v>
      </c>
      <c r="B111">
        <v>4772</v>
      </c>
      <c r="C111">
        <v>1300000</v>
      </c>
      <c r="D111" s="25">
        <v>46127</v>
      </c>
      <c r="E111" s="79">
        <v>46169</v>
      </c>
      <c r="F111" s="52">
        <f t="shared" si="1"/>
        <v>46171</v>
      </c>
      <c r="G111" s="39"/>
    </row>
    <row r="112" spans="1:7" ht="15.75" customHeight="1" x14ac:dyDescent="0.25">
      <c r="A112" t="s">
        <v>702</v>
      </c>
      <c r="B112">
        <v>78055909</v>
      </c>
      <c r="C112">
        <v>1130000</v>
      </c>
      <c r="D112" s="25">
        <v>46127</v>
      </c>
      <c r="E112" s="79">
        <v>46169</v>
      </c>
      <c r="F112" s="52">
        <f t="shared" si="1"/>
        <v>46171</v>
      </c>
      <c r="G112" s="39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25">
        <v>46127</v>
      </c>
      <c r="E113" s="79">
        <v>46170</v>
      </c>
      <c r="F113" s="52">
        <f t="shared" si="1"/>
        <v>46172</v>
      </c>
      <c r="G113" s="39"/>
    </row>
    <row r="114" spans="1:7" ht="15.75" customHeight="1" x14ac:dyDescent="0.25">
      <c r="A114" t="s">
        <v>702</v>
      </c>
      <c r="B114">
        <v>78055904</v>
      </c>
      <c r="C114">
        <v>960000</v>
      </c>
      <c r="D114" s="25">
        <v>46127</v>
      </c>
      <c r="E114" s="79">
        <v>46170</v>
      </c>
      <c r="F114" s="52">
        <f t="shared" si="1"/>
        <v>46172</v>
      </c>
      <c r="G114" s="39"/>
    </row>
    <row r="115" spans="1:7" ht="15.75" customHeight="1" x14ac:dyDescent="0.25">
      <c r="A115" t="s">
        <v>702</v>
      </c>
      <c r="B115">
        <v>78055910</v>
      </c>
      <c r="C115">
        <v>1130000</v>
      </c>
      <c r="D115" s="25">
        <v>46127</v>
      </c>
      <c r="E115" s="79">
        <v>46170</v>
      </c>
      <c r="F115" s="52">
        <f t="shared" si="1"/>
        <v>46172</v>
      </c>
      <c r="G115" s="39"/>
    </row>
    <row r="116" spans="1:7" ht="15.75" customHeight="1" x14ac:dyDescent="0.25">
      <c r="A116" t="s">
        <v>704</v>
      </c>
      <c r="B116">
        <v>5221</v>
      </c>
      <c r="C116">
        <v>1626750</v>
      </c>
      <c r="D116" s="25">
        <v>46127</v>
      </c>
      <c r="E116" s="79">
        <v>46171</v>
      </c>
      <c r="F116" s="52">
        <f t="shared" si="1"/>
        <v>46173</v>
      </c>
      <c r="G116" s="39"/>
    </row>
    <row r="117" spans="1:7" ht="15.75" customHeight="1" x14ac:dyDescent="0.25">
      <c r="A117" t="s">
        <v>702</v>
      </c>
      <c r="B117">
        <v>78055905</v>
      </c>
      <c r="C117">
        <v>960000</v>
      </c>
      <c r="D117" s="25">
        <v>46127</v>
      </c>
      <c r="E117" s="79">
        <v>46171</v>
      </c>
      <c r="F117" s="52">
        <f t="shared" si="1"/>
        <v>46173</v>
      </c>
      <c r="G117" s="39"/>
    </row>
    <row r="118" spans="1:7" ht="15.75" customHeight="1" x14ac:dyDescent="0.25">
      <c r="A118" t="s">
        <v>708</v>
      </c>
      <c r="B118">
        <v>4718</v>
      </c>
      <c r="C118">
        <v>1300000</v>
      </c>
      <c r="D118" s="25">
        <v>46127</v>
      </c>
      <c r="E118" s="79">
        <v>46171</v>
      </c>
      <c r="F118" s="52">
        <f t="shared" si="1"/>
        <v>46173</v>
      </c>
      <c r="G118" s="39"/>
    </row>
    <row r="119" spans="1:7" ht="15.75" customHeight="1" x14ac:dyDescent="0.25">
      <c r="A119" t="s">
        <v>708</v>
      </c>
      <c r="B119">
        <v>4744</v>
      </c>
      <c r="C119">
        <v>1200000</v>
      </c>
      <c r="D119" s="25">
        <v>46127</v>
      </c>
      <c r="E119" s="79">
        <v>46171</v>
      </c>
      <c r="F119" s="52">
        <f t="shared" si="1"/>
        <v>46173</v>
      </c>
      <c r="G119" s="39"/>
    </row>
    <row r="120" spans="1:7" ht="15.75" customHeight="1" x14ac:dyDescent="0.25">
      <c r="A120" t="s">
        <v>708</v>
      </c>
      <c r="B120">
        <v>4773</v>
      </c>
      <c r="C120">
        <v>1300000</v>
      </c>
      <c r="D120" s="25">
        <v>46127</v>
      </c>
      <c r="E120" s="79">
        <v>46171</v>
      </c>
      <c r="F120" s="52">
        <f t="shared" si="1"/>
        <v>46173</v>
      </c>
      <c r="G120" s="39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25">
        <v>46127</v>
      </c>
      <c r="E121" s="79">
        <v>46171</v>
      </c>
      <c r="F121" s="52">
        <f t="shared" si="1"/>
        <v>46173</v>
      </c>
      <c r="G121" s="39"/>
    </row>
    <row r="122" spans="1:7" ht="15.75" customHeight="1" x14ac:dyDescent="0.25">
      <c r="A122" t="s">
        <v>715</v>
      </c>
      <c r="B122">
        <v>29265630</v>
      </c>
      <c r="C122">
        <v>9197760</v>
      </c>
      <c r="D122" s="25">
        <v>46127</v>
      </c>
      <c r="E122" s="79">
        <v>46171</v>
      </c>
      <c r="F122" s="52">
        <f t="shared" si="1"/>
        <v>46173</v>
      </c>
      <c r="G122" s="39"/>
    </row>
    <row r="123" spans="1:7" ht="15.75" customHeight="1" x14ac:dyDescent="0.25">
      <c r="A123" t="s">
        <v>702</v>
      </c>
      <c r="B123">
        <v>78055911</v>
      </c>
      <c r="C123">
        <v>1130000</v>
      </c>
      <c r="D123" s="25">
        <v>46127</v>
      </c>
      <c r="E123" s="79">
        <v>46171</v>
      </c>
      <c r="F123" s="52">
        <f t="shared" si="1"/>
        <v>46173</v>
      </c>
      <c r="G123" s="39"/>
    </row>
    <row r="124" spans="1:7" ht="15.75" customHeight="1" x14ac:dyDescent="0.25">
      <c r="A124" t="s">
        <v>705</v>
      </c>
      <c r="B124">
        <v>6894</v>
      </c>
      <c r="C124">
        <v>19015040</v>
      </c>
      <c r="D124" s="25">
        <v>46127</v>
      </c>
      <c r="E124" s="79">
        <v>46174</v>
      </c>
      <c r="F124" s="52">
        <f t="shared" si="1"/>
        <v>46176</v>
      </c>
      <c r="G124" s="39"/>
    </row>
    <row r="125" spans="1:7" ht="15.75" customHeight="1" x14ac:dyDescent="0.25">
      <c r="A125" t="s">
        <v>702</v>
      </c>
      <c r="B125">
        <v>78055906</v>
      </c>
      <c r="C125">
        <v>960000</v>
      </c>
      <c r="D125" s="25">
        <v>46127</v>
      </c>
      <c r="E125" s="79">
        <v>46174</v>
      </c>
      <c r="F125" s="52">
        <f t="shared" si="1"/>
        <v>46176</v>
      </c>
      <c r="G125" s="39"/>
    </row>
    <row r="126" spans="1:7" ht="15.75" customHeight="1" x14ac:dyDescent="0.25">
      <c r="A126" t="s">
        <v>717</v>
      </c>
      <c r="B126">
        <v>9845350</v>
      </c>
      <c r="C126">
        <v>10000000</v>
      </c>
      <c r="D126" s="25">
        <v>46127</v>
      </c>
      <c r="E126" s="79">
        <v>46174</v>
      </c>
      <c r="F126" s="52">
        <f t="shared" si="1"/>
        <v>46176</v>
      </c>
      <c r="G126" s="39"/>
    </row>
    <row r="127" spans="1:7" ht="15.75" customHeight="1" x14ac:dyDescent="0.25">
      <c r="A127" t="s">
        <v>717</v>
      </c>
      <c r="B127">
        <v>9845351</v>
      </c>
      <c r="C127">
        <v>12575630</v>
      </c>
      <c r="D127" s="25">
        <v>46127</v>
      </c>
      <c r="E127" s="79">
        <v>46174</v>
      </c>
      <c r="F127" s="52">
        <f t="shared" si="1"/>
        <v>46176</v>
      </c>
      <c r="G127" s="39"/>
    </row>
    <row r="128" spans="1:7" ht="15.75" customHeight="1" x14ac:dyDescent="0.25">
      <c r="A128" t="s">
        <v>708</v>
      </c>
      <c r="B128">
        <v>4782</v>
      </c>
      <c r="C128">
        <v>1300000</v>
      </c>
      <c r="D128" s="25">
        <v>46127</v>
      </c>
      <c r="E128" s="79">
        <v>46174</v>
      </c>
      <c r="F128" s="52">
        <f t="shared" si="1"/>
        <v>46176</v>
      </c>
      <c r="G128" s="39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25">
        <v>46127</v>
      </c>
      <c r="E129" s="79">
        <v>46174</v>
      </c>
      <c r="F129" s="52">
        <f t="shared" si="1"/>
        <v>46176</v>
      </c>
      <c r="G129" s="39"/>
    </row>
    <row r="130" spans="1:7" ht="15.75" customHeight="1" x14ac:dyDescent="0.25">
      <c r="A130" t="s">
        <v>702</v>
      </c>
      <c r="B130">
        <v>78055912</v>
      </c>
      <c r="C130">
        <v>1130000</v>
      </c>
      <c r="D130" s="25">
        <v>46127</v>
      </c>
      <c r="E130" s="79">
        <v>46174</v>
      </c>
      <c r="F130" s="52">
        <f t="shared" si="1"/>
        <v>46176</v>
      </c>
      <c r="G130" s="39"/>
    </row>
    <row r="131" spans="1:7" ht="15.75" customHeight="1" x14ac:dyDescent="0.25">
      <c r="A131" t="s">
        <v>710</v>
      </c>
      <c r="B131">
        <v>66643962</v>
      </c>
      <c r="C131">
        <v>4457800</v>
      </c>
      <c r="D131" s="25">
        <v>46127</v>
      </c>
      <c r="E131" s="79">
        <v>46175</v>
      </c>
      <c r="F131" s="52">
        <f t="shared" si="1"/>
        <v>46177</v>
      </c>
      <c r="G131" s="39"/>
    </row>
    <row r="132" spans="1:7" ht="15.75" customHeight="1" x14ac:dyDescent="0.25">
      <c r="A132" t="s">
        <v>702</v>
      </c>
      <c r="B132">
        <v>78055907</v>
      </c>
      <c r="C132">
        <v>943200</v>
      </c>
      <c r="D132" s="25">
        <v>46127</v>
      </c>
      <c r="E132" s="79">
        <v>46175</v>
      </c>
      <c r="F132" s="52">
        <f t="shared" si="1"/>
        <v>46177</v>
      </c>
      <c r="G132" s="39"/>
    </row>
    <row r="133" spans="1:7" ht="15.75" customHeight="1" x14ac:dyDescent="0.25">
      <c r="A133" t="s">
        <v>708</v>
      </c>
      <c r="B133">
        <v>4783</v>
      </c>
      <c r="C133">
        <v>1300000</v>
      </c>
      <c r="D133" s="25">
        <v>46127</v>
      </c>
      <c r="E133" s="79">
        <v>46175</v>
      </c>
      <c r="F133" s="52">
        <f t="shared" ref="F133:F162" si="2">IF(E133="","",E133+2)</f>
        <v>46177</v>
      </c>
      <c r="G133" s="39"/>
    </row>
    <row r="134" spans="1:7" ht="15.75" customHeight="1" x14ac:dyDescent="0.25">
      <c r="A134" t="s">
        <v>702</v>
      </c>
      <c r="B134">
        <v>78055913</v>
      </c>
      <c r="C134">
        <v>1130000</v>
      </c>
      <c r="D134" s="25">
        <v>46127</v>
      </c>
      <c r="E134" s="79">
        <v>46175</v>
      </c>
      <c r="F134" s="52">
        <f t="shared" si="2"/>
        <v>46177</v>
      </c>
      <c r="G134" s="39"/>
    </row>
    <row r="135" spans="1:7" ht="15.75" customHeight="1" x14ac:dyDescent="0.25">
      <c r="A135" t="s">
        <v>710</v>
      </c>
      <c r="B135">
        <v>66643850</v>
      </c>
      <c r="C135">
        <v>4400000</v>
      </c>
      <c r="D135" s="25">
        <v>46127</v>
      </c>
      <c r="E135" s="79">
        <v>46176</v>
      </c>
      <c r="F135" s="52">
        <f t="shared" si="2"/>
        <v>46178</v>
      </c>
      <c r="G135" s="39"/>
    </row>
    <row r="136" spans="1:7" ht="15.75" customHeight="1" x14ac:dyDescent="0.25">
      <c r="A136" t="s">
        <v>708</v>
      </c>
      <c r="B136">
        <v>4745</v>
      </c>
      <c r="C136">
        <v>1200000</v>
      </c>
      <c r="D136" s="25">
        <v>46127</v>
      </c>
      <c r="E136" s="79">
        <v>46176</v>
      </c>
      <c r="F136" s="52">
        <f t="shared" si="2"/>
        <v>46178</v>
      </c>
      <c r="G136" s="39"/>
    </row>
    <row r="137" spans="1:7" ht="15.75" customHeight="1" x14ac:dyDescent="0.25">
      <c r="A137" t="s">
        <v>708</v>
      </c>
      <c r="B137">
        <v>4784</v>
      </c>
      <c r="C137">
        <v>1300000</v>
      </c>
      <c r="D137" s="25">
        <v>46127</v>
      </c>
      <c r="E137" s="79">
        <v>46176</v>
      </c>
      <c r="F137" s="52">
        <f t="shared" si="2"/>
        <v>46178</v>
      </c>
      <c r="G137" s="39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25">
        <v>46127</v>
      </c>
      <c r="E138" s="79">
        <v>46176</v>
      </c>
      <c r="F138" s="52">
        <f t="shared" si="2"/>
        <v>46178</v>
      </c>
      <c r="G138" s="39"/>
    </row>
    <row r="139" spans="1:7" ht="15.75" customHeight="1" x14ac:dyDescent="0.25">
      <c r="A139" t="s">
        <v>708</v>
      </c>
      <c r="B139">
        <v>4746</v>
      </c>
      <c r="C139">
        <v>1200000</v>
      </c>
      <c r="D139" s="25">
        <v>46127</v>
      </c>
      <c r="E139" s="79">
        <v>46177</v>
      </c>
      <c r="F139" s="52">
        <f t="shared" si="2"/>
        <v>46179</v>
      </c>
      <c r="G139" s="39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25">
        <v>46127</v>
      </c>
      <c r="E140" s="79">
        <v>46177</v>
      </c>
      <c r="F140" s="52">
        <f t="shared" si="2"/>
        <v>46179</v>
      </c>
      <c r="G140" s="39"/>
    </row>
    <row r="141" spans="1:7" ht="15.75" customHeight="1" x14ac:dyDescent="0.25">
      <c r="A141" t="s">
        <v>705</v>
      </c>
      <c r="B141">
        <v>6948</v>
      </c>
      <c r="C141">
        <v>17842880</v>
      </c>
      <c r="D141" s="25">
        <v>46127</v>
      </c>
      <c r="E141" s="79">
        <v>46178</v>
      </c>
      <c r="F141" s="52">
        <f t="shared" si="2"/>
        <v>46180</v>
      </c>
      <c r="G141" s="39"/>
    </row>
    <row r="142" spans="1:7" ht="15.75" customHeight="1" x14ac:dyDescent="0.25">
      <c r="A142" t="s">
        <v>708</v>
      </c>
      <c r="B142">
        <v>4719</v>
      </c>
      <c r="C142">
        <v>1300000</v>
      </c>
      <c r="D142" s="25">
        <v>46127</v>
      </c>
      <c r="E142" s="79">
        <v>46178</v>
      </c>
      <c r="F142" s="52">
        <f t="shared" si="2"/>
        <v>46180</v>
      </c>
      <c r="G142" s="39"/>
    </row>
    <row r="143" spans="1:7" ht="15.75" customHeight="1" x14ac:dyDescent="0.25">
      <c r="A143" t="s">
        <v>708</v>
      </c>
      <c r="B143">
        <v>4747</v>
      </c>
      <c r="C143">
        <v>953100</v>
      </c>
      <c r="D143" s="25">
        <v>46127</v>
      </c>
      <c r="E143" s="79">
        <v>46178</v>
      </c>
      <c r="F143" s="52">
        <f t="shared" si="2"/>
        <v>46180</v>
      </c>
      <c r="G143" s="39"/>
    </row>
    <row r="144" spans="1:7" ht="15.75" customHeight="1" x14ac:dyDescent="0.25">
      <c r="A144" t="s">
        <v>707</v>
      </c>
      <c r="B144">
        <v>29253320</v>
      </c>
      <c r="C144">
        <v>8077630</v>
      </c>
      <c r="D144" s="25">
        <v>46127</v>
      </c>
      <c r="E144" s="79">
        <v>46178</v>
      </c>
      <c r="F144" s="52">
        <f t="shared" si="2"/>
        <v>46180</v>
      </c>
      <c r="G144" s="39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25">
        <v>46127</v>
      </c>
      <c r="E145" s="79">
        <v>46178</v>
      </c>
      <c r="F145" s="52">
        <f t="shared" si="2"/>
        <v>46180</v>
      </c>
      <c r="G145" s="39"/>
    </row>
    <row r="146" spans="1:7" ht="15.75" customHeight="1" x14ac:dyDescent="0.25">
      <c r="A146" t="s">
        <v>702</v>
      </c>
      <c r="B146">
        <v>78055915</v>
      </c>
      <c r="C146">
        <v>1130000</v>
      </c>
      <c r="D146" s="25">
        <v>46127</v>
      </c>
      <c r="E146" s="79">
        <v>46178</v>
      </c>
      <c r="F146" s="52">
        <f t="shared" si="2"/>
        <v>46180</v>
      </c>
      <c r="G146" s="39"/>
    </row>
    <row r="147" spans="1:7" ht="15.75" customHeight="1" x14ac:dyDescent="0.25">
      <c r="A147" t="s">
        <v>708</v>
      </c>
      <c r="B147">
        <v>4720</v>
      </c>
      <c r="C147">
        <v>949750</v>
      </c>
      <c r="D147" s="25">
        <v>46127</v>
      </c>
      <c r="E147" s="79">
        <v>46181</v>
      </c>
      <c r="F147" s="52">
        <f t="shared" si="2"/>
        <v>46183</v>
      </c>
      <c r="G147" s="39"/>
    </row>
    <row r="148" spans="1:7" ht="15.75" customHeight="1" x14ac:dyDescent="0.25">
      <c r="A148" t="s">
        <v>708</v>
      </c>
      <c r="B148">
        <v>4774</v>
      </c>
      <c r="C148">
        <v>1300000</v>
      </c>
      <c r="D148" s="25">
        <v>46127</v>
      </c>
      <c r="E148" s="79">
        <v>46181</v>
      </c>
      <c r="F148" s="52">
        <f t="shared" si="2"/>
        <v>46183</v>
      </c>
      <c r="G148" s="39"/>
    </row>
    <row r="149" spans="1:7" ht="15.75" customHeight="1" x14ac:dyDescent="0.25">
      <c r="A149" t="s">
        <v>708</v>
      </c>
      <c r="B149">
        <v>4785</v>
      </c>
      <c r="C149">
        <v>1300000</v>
      </c>
      <c r="D149" s="25">
        <v>46127</v>
      </c>
      <c r="E149" s="79">
        <v>46181</v>
      </c>
      <c r="F149" s="52">
        <f t="shared" si="2"/>
        <v>46183</v>
      </c>
      <c r="G149" s="39"/>
    </row>
    <row r="150" spans="1:7" ht="15.75" customHeight="1" x14ac:dyDescent="0.25">
      <c r="A150" t="s">
        <v>717</v>
      </c>
      <c r="B150">
        <v>9845354</v>
      </c>
      <c r="C150">
        <v>18288270</v>
      </c>
      <c r="D150" s="25">
        <v>46127</v>
      </c>
      <c r="E150" s="79">
        <v>46181</v>
      </c>
      <c r="F150" s="52">
        <f t="shared" si="2"/>
        <v>46183</v>
      </c>
      <c r="G150" s="39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25">
        <v>46127</v>
      </c>
      <c r="E151" s="79">
        <v>46181</v>
      </c>
      <c r="F151" s="52">
        <f t="shared" si="2"/>
        <v>46183</v>
      </c>
      <c r="G151" s="39"/>
    </row>
    <row r="152" spans="1:7" ht="15.75" customHeight="1" x14ac:dyDescent="0.25">
      <c r="A152" t="s">
        <v>702</v>
      </c>
      <c r="B152">
        <v>78055916</v>
      </c>
      <c r="C152">
        <v>1130000</v>
      </c>
      <c r="D152" s="25">
        <v>46127</v>
      </c>
      <c r="E152" s="79">
        <v>46181</v>
      </c>
      <c r="F152" s="52">
        <f t="shared" si="2"/>
        <v>46183</v>
      </c>
      <c r="G152" s="39"/>
    </row>
    <row r="153" spans="1:7" ht="15.75" customHeight="1" x14ac:dyDescent="0.25">
      <c r="A153" t="s">
        <v>708</v>
      </c>
      <c r="B153">
        <v>4775</v>
      </c>
      <c r="C153">
        <v>1300000</v>
      </c>
      <c r="D153" s="25">
        <v>46127</v>
      </c>
      <c r="E153" s="79">
        <v>46182</v>
      </c>
      <c r="F153" s="52">
        <f t="shared" si="2"/>
        <v>46184</v>
      </c>
      <c r="G153" s="39"/>
    </row>
    <row r="154" spans="1:7" ht="15.75" customHeight="1" x14ac:dyDescent="0.25">
      <c r="A154" t="s">
        <v>708</v>
      </c>
      <c r="B154">
        <v>4786</v>
      </c>
      <c r="C154">
        <v>1300000</v>
      </c>
      <c r="D154" s="25">
        <v>46127</v>
      </c>
      <c r="E154" s="79">
        <v>46182</v>
      </c>
      <c r="F154" s="52">
        <f t="shared" si="2"/>
        <v>46184</v>
      </c>
      <c r="G154" s="39"/>
    </row>
    <row r="155" spans="1:7" ht="15.75" customHeight="1" x14ac:dyDescent="0.25">
      <c r="A155" t="s">
        <v>702</v>
      </c>
      <c r="B155">
        <v>78055917</v>
      </c>
      <c r="C155">
        <v>1143500</v>
      </c>
      <c r="D155" s="25">
        <v>46127</v>
      </c>
      <c r="E155" s="79">
        <v>46182</v>
      </c>
      <c r="F155" s="52">
        <f t="shared" si="2"/>
        <v>46184</v>
      </c>
      <c r="G155" s="39"/>
    </row>
    <row r="156" spans="1:7" ht="15.75" customHeight="1" x14ac:dyDescent="0.25">
      <c r="A156" t="s">
        <v>708</v>
      </c>
      <c r="B156">
        <v>4776</v>
      </c>
      <c r="C156">
        <v>1300000</v>
      </c>
      <c r="D156" s="25">
        <v>46127</v>
      </c>
      <c r="E156" s="79">
        <v>46183</v>
      </c>
      <c r="F156" s="52">
        <f t="shared" si="2"/>
        <v>46185</v>
      </c>
      <c r="G156" s="39"/>
    </row>
    <row r="157" spans="1:7" ht="15.75" customHeight="1" x14ac:dyDescent="0.25">
      <c r="A157" t="s">
        <v>708</v>
      </c>
      <c r="B157">
        <v>4787</v>
      </c>
      <c r="C157">
        <v>1162600</v>
      </c>
      <c r="D157" s="25">
        <v>46127</v>
      </c>
      <c r="E157" s="79">
        <v>46183</v>
      </c>
      <c r="F157" s="52">
        <f t="shared" si="2"/>
        <v>46185</v>
      </c>
      <c r="G157" s="39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25">
        <v>46127</v>
      </c>
      <c r="E158" s="79">
        <v>46185</v>
      </c>
      <c r="F158" s="52">
        <f t="shared" si="2"/>
        <v>46187</v>
      </c>
      <c r="G158" s="39"/>
    </row>
    <row r="159" spans="1:7" ht="15.75" customHeight="1" x14ac:dyDescent="0.25">
      <c r="A159" t="s">
        <v>708</v>
      </c>
      <c r="B159">
        <v>4777</v>
      </c>
      <c r="C159">
        <v>1269025</v>
      </c>
      <c r="D159" s="25">
        <v>46127</v>
      </c>
      <c r="E159" s="79">
        <v>46185</v>
      </c>
      <c r="F159" s="52">
        <f t="shared" si="2"/>
        <v>46187</v>
      </c>
      <c r="G159" s="39"/>
    </row>
    <row r="160" spans="1:7" ht="15.75" customHeight="1" x14ac:dyDescent="0.25">
      <c r="A160" t="s">
        <v>705</v>
      </c>
      <c r="B160">
        <v>6973</v>
      </c>
      <c r="C160">
        <v>43814020</v>
      </c>
      <c r="D160" s="25">
        <v>46127</v>
      </c>
      <c r="E160" s="79">
        <v>46185</v>
      </c>
      <c r="F160" s="52">
        <f t="shared" si="2"/>
        <v>46187</v>
      </c>
      <c r="G160" s="39"/>
    </row>
    <row r="161" spans="1:7" ht="15.75" customHeight="1" x14ac:dyDescent="0.25">
      <c r="A161" t="s">
        <v>712</v>
      </c>
      <c r="B161">
        <v>9487748</v>
      </c>
      <c r="C161">
        <v>9263100</v>
      </c>
      <c r="D161" s="25">
        <v>46127</v>
      </c>
      <c r="E161" s="79">
        <v>46188</v>
      </c>
      <c r="F161" s="52">
        <f t="shared" si="2"/>
        <v>46190</v>
      </c>
      <c r="G161" s="39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25">
        <v>46127</v>
      </c>
      <c r="E162" s="79">
        <v>46223</v>
      </c>
      <c r="F162" s="52">
        <f t="shared" si="2"/>
        <v>46225</v>
      </c>
      <c r="G162" s="39"/>
    </row>
    <row r="163" spans="1:7" ht="18" customHeight="1" x14ac:dyDescent="0.25">
      <c r="A163" s="53" t="s">
        <v>155</v>
      </c>
      <c r="B163" s="54"/>
      <c r="C163" s="55">
        <f>SUM(C4:C162)</f>
        <v>850726335.86000013</v>
      </c>
      <c r="D163" s="54"/>
      <c r="E163" s="54"/>
      <c r="F163" s="54"/>
      <c r="G163" s="54"/>
    </row>
    <row r="164" spans="1:7" ht="15.75" customHeight="1" x14ac:dyDescent="0.25">
      <c r="A164" s="56"/>
      <c r="B164" s="56"/>
      <c r="C164" s="57"/>
      <c r="D164" s="58"/>
      <c r="E164" s="58"/>
      <c r="F164" s="59" t="str">
        <f>IF(E164="","",E164+2)</f>
        <v/>
      </c>
      <c r="G164" s="56"/>
    </row>
    <row r="165" spans="1:7" ht="15.75" customHeight="1" x14ac:dyDescent="0.25">
      <c r="A165" s="56"/>
      <c r="B165" s="56"/>
      <c r="C165" s="57"/>
      <c r="D165" s="58"/>
      <c r="E165" s="58"/>
      <c r="F165" s="59" t="str">
        <f>IF(E165="","",E165+2)</f>
        <v/>
      </c>
      <c r="G165" s="56"/>
    </row>
    <row r="166" spans="1:7" ht="15.75" customHeight="1" x14ac:dyDescent="0.25">
      <c r="A166" s="56"/>
      <c r="B166" s="56"/>
      <c r="C166" s="57"/>
      <c r="D166" s="58"/>
      <c r="E166" s="58"/>
      <c r="F166" s="59" t="str">
        <f>IF(E166="","",E166+2)</f>
        <v/>
      </c>
      <c r="G166" s="56"/>
    </row>
    <row r="167" spans="1:7" ht="15.75" customHeight="1" x14ac:dyDescent="0.25">
      <c r="A167" s="56"/>
      <c r="B167" s="56"/>
      <c r="C167" s="57"/>
      <c r="D167" s="58"/>
      <c r="E167" s="58"/>
      <c r="F167" s="59" t="str">
        <f>IF(E167="","",E167+2)</f>
        <v/>
      </c>
      <c r="G167" s="56"/>
    </row>
    <row r="168" spans="1:7" ht="15.75" customHeight="1" x14ac:dyDescent="0.25">
      <c r="A168" s="56"/>
      <c r="B168" s="56"/>
      <c r="C168" s="57"/>
      <c r="D168" s="58"/>
      <c r="E168" s="58"/>
      <c r="F168" s="59" t="str">
        <f>IF(E168="","",E168+2)</f>
        <v/>
      </c>
      <c r="G168" s="56"/>
    </row>
    <row r="170" spans="1:7" ht="15" customHeight="1" x14ac:dyDescent="0.25">
      <c r="A170" s="1" t="s">
        <v>156</v>
      </c>
      <c r="B170" s="1"/>
      <c r="C170" s="1"/>
      <c r="D170" s="1"/>
      <c r="E170" s="1"/>
      <c r="F170" s="1"/>
      <c r="G170" s="1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9" t="s">
        <v>157</v>
      </c>
      <c r="B1" s="9"/>
      <c r="C1" s="9"/>
      <c r="D1" s="9"/>
      <c r="E1" s="9"/>
      <c r="F1" s="9"/>
    </row>
    <row r="2" spans="1:6" ht="15.75" customHeight="1" x14ac:dyDescent="0.25">
      <c r="A2" s="2" t="s">
        <v>158</v>
      </c>
      <c r="B2" s="2"/>
      <c r="C2" s="2"/>
      <c r="D2" s="2"/>
      <c r="E2" s="2"/>
      <c r="F2" s="2"/>
    </row>
    <row r="3" spans="1:6" ht="19.5" customHeight="1" x14ac:dyDescent="0.25">
      <c r="A3" s="53" t="s">
        <v>159</v>
      </c>
      <c r="B3" s="60">
        <v>46157</v>
      </c>
      <c r="C3" s="53" t="s">
        <v>160</v>
      </c>
      <c r="D3" s="61">
        <v>1400</v>
      </c>
      <c r="E3" s="54"/>
      <c r="F3" s="54"/>
    </row>
    <row r="4" spans="1:6" ht="24" customHeight="1" x14ac:dyDescent="0.25">
      <c r="A4" s="31" t="s">
        <v>161</v>
      </c>
      <c r="B4" s="31" t="s">
        <v>162</v>
      </c>
      <c r="C4" s="31" t="s">
        <v>163</v>
      </c>
      <c r="D4" s="31" t="s">
        <v>164</v>
      </c>
      <c r="E4" s="31" t="s">
        <v>165</v>
      </c>
      <c r="F4" s="31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36">
        <f t="shared" ref="D5:D265" si="0">IFERROR(C5/$D$3,0)</f>
        <v>1790.7954357142855</v>
      </c>
      <c r="E5" s="62">
        <f>IFERROR(C5/SUM($C$5:$C$264),0)</f>
        <v>4.2371864482422777E-4</v>
      </c>
      <c r="F5" s="63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36">
        <f t="shared" si="0"/>
        <v>19136.861321428572</v>
      </c>
      <c r="E6" s="62">
        <f>IFERROR(C6/SUM($C$5:$C$264),0)</f>
        <v>4.5279571209486807E-3</v>
      </c>
      <c r="F6" s="63"/>
    </row>
    <row r="7" spans="1:6" ht="15.75" customHeight="1" x14ac:dyDescent="0.25">
      <c r="A7" t="s">
        <v>187</v>
      </c>
      <c r="B7" t="s">
        <v>186</v>
      </c>
      <c r="C7">
        <v>1978800.27</v>
      </c>
      <c r="D7" s="36">
        <f t="shared" si="0"/>
        <v>1413.4287642857144</v>
      </c>
      <c r="E7" s="62">
        <f>IFERROR(C7/SUM($C$5:$C$264),0)</f>
        <v>3.3443022503564011E-4</v>
      </c>
      <c r="F7" s="63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36">
        <f t="shared" si="0"/>
        <v>6459.6323428571422</v>
      </c>
      <c r="E8" s="62">
        <f>IFERROR(C8/SUM($C$5:$C$264),0)</f>
        <v>1.528408330617874E-3</v>
      </c>
      <c r="F8" s="63"/>
    </row>
    <row r="9" spans="1:6" ht="15.75" customHeight="1" x14ac:dyDescent="0.25">
      <c r="A9" t="s">
        <v>191</v>
      </c>
      <c r="B9" t="s">
        <v>190</v>
      </c>
      <c r="C9">
        <v>4765597.2</v>
      </c>
      <c r="D9" s="36">
        <f t="shared" si="0"/>
        <v>3403.998</v>
      </c>
      <c r="E9" s="62">
        <f>IFERROR(C9/SUM($C$5:$C$264),0)</f>
        <v>8.0541718544702666E-4</v>
      </c>
      <c r="F9" s="63"/>
    </row>
    <row r="10" spans="1:6" ht="15.75" customHeight="1" x14ac:dyDescent="0.25">
      <c r="A10" t="s">
        <v>193</v>
      </c>
      <c r="B10" t="s">
        <v>192</v>
      </c>
      <c r="C10">
        <v>1.08</v>
      </c>
      <c r="D10" s="36">
        <f t="shared" si="0"/>
        <v>7.7142857142857145E-4</v>
      </c>
      <c r="E10" s="62">
        <f>IFERROR(C10/SUM($C$5:$C$264),0)</f>
        <v>1.8252708396815175E-10</v>
      </c>
      <c r="F10" s="63"/>
    </row>
    <row r="11" spans="1:6" ht="15.75" customHeight="1" x14ac:dyDescent="0.25">
      <c r="A11" t="s">
        <v>195</v>
      </c>
      <c r="B11" t="s">
        <v>194</v>
      </c>
      <c r="C11">
        <v>534552.59</v>
      </c>
      <c r="D11" s="36">
        <f t="shared" si="0"/>
        <v>381.82327857142855</v>
      </c>
      <c r="E11" s="62">
        <f>IFERROR(C11/SUM($C$5:$C$264),0)</f>
        <v>9.0342893963262015E-5</v>
      </c>
      <c r="F11" s="63"/>
    </row>
    <row r="12" spans="1:6" ht="15.75" customHeight="1" x14ac:dyDescent="0.25">
      <c r="A12" t="s">
        <v>197</v>
      </c>
      <c r="B12" t="s">
        <v>196</v>
      </c>
      <c r="C12">
        <v>175000</v>
      </c>
      <c r="D12" s="36">
        <f t="shared" si="0"/>
        <v>125</v>
      </c>
      <c r="E12" s="62">
        <f>IFERROR(C12/SUM($C$5:$C$264),0)</f>
        <v>2.9576147865209771E-5</v>
      </c>
      <c r="F12" s="63"/>
    </row>
    <row r="13" spans="1:6" ht="15.75" customHeight="1" x14ac:dyDescent="0.25">
      <c r="A13" t="s">
        <v>199</v>
      </c>
      <c r="B13" t="s">
        <v>198</v>
      </c>
      <c r="C13">
        <v>2072796</v>
      </c>
      <c r="D13" s="36">
        <f t="shared" si="0"/>
        <v>1480.5685714285714</v>
      </c>
      <c r="E13" s="62">
        <f>IFERROR(C13/SUM($C$5:$C$264),0)</f>
        <v>3.503161199452306E-4</v>
      </c>
      <c r="F13" s="63"/>
    </row>
    <row r="14" spans="1:6" ht="15.75" customHeight="1" x14ac:dyDescent="0.25">
      <c r="A14" t="s">
        <v>201</v>
      </c>
      <c r="B14" t="s">
        <v>200</v>
      </c>
      <c r="C14">
        <v>6559198.25</v>
      </c>
      <c r="D14" s="36">
        <f t="shared" si="0"/>
        <v>4685.1416071428575</v>
      </c>
      <c r="E14" s="62">
        <f>IFERROR(C14/SUM($C$5:$C$264),0)</f>
        <v>1.1085475275384295E-3</v>
      </c>
      <c r="F14" s="63"/>
    </row>
    <row r="15" spans="1:6" ht="15.75" customHeight="1" x14ac:dyDescent="0.25">
      <c r="A15" t="s">
        <v>203</v>
      </c>
      <c r="B15" t="s">
        <v>202</v>
      </c>
      <c r="C15">
        <v>560000</v>
      </c>
      <c r="D15" s="36">
        <f t="shared" si="0"/>
        <v>400</v>
      </c>
      <c r="E15" s="62">
        <f>IFERROR(C15/SUM($C$5:$C$264),0)</f>
        <v>9.4643673168671273E-5</v>
      </c>
      <c r="F15" s="63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36">
        <f t="shared" si="0"/>
        <v>3330.9895071428568</v>
      </c>
      <c r="E16" s="62">
        <f>IFERROR(C16/SUM($C$5:$C$264),0)</f>
        <v>7.8814270560575485E-4</v>
      </c>
      <c r="F16" s="63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36">
        <f t="shared" si="0"/>
        <v>95.942628571428571</v>
      </c>
      <c r="E17" s="62">
        <f>IFERROR(C17/SUM($C$5:$C$264),0)</f>
        <v>2.2700906953643768E-5</v>
      </c>
      <c r="F17" s="63"/>
    </row>
    <row r="18" spans="1:6" ht="15.75" customHeight="1" x14ac:dyDescent="0.25">
      <c r="A18" t="s">
        <v>209</v>
      </c>
      <c r="B18" t="s">
        <v>208</v>
      </c>
      <c r="C18">
        <v>1706201.05</v>
      </c>
      <c r="D18" s="36">
        <f t="shared" si="0"/>
        <v>1218.7150357142857</v>
      </c>
      <c r="E18" s="62">
        <f>IFERROR(C18/SUM($C$5:$C$264),0)</f>
        <v>2.8835916881472096E-4</v>
      </c>
      <c r="F18" s="63"/>
    </row>
    <row r="19" spans="1:6" ht="15.75" customHeight="1" x14ac:dyDescent="0.25">
      <c r="A19" t="s">
        <v>211</v>
      </c>
      <c r="B19" t="s">
        <v>210</v>
      </c>
      <c r="C19">
        <v>1396945.29</v>
      </c>
      <c r="D19" s="36">
        <f t="shared" si="0"/>
        <v>997.81806428571429</v>
      </c>
      <c r="E19" s="62">
        <f>IFERROR(C19/SUM($C$5:$C$264),0)</f>
        <v>2.3609291689513339E-4</v>
      </c>
      <c r="F19" s="63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36">
        <f t="shared" si="0"/>
        <v>1633.4021642857142</v>
      </c>
      <c r="E20" s="62">
        <f>IFERROR(C20/SUM($C$5:$C$264),0)</f>
        <v>3.8647795147414354E-4</v>
      </c>
      <c r="F20" s="63"/>
    </row>
    <row r="21" spans="1:6" ht="15.75" customHeight="1" x14ac:dyDescent="0.25">
      <c r="A21" t="s">
        <v>215</v>
      </c>
      <c r="B21" t="s">
        <v>214</v>
      </c>
      <c r="C21">
        <v>3165000</v>
      </c>
      <c r="D21" s="36">
        <f t="shared" si="0"/>
        <v>2260.7142857142858</v>
      </c>
      <c r="E21" s="62">
        <f>IFERROR(C21/SUM($C$5:$C$264),0)</f>
        <v>5.349057599622224E-4</v>
      </c>
      <c r="F21" s="63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36">
        <f t="shared" si="0"/>
        <v>20049.983542857142</v>
      </c>
      <c r="E22" s="62">
        <f>IFERROR(C22/SUM($C$5:$C$264),0)</f>
        <v>4.7440102236685228E-3</v>
      </c>
      <c r="F22" s="63"/>
    </row>
    <row r="23" spans="1:6" ht="15.75" customHeight="1" x14ac:dyDescent="0.25">
      <c r="A23" t="s">
        <v>219</v>
      </c>
      <c r="B23" t="s">
        <v>218</v>
      </c>
      <c r="C23">
        <v>3092058.01</v>
      </c>
      <c r="D23" s="36">
        <f t="shared" si="0"/>
        <v>2208.6128642857143</v>
      </c>
      <c r="E23" s="62">
        <f>IFERROR(C23/SUM($C$5:$C$264),0)</f>
        <v>5.2257808520895014E-4</v>
      </c>
      <c r="F23" s="63"/>
    </row>
    <row r="24" spans="1:6" ht="15.75" customHeight="1" x14ac:dyDescent="0.25">
      <c r="A24" t="s">
        <v>221</v>
      </c>
      <c r="B24" t="s">
        <v>220</v>
      </c>
      <c r="C24">
        <v>1394000.03</v>
      </c>
      <c r="D24" s="36">
        <f t="shared" si="0"/>
        <v>995.71430714285714</v>
      </c>
      <c r="E24" s="62">
        <f>IFERROR(C24/SUM($C$5:$C$264),0)</f>
        <v>2.3559514863649632E-4</v>
      </c>
      <c r="F24" s="63"/>
    </row>
    <row r="25" spans="1:6" ht="15.75" customHeight="1" x14ac:dyDescent="0.25">
      <c r="A25" t="s">
        <v>223</v>
      </c>
      <c r="B25" t="s">
        <v>222</v>
      </c>
      <c r="C25">
        <v>559955.12</v>
      </c>
      <c r="D25" s="36">
        <f t="shared" si="0"/>
        <v>399.96794285714287</v>
      </c>
      <c r="E25" s="62">
        <f>IFERROR(C25/SUM($C$5:$C$264),0)</f>
        <v>9.4636088154293035E-5</v>
      </c>
      <c r="F25" s="63"/>
    </row>
    <row r="26" spans="1:6" ht="15.75" customHeight="1" x14ac:dyDescent="0.25">
      <c r="A26" t="s">
        <v>225</v>
      </c>
      <c r="B26" t="s">
        <v>224</v>
      </c>
      <c r="C26">
        <v>4477000</v>
      </c>
      <c r="D26" s="36">
        <f t="shared" si="0"/>
        <v>3197.8571428571427</v>
      </c>
      <c r="E26" s="62">
        <f>IFERROR(C26/SUM($C$5:$C$264),0)</f>
        <v>7.5664236567168084E-4</v>
      </c>
      <c r="F26" s="63"/>
    </row>
    <row r="27" spans="1:6" ht="15.75" customHeight="1" x14ac:dyDescent="0.25">
      <c r="A27" t="s">
        <v>227</v>
      </c>
      <c r="B27" t="s">
        <v>226</v>
      </c>
      <c r="C27">
        <v>1612628.48</v>
      </c>
      <c r="D27" s="36">
        <f t="shared" si="0"/>
        <v>1151.8774857142857</v>
      </c>
      <c r="E27" s="62">
        <f>IFERROR(C27/SUM($C$5:$C$264),0)</f>
        <v>2.7254479072073417E-4</v>
      </c>
      <c r="F27" s="63"/>
    </row>
    <row r="28" spans="1:6" ht="15.75" customHeight="1" x14ac:dyDescent="0.25">
      <c r="A28" t="s">
        <v>229</v>
      </c>
      <c r="B28" t="s">
        <v>228</v>
      </c>
      <c r="C28">
        <v>1233477.24</v>
      </c>
      <c r="D28" s="36">
        <f t="shared" si="0"/>
        <v>881.05517142857138</v>
      </c>
      <c r="E28" s="62">
        <f>IFERROR(C28/SUM($C$5:$C$264),0)</f>
        <v>2.0846574422063338E-4</v>
      </c>
      <c r="F28" s="63"/>
    </row>
    <row r="29" spans="1:6" ht="15.75" customHeight="1" x14ac:dyDescent="0.25">
      <c r="A29" t="s">
        <v>231</v>
      </c>
      <c r="B29" t="s">
        <v>230</v>
      </c>
      <c r="C29">
        <v>4531450</v>
      </c>
      <c r="D29" s="36">
        <f t="shared" si="0"/>
        <v>3236.75</v>
      </c>
      <c r="E29" s="62">
        <f>IFERROR(C29/SUM($C$5:$C$264),0)</f>
        <v>7.6584477282174183E-4</v>
      </c>
      <c r="F29" s="63"/>
    </row>
    <row r="30" spans="1:6" ht="15.75" customHeight="1" x14ac:dyDescent="0.25">
      <c r="A30" t="s">
        <v>233</v>
      </c>
      <c r="B30" t="s">
        <v>232</v>
      </c>
      <c r="C30">
        <v>1854029.87</v>
      </c>
      <c r="D30" s="36">
        <f t="shared" si="0"/>
        <v>1324.3070500000001</v>
      </c>
      <c r="E30" s="62">
        <f>IFERROR(C30/SUM($C$5:$C$264),0)</f>
        <v>3.13343209037918E-4</v>
      </c>
      <c r="F30" s="63"/>
    </row>
    <row r="31" spans="1:6" ht="15.75" customHeight="1" x14ac:dyDescent="0.25">
      <c r="A31" t="s">
        <v>235</v>
      </c>
      <c r="B31" t="s">
        <v>234</v>
      </c>
      <c r="C31">
        <v>433400</v>
      </c>
      <c r="D31" s="36">
        <f t="shared" si="0"/>
        <v>309.57142857142856</v>
      </c>
      <c r="E31" s="62">
        <f>IFERROR(C31/SUM($C$5:$C$264),0)</f>
        <v>7.3247442770182374E-5</v>
      </c>
      <c r="F31" s="63"/>
    </row>
    <row r="32" spans="1:6" ht="15.75" customHeight="1" x14ac:dyDescent="0.25">
      <c r="A32" t="s">
        <v>237</v>
      </c>
      <c r="B32" t="s">
        <v>236</v>
      </c>
      <c r="C32">
        <v>477360</v>
      </c>
      <c r="D32" s="36">
        <f t="shared" si="0"/>
        <v>340.97142857142859</v>
      </c>
      <c r="E32" s="62">
        <f>IFERROR(C32/SUM($C$5:$C$264),0)</f>
        <v>8.0676971113923066E-5</v>
      </c>
      <c r="F32" s="63"/>
    </row>
    <row r="33" spans="1:6" ht="15.75" customHeight="1" x14ac:dyDescent="0.25">
      <c r="A33" t="s">
        <v>239</v>
      </c>
      <c r="B33" t="s">
        <v>238</v>
      </c>
      <c r="C33">
        <v>3000000</v>
      </c>
      <c r="D33" s="36">
        <f t="shared" si="0"/>
        <v>2142.8571428571427</v>
      </c>
      <c r="E33" s="62">
        <f>IFERROR(C33/SUM($C$5:$C$264),0)</f>
        <v>5.0701967768931031E-4</v>
      </c>
      <c r="F33" s="63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36">
        <f t="shared" si="0"/>
        <v>24124.59164285714</v>
      </c>
      <c r="E34" s="62">
        <f>IFERROR(C34/SUM($C$5:$C$264),0)</f>
        <v>5.7080999169355738E-3</v>
      </c>
      <c r="F34" s="63"/>
    </row>
    <row r="35" spans="1:6" ht="15.75" customHeight="1" x14ac:dyDescent="0.25">
      <c r="A35" t="s">
        <v>243</v>
      </c>
      <c r="B35" t="s">
        <v>242</v>
      </c>
      <c r="C35">
        <v>3668831.4</v>
      </c>
      <c r="D35" s="36">
        <f t="shared" si="0"/>
        <v>2620.5938571428569</v>
      </c>
      <c r="E35" s="62">
        <f>IFERROR(C35/SUM($C$5:$C$264),0)</f>
        <v>6.2005657130814046E-4</v>
      </c>
      <c r="F35" s="63"/>
    </row>
    <row r="36" spans="1:6" ht="15.75" customHeight="1" x14ac:dyDescent="0.25">
      <c r="A36" t="s">
        <v>245</v>
      </c>
      <c r="B36" t="s">
        <v>244</v>
      </c>
      <c r="C36">
        <v>1907010.82</v>
      </c>
      <c r="D36" s="36">
        <f t="shared" si="0"/>
        <v>1362.1505857142859</v>
      </c>
      <c r="E36" s="62">
        <f>IFERROR(C36/SUM($C$5:$C$264),0)</f>
        <v>3.2229733710214251E-4</v>
      </c>
      <c r="F36" s="63"/>
    </row>
    <row r="37" spans="1:6" ht="15.75" customHeight="1" x14ac:dyDescent="0.25">
      <c r="A37" t="s">
        <v>247</v>
      </c>
      <c r="B37" t="s">
        <v>246</v>
      </c>
      <c r="C37">
        <v>721266.29</v>
      </c>
      <c r="D37" s="36">
        <f t="shared" si="0"/>
        <v>515.19020714285716</v>
      </c>
      <c r="E37" s="62">
        <f>IFERROR(C37/SUM($C$5:$C$264),0)</f>
        <v>1.2189873396132156E-4</v>
      </c>
      <c r="F37" s="63"/>
    </row>
    <row r="38" spans="1:6" ht="15.75" customHeight="1" x14ac:dyDescent="0.25">
      <c r="A38" t="s">
        <v>249</v>
      </c>
      <c r="B38" t="s">
        <v>248</v>
      </c>
      <c r="C38">
        <v>4835529.37</v>
      </c>
      <c r="D38" s="36">
        <f t="shared" si="0"/>
        <v>3453.9495500000003</v>
      </c>
      <c r="E38" s="62">
        <f>IFERROR(C38/SUM($C$5:$C$264),0)</f>
        <v>8.1723618087819799E-4</v>
      </c>
      <c r="F38" s="63"/>
    </row>
    <row r="39" spans="1:6" ht="15.75" customHeight="1" x14ac:dyDescent="0.25">
      <c r="A39" t="s">
        <v>251</v>
      </c>
      <c r="B39" t="s">
        <v>250</v>
      </c>
      <c r="C39">
        <v>-0.01</v>
      </c>
      <c r="D39" s="36">
        <f t="shared" si="0"/>
        <v>-7.1428571428571427E-6</v>
      </c>
      <c r="E39" s="62">
        <f>IFERROR(C39/SUM($C$5:$C$264),0)</f>
        <v>-1.6900655922977012E-12</v>
      </c>
      <c r="F39" s="63"/>
    </row>
    <row r="40" spans="1:6" ht="15.75" customHeight="1" x14ac:dyDescent="0.25">
      <c r="A40" t="s">
        <v>253</v>
      </c>
      <c r="B40" t="s">
        <v>252</v>
      </c>
      <c r="C40">
        <v>778635</v>
      </c>
      <c r="D40" s="36">
        <f t="shared" si="0"/>
        <v>556.16785714285709</v>
      </c>
      <c r="E40" s="62">
        <f>IFERROR(C40/SUM($C$5:$C$264),0)</f>
        <v>1.3159442224587204E-4</v>
      </c>
      <c r="F40" s="63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36">
        <f t="shared" si="0"/>
        <v>1688.0894999999998</v>
      </c>
      <c r="E41" s="62">
        <f>IFERROR(C41/SUM($C$5:$C$264),0)</f>
        <v>3.9941747729366423E-4</v>
      </c>
      <c r="F41" s="63"/>
    </row>
    <row r="42" spans="1:6" ht="15.75" customHeight="1" x14ac:dyDescent="0.25">
      <c r="A42" t="s">
        <v>257</v>
      </c>
      <c r="B42" t="s">
        <v>256</v>
      </c>
      <c r="C42">
        <v>10709450.09</v>
      </c>
      <c r="D42" s="36">
        <f t="shared" si="0"/>
        <v>7649.6072071428571</v>
      </c>
      <c r="E42" s="62">
        <f>IFERROR(C42/SUM($C$5:$C$264),0)</f>
        <v>1.8099673109538519E-3</v>
      </c>
      <c r="F42" s="63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36">
        <f t="shared" si="0"/>
        <v>9223.7574000000004</v>
      </c>
      <c r="E43" s="62">
        <f>IFERROR(C43/SUM($C$5:$C$264),0)</f>
        <v>2.1824257018817827E-3</v>
      </c>
      <c r="F43" s="63"/>
    </row>
    <row r="44" spans="1:6" ht="15.75" customHeight="1" x14ac:dyDescent="0.25">
      <c r="A44" t="s">
        <v>261</v>
      </c>
      <c r="B44" t="s">
        <v>260</v>
      </c>
      <c r="C44">
        <v>1149177.07</v>
      </c>
      <c r="D44" s="36">
        <f t="shared" si="0"/>
        <v>820.84076428571439</v>
      </c>
      <c r="E44" s="62">
        <f>IFERROR(C44/SUM($C$5:$C$264),0)</f>
        <v>1.942184625464487E-4</v>
      </c>
      <c r="F44" s="63"/>
    </row>
    <row r="45" spans="1:6" ht="15.75" customHeight="1" x14ac:dyDescent="0.25">
      <c r="A45" t="s">
        <v>263</v>
      </c>
      <c r="B45" t="s">
        <v>262</v>
      </c>
      <c r="C45">
        <v>217</v>
      </c>
      <c r="D45" s="36">
        <f t="shared" si="0"/>
        <v>0.155</v>
      </c>
      <c r="E45" s="62">
        <f>IFERROR(C45/SUM($C$5:$C$264),0)</f>
        <v>3.6674423352860116E-8</v>
      </c>
      <c r="F45" s="63"/>
    </row>
    <row r="46" spans="1:6" ht="15.75" customHeight="1" x14ac:dyDescent="0.25">
      <c r="A46" t="s">
        <v>265</v>
      </c>
      <c r="B46" t="s">
        <v>264</v>
      </c>
      <c r="C46">
        <v>3201085.01</v>
      </c>
      <c r="D46" s="36">
        <f t="shared" si="0"/>
        <v>2286.4892928571426</v>
      </c>
      <c r="E46" s="62">
        <f>IFERROR(C46/SUM($C$5:$C$264),0)</f>
        <v>5.4100436334209424E-4</v>
      </c>
      <c r="F46" s="63"/>
    </row>
    <row r="47" spans="1:6" ht="15.75" customHeight="1" x14ac:dyDescent="0.25">
      <c r="A47" t="s">
        <v>267</v>
      </c>
      <c r="B47" t="s">
        <v>266</v>
      </c>
      <c r="C47">
        <v>2715120</v>
      </c>
      <c r="D47" s="36">
        <f t="shared" si="0"/>
        <v>1939.3714285714286</v>
      </c>
      <c r="E47" s="62">
        <f>IFERROR(C47/SUM($C$5:$C$264),0)</f>
        <v>4.5887308909593343E-4</v>
      </c>
      <c r="F47" s="63"/>
    </row>
    <row r="48" spans="1:6" ht="15.75" customHeight="1" x14ac:dyDescent="0.25">
      <c r="A48" t="s">
        <v>269</v>
      </c>
      <c r="B48" t="s">
        <v>268</v>
      </c>
      <c r="C48">
        <v>13110797</v>
      </c>
      <c r="D48" s="36">
        <f t="shared" si="0"/>
        <v>9364.8549999999996</v>
      </c>
      <c r="E48" s="62">
        <f>IFERROR(C48/SUM($C$5:$C$264),0)</f>
        <v>2.2158106897299922E-3</v>
      </c>
      <c r="F48" s="63"/>
    </row>
    <row r="49" spans="1:6" ht="15.75" customHeight="1" x14ac:dyDescent="0.25">
      <c r="A49" t="s">
        <v>271</v>
      </c>
      <c r="B49" t="s">
        <v>270</v>
      </c>
      <c r="C49">
        <v>3732608</v>
      </c>
      <c r="D49" s="36">
        <f t="shared" si="0"/>
        <v>2666.1485714285714</v>
      </c>
      <c r="E49" s="62">
        <f>IFERROR(C49/SUM($C$5:$C$264),0)</f>
        <v>6.3083523503351376E-4</v>
      </c>
      <c r="F49" s="63"/>
    </row>
    <row r="50" spans="1:6" ht="15.75" customHeight="1" x14ac:dyDescent="0.25">
      <c r="A50" t="s">
        <v>273</v>
      </c>
      <c r="B50" t="s">
        <v>272</v>
      </c>
      <c r="C50">
        <v>253827150</v>
      </c>
      <c r="D50" s="36">
        <f t="shared" si="0"/>
        <v>181305.10714285713</v>
      </c>
      <c r="E50" s="62">
        <f>IFERROR(C50/SUM($C$5:$C$264),0)</f>
        <v>4.2898453260598747E-2</v>
      </c>
      <c r="F50" s="63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36">
        <f t="shared" si="0"/>
        <v>289251.24108571425</v>
      </c>
      <c r="E51" s="62">
        <f>IFERROR(C51/SUM($C$5:$C$264),0)</f>
        <v>6.8439499812372198E-2</v>
      </c>
      <c r="F51" s="63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36">
        <f t="shared" si="0"/>
        <v>98904.291671428567</v>
      </c>
      <c r="E52" s="62">
        <f>IFERROR(C52/SUM($C$5:$C$264),0)</f>
        <v>2.3401663639824054E-2</v>
      </c>
      <c r="F52" s="63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36">
        <f t="shared" si="0"/>
        <v>321693.03067857143</v>
      </c>
      <c r="E53" s="62">
        <f>IFERROR(C53/SUM($C$5:$C$264),0)</f>
        <v>7.6115525140455137E-2</v>
      </c>
      <c r="F53" s="63"/>
    </row>
    <row r="54" spans="1:6" ht="15.75" customHeight="1" x14ac:dyDescent="0.25">
      <c r="A54" t="s">
        <v>279</v>
      </c>
      <c r="B54" t="s">
        <v>278</v>
      </c>
      <c r="C54">
        <v>4157535.95</v>
      </c>
      <c r="D54" s="36">
        <f t="shared" si="0"/>
        <v>2969.668535714286</v>
      </c>
      <c r="E54" s="62">
        <f>IFERROR(C54/SUM($C$5:$C$264),0)</f>
        <v>7.0265084578357358E-4</v>
      </c>
      <c r="F54" s="63"/>
    </row>
    <row r="55" spans="1:6" ht="15.75" customHeight="1" x14ac:dyDescent="0.25">
      <c r="A55" t="s">
        <v>281</v>
      </c>
      <c r="B55" t="s">
        <v>280</v>
      </c>
      <c r="C55">
        <v>4971931.2</v>
      </c>
      <c r="D55" s="36">
        <f t="shared" si="0"/>
        <v>3551.3794285714289</v>
      </c>
      <c r="E55" s="62">
        <f>IFERROR(C55/SUM($C$5:$C$264),0)</f>
        <v>8.40288984839142E-4</v>
      </c>
      <c r="F55" s="63"/>
    </row>
    <row r="56" spans="1:6" ht="15.75" customHeight="1" x14ac:dyDescent="0.25">
      <c r="A56" t="s">
        <v>283</v>
      </c>
      <c r="B56" t="s">
        <v>282</v>
      </c>
      <c r="C56">
        <v>25886</v>
      </c>
      <c r="D56" s="36">
        <f t="shared" si="0"/>
        <v>18.489999999999998</v>
      </c>
      <c r="E56" s="62">
        <f>IFERROR(C56/SUM($C$5:$C$264),0)</f>
        <v>4.3749037922218291E-6</v>
      </c>
      <c r="F56" s="63"/>
    </row>
    <row r="57" spans="1:6" ht="15.75" customHeight="1" x14ac:dyDescent="0.25">
      <c r="A57" t="s">
        <v>285</v>
      </c>
      <c r="B57" t="s">
        <v>284</v>
      </c>
      <c r="C57">
        <v>2431084.48</v>
      </c>
      <c r="D57" s="36">
        <f t="shared" si="0"/>
        <v>1736.4889142857144</v>
      </c>
      <c r="E57" s="62">
        <f>IFERROR(C57/SUM($C$5:$C$264),0)</f>
        <v>4.1086922316169487E-4</v>
      </c>
      <c r="F57" s="63"/>
    </row>
    <row r="58" spans="1:6" ht="15.75" customHeight="1" x14ac:dyDescent="0.25">
      <c r="A58" t="s">
        <v>287</v>
      </c>
      <c r="B58" t="s">
        <v>286</v>
      </c>
      <c r="C58">
        <v>-204.43</v>
      </c>
      <c r="D58" s="36">
        <f t="shared" si="0"/>
        <v>-0.14602142857142858</v>
      </c>
      <c r="E58" s="62">
        <f>IFERROR(C58/SUM($C$5:$C$264),0)</f>
        <v>-3.4550010903341909E-8</v>
      </c>
      <c r="F58" s="63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36">
        <f t="shared" si="0"/>
        <v>3333.8611428571426</v>
      </c>
      <c r="E59" s="62">
        <f>IFERROR(C59/SUM($C$5:$C$264),0)</f>
        <v>7.8882216098576064E-4</v>
      </c>
      <c r="F59" s="63"/>
    </row>
    <row r="60" spans="1:6" ht="15.75" customHeight="1" x14ac:dyDescent="0.25">
      <c r="A60" t="s">
        <v>291</v>
      </c>
      <c r="B60" t="s">
        <v>290</v>
      </c>
      <c r="C60">
        <v>15334966.48</v>
      </c>
      <c r="D60" s="36">
        <f t="shared" si="0"/>
        <v>10953.547485714285</v>
      </c>
      <c r="E60" s="62">
        <f>IFERROR(C60/SUM($C$5:$C$264),0)</f>
        <v>2.5917099206886596E-3</v>
      </c>
      <c r="F60" s="63"/>
    </row>
    <row r="61" spans="1:6" ht="15.75" customHeight="1" x14ac:dyDescent="0.25">
      <c r="A61" t="s">
        <v>293</v>
      </c>
      <c r="B61" t="s">
        <v>292</v>
      </c>
      <c r="C61">
        <v>-106108.29</v>
      </c>
      <c r="D61" s="36">
        <f t="shared" si="0"/>
        <v>-75.791635714285704</v>
      </c>
      <c r="E61" s="62">
        <f>IFERROR(C61/SUM($C$5:$C$264),0)</f>
        <v>-1.7932996998654625E-5</v>
      </c>
      <c r="F61" s="63"/>
    </row>
    <row r="62" spans="1:6" ht="15.75" customHeight="1" x14ac:dyDescent="0.25">
      <c r="A62" t="s">
        <v>295</v>
      </c>
      <c r="B62" t="s">
        <v>294</v>
      </c>
      <c r="C62">
        <v>2391716.25</v>
      </c>
      <c r="D62" s="36">
        <f t="shared" si="0"/>
        <v>1708.3687500000001</v>
      </c>
      <c r="E62" s="62">
        <f>IFERROR(C62/SUM($C$5:$C$264),0)</f>
        <v>4.0421573406642866E-4</v>
      </c>
      <c r="F62" s="63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36">
        <f t="shared" si="0"/>
        <v>6579.0830928571431</v>
      </c>
      <c r="E63" s="62">
        <f>IFERROR(C63/SUM($C$5:$C$264),0)</f>
        <v>1.5566714749747558E-3</v>
      </c>
      <c r="F63" s="63"/>
    </row>
    <row r="64" spans="1:6" ht="15.75" customHeight="1" x14ac:dyDescent="0.25">
      <c r="A64" t="s">
        <v>299</v>
      </c>
      <c r="B64" t="s">
        <v>298</v>
      </c>
      <c r="C64">
        <v>2743859.76</v>
      </c>
      <c r="D64" s="36">
        <f t="shared" si="0"/>
        <v>1959.8998285714283</v>
      </c>
      <c r="E64" s="62">
        <f>IFERROR(C64/SUM($C$5:$C$264),0)</f>
        <v>4.6373029704662279E-4</v>
      </c>
      <c r="F64" s="63"/>
    </row>
    <row r="65" spans="1:6" ht="15.75" customHeight="1" x14ac:dyDescent="0.25">
      <c r="A65" t="s">
        <v>301</v>
      </c>
      <c r="B65" t="s">
        <v>300</v>
      </c>
      <c r="C65">
        <v>2710054.36</v>
      </c>
      <c r="D65" s="36">
        <f t="shared" si="0"/>
        <v>1935.7531142857142</v>
      </c>
      <c r="E65" s="62">
        <f>IFERROR(C65/SUM($C$5:$C$264),0)</f>
        <v>4.5801696270923671E-4</v>
      </c>
      <c r="F65" s="63"/>
    </row>
    <row r="66" spans="1:6" ht="15.75" customHeight="1" x14ac:dyDescent="0.25">
      <c r="A66" t="s">
        <v>303</v>
      </c>
      <c r="B66" t="s">
        <v>302</v>
      </c>
      <c r="C66">
        <v>880173.3</v>
      </c>
      <c r="D66" s="36">
        <f t="shared" si="0"/>
        <v>628.69521428571431</v>
      </c>
      <c r="E66" s="62">
        <f>IFERROR(C66/SUM($C$5:$C$264),0)</f>
        <v>1.4875506095891224E-4</v>
      </c>
      <c r="F66" s="63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36">
        <f t="shared" si="0"/>
        <v>1816.5412857142856</v>
      </c>
      <c r="E67" s="62">
        <f>IFERROR(C67/SUM($C$5:$C$264),0)</f>
        <v>4.2981034935635182E-4</v>
      </c>
      <c r="F67" s="63"/>
    </row>
    <row r="68" spans="1:6" ht="15.75" customHeight="1" x14ac:dyDescent="0.25">
      <c r="A68" t="s">
        <v>307</v>
      </c>
      <c r="B68" t="s">
        <v>306</v>
      </c>
      <c r="C68">
        <v>11170000</v>
      </c>
      <c r="D68" s="36">
        <f t="shared" si="0"/>
        <v>7978.5714285714284</v>
      </c>
      <c r="E68" s="62">
        <f>IFERROR(C68/SUM($C$5:$C$264),0)</f>
        <v>1.8878032665965321E-3</v>
      </c>
      <c r="F68" s="63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36">
        <f t="shared" si="0"/>
        <v>59773.022192857141</v>
      </c>
      <c r="E69" s="62">
        <f>IFERROR(C69/SUM($C$5:$C$264),0)</f>
        <v>1.4142845941811264E-2</v>
      </c>
      <c r="F69" s="63"/>
    </row>
    <row r="70" spans="1:6" ht="15.75" customHeight="1" x14ac:dyDescent="0.25">
      <c r="A70" t="s">
        <v>311</v>
      </c>
      <c r="B70" t="s">
        <v>310</v>
      </c>
      <c r="C70">
        <v>2275000</v>
      </c>
      <c r="D70" s="36">
        <f t="shared" si="0"/>
        <v>1625</v>
      </c>
      <c r="E70" s="62">
        <f>IFERROR(C70/SUM($C$5:$C$264),0)</f>
        <v>3.8448992224772704E-4</v>
      </c>
      <c r="F70" s="63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36">
        <f t="shared" si="0"/>
        <v>6158.3693214285722</v>
      </c>
      <c r="E71" s="62">
        <f>IFERROR(C71/SUM($C$5:$C$264),0)</f>
        <v>1.457126733273144E-3</v>
      </c>
      <c r="F71" s="63"/>
    </row>
    <row r="72" spans="1:6" ht="15.75" customHeight="1" x14ac:dyDescent="0.25">
      <c r="A72" t="s">
        <v>315</v>
      </c>
      <c r="B72" t="s">
        <v>314</v>
      </c>
      <c r="C72">
        <v>112999.99</v>
      </c>
      <c r="D72" s="36">
        <f t="shared" si="0"/>
        <v>80.714278571428579</v>
      </c>
      <c r="E72" s="62">
        <f>IFERROR(C72/SUM($C$5:$C$264),0)</f>
        <v>1.9097739502898431E-5</v>
      </c>
      <c r="F72" s="63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36">
        <f t="shared" si="0"/>
        <v>16723.078114285712</v>
      </c>
      <c r="E73" s="62">
        <f>IFERROR(C73/SUM($C$5:$C$264),0)</f>
        <v>3.9568338485565409E-3</v>
      </c>
      <c r="F73" s="63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36">
        <f t="shared" si="0"/>
        <v>1746.9831785714287</v>
      </c>
      <c r="E74" s="62">
        <f>IFERROR(C74/SUM($C$5:$C$264),0)</f>
        <v>4.1335226245970194E-4</v>
      </c>
      <c r="F74" s="63"/>
    </row>
    <row r="75" spans="1:6" ht="15.75" customHeight="1" x14ac:dyDescent="0.25">
      <c r="A75" t="s">
        <v>321</v>
      </c>
      <c r="B75" t="s">
        <v>320</v>
      </c>
      <c r="C75">
        <v>169308.72</v>
      </c>
      <c r="D75" s="36">
        <f t="shared" si="0"/>
        <v>120.9348</v>
      </c>
      <c r="E75" s="62">
        <f>IFERROR(C75/SUM($C$5:$C$264),0)</f>
        <v>2.8614284214796565E-5</v>
      </c>
      <c r="F75" s="63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36">
        <f t="shared" si="0"/>
        <v>85303.664414285726</v>
      </c>
      <c r="E76" s="62">
        <f>IFERROR(C76/SUM($C$5:$C$264),0)</f>
        <v>2.0183630337289177E-2</v>
      </c>
      <c r="F76" s="63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36">
        <f t="shared" si="0"/>
        <v>4793.5475500000002</v>
      </c>
      <c r="E77" s="62">
        <f>IFERROR(C77/SUM($C$5:$C$264),0)</f>
        <v>1.1341973691017123E-3</v>
      </c>
      <c r="F77" s="63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36">
        <f t="shared" si="0"/>
        <v>191.91725714285712</v>
      </c>
      <c r="E78" s="62">
        <f>IFERROR(C78/SUM($C$5:$C$264),0)</f>
        <v>4.5409385401141026E-5</v>
      </c>
      <c r="F78" s="63"/>
    </row>
    <row r="79" spans="1:6" ht="15.75" customHeight="1" x14ac:dyDescent="0.25">
      <c r="A79" t="s">
        <v>329</v>
      </c>
      <c r="B79" t="s">
        <v>328</v>
      </c>
      <c r="C79">
        <v>3080000</v>
      </c>
      <c r="D79" s="36">
        <f t="shared" si="0"/>
        <v>2200</v>
      </c>
      <c r="E79" s="62">
        <f>IFERROR(C79/SUM($C$5:$C$264),0)</f>
        <v>5.2054020242769201E-4</v>
      </c>
      <c r="F79" s="63"/>
    </row>
    <row r="80" spans="1:6" ht="15.75" customHeight="1" x14ac:dyDescent="0.25">
      <c r="A80" t="s">
        <v>331</v>
      </c>
      <c r="B80" t="s">
        <v>330</v>
      </c>
      <c r="C80">
        <v>21628003.43</v>
      </c>
      <c r="D80" s="36">
        <f t="shared" si="0"/>
        <v>15448.573878571427</v>
      </c>
      <c r="E80" s="62">
        <f>IFERROR(C80/SUM($C$5:$C$264),0)</f>
        <v>3.6552744427139662E-3</v>
      </c>
      <c r="F80" s="63"/>
    </row>
    <row r="81" spans="1:6" ht="15.75" customHeight="1" x14ac:dyDescent="0.25">
      <c r="A81" t="s">
        <v>333</v>
      </c>
      <c r="B81" t="s">
        <v>332</v>
      </c>
      <c r="C81">
        <v>11288387.76</v>
      </c>
      <c r="D81" s="36">
        <f t="shared" si="0"/>
        <v>8063.1341142857145</v>
      </c>
      <c r="E81" s="62">
        <f>IFERROR(C81/SUM($C$5:$C$264),0)</f>
        <v>1.907811574569052E-3</v>
      </c>
      <c r="F81" s="63"/>
    </row>
    <row r="82" spans="1:6" ht="15.75" customHeight="1" x14ac:dyDescent="0.25">
      <c r="A82" t="s">
        <v>335</v>
      </c>
      <c r="B82" t="s">
        <v>334</v>
      </c>
      <c r="C82">
        <v>148940</v>
      </c>
      <c r="D82" s="36">
        <f t="shared" si="0"/>
        <v>106.38571428571429</v>
      </c>
      <c r="E82" s="62">
        <f>IFERROR(C82/SUM($C$5:$C$264),0)</f>
        <v>2.5171836931681961E-5</v>
      </c>
      <c r="F82" s="63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36">
        <f t="shared" si="0"/>
        <v>4363.9504714285713</v>
      </c>
      <c r="E83" s="62">
        <f>IFERROR(C83/SUM($C$5:$C$264),0)</f>
        <v>1.0325507553553864E-3</v>
      </c>
      <c r="F83" s="63"/>
    </row>
    <row r="84" spans="1:6" ht="15.75" customHeight="1" x14ac:dyDescent="0.25">
      <c r="A84" t="s">
        <v>339</v>
      </c>
      <c r="B84" t="s">
        <v>338</v>
      </c>
      <c r="C84">
        <v>2382427.46</v>
      </c>
      <c r="D84" s="36">
        <f t="shared" si="0"/>
        <v>1701.7338999999999</v>
      </c>
      <c r="E84" s="62">
        <f>IFERROR(C84/SUM($C$5:$C$264),0)</f>
        <v>4.0264586762912076E-4</v>
      </c>
      <c r="F84" s="63"/>
    </row>
    <row r="85" spans="1:6" ht="15.75" customHeight="1" x14ac:dyDescent="0.25">
      <c r="A85" t="s">
        <v>341</v>
      </c>
      <c r="B85" t="s">
        <v>340</v>
      </c>
      <c r="C85">
        <v>135043.53</v>
      </c>
      <c r="D85" s="36">
        <f t="shared" si="0"/>
        <v>96.459664285714283</v>
      </c>
      <c r="E85" s="62">
        <f>IFERROR(C85/SUM($C$5:$C$264),0)</f>
        <v>2.2823242351542238E-5</v>
      </c>
      <c r="F85" s="63"/>
    </row>
    <row r="86" spans="1:6" ht="15.75" customHeight="1" x14ac:dyDescent="0.25">
      <c r="A86" t="s">
        <v>343</v>
      </c>
      <c r="B86" t="s">
        <v>342</v>
      </c>
      <c r="C86">
        <v>90750</v>
      </c>
      <c r="D86" s="36">
        <f t="shared" si="0"/>
        <v>64.821428571428569</v>
      </c>
      <c r="E86" s="62">
        <f>IFERROR(C86/SUM($C$5:$C$264),0)</f>
        <v>1.5337345250101639E-5</v>
      </c>
      <c r="F86" s="63"/>
    </row>
    <row r="87" spans="1:6" ht="15.75" customHeight="1" x14ac:dyDescent="0.25">
      <c r="A87" t="s">
        <v>345</v>
      </c>
      <c r="B87" t="s">
        <v>344</v>
      </c>
      <c r="C87">
        <v>979083.87</v>
      </c>
      <c r="D87" s="36">
        <f t="shared" si="0"/>
        <v>699.34562142857146</v>
      </c>
      <c r="E87" s="62">
        <f>IFERROR(C87/SUM($C$5:$C$264),0)</f>
        <v>1.6547159606606756E-4</v>
      </c>
      <c r="F87" s="63"/>
    </row>
    <row r="88" spans="1:6" ht="15.75" customHeight="1" x14ac:dyDescent="0.25">
      <c r="A88" t="s">
        <v>347</v>
      </c>
      <c r="B88" t="s">
        <v>346</v>
      </c>
      <c r="C88">
        <v>715981.2</v>
      </c>
      <c r="D88" s="36">
        <f t="shared" si="0"/>
        <v>511.41514285714283</v>
      </c>
      <c r="E88" s="62">
        <f>IFERROR(C88/SUM($C$5:$C$264),0)</f>
        <v>1.2100551908520188E-4</v>
      </c>
      <c r="F88" s="63"/>
    </row>
    <row r="89" spans="1:6" ht="15.75" customHeight="1" x14ac:dyDescent="0.25">
      <c r="A89" t="s">
        <v>349</v>
      </c>
      <c r="B89" t="s">
        <v>348</v>
      </c>
      <c r="C89">
        <v>290181.01</v>
      </c>
      <c r="D89" s="36">
        <f t="shared" si="0"/>
        <v>207.27215000000001</v>
      </c>
      <c r="E89" s="62">
        <f>IFERROR(C89/SUM($C$5:$C$264),0)</f>
        <v>4.9042494053919516E-5</v>
      </c>
      <c r="F89" s="63"/>
    </row>
    <row r="90" spans="1:6" ht="15.75" customHeight="1" x14ac:dyDescent="0.25">
      <c r="A90" t="s">
        <v>351</v>
      </c>
      <c r="B90" t="s">
        <v>350</v>
      </c>
      <c r="C90">
        <v>4611894.3</v>
      </c>
      <c r="D90" s="36">
        <f t="shared" si="0"/>
        <v>3294.2102142857143</v>
      </c>
      <c r="E90" s="62">
        <f>IFERROR(C90/SUM($C$5:$C$264),0)</f>
        <v>7.7944038717438918E-4</v>
      </c>
      <c r="F90" s="63"/>
    </row>
    <row r="91" spans="1:6" ht="15.75" customHeight="1" x14ac:dyDescent="0.25">
      <c r="A91" t="s">
        <v>353</v>
      </c>
      <c r="B91" t="s">
        <v>352</v>
      </c>
      <c r="C91">
        <v>2322602.6</v>
      </c>
      <c r="D91" s="36">
        <f t="shared" si="0"/>
        <v>1659.0018571428573</v>
      </c>
      <c r="E91" s="62">
        <f>IFERROR(C91/SUM($C$5:$C$264),0)</f>
        <v>3.9253507388411807E-4</v>
      </c>
      <c r="F91" s="63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36">
        <f t="shared" si="0"/>
        <v>62138.504057142862</v>
      </c>
      <c r="E92" s="62">
        <f>IFERROR(C92/SUM($C$5:$C$264),0)</f>
        <v>1.4702540672935957E-2</v>
      </c>
      <c r="F92" s="63"/>
    </row>
    <row r="93" spans="1:6" ht="15.75" customHeight="1" x14ac:dyDescent="0.25">
      <c r="A93" t="s">
        <v>357</v>
      </c>
      <c r="B93" t="s">
        <v>356</v>
      </c>
      <c r="C93">
        <v>1935493.25</v>
      </c>
      <c r="D93" s="36">
        <f t="shared" si="0"/>
        <v>1382.4951785714286</v>
      </c>
      <c r="E93" s="62">
        <f>IFERROR(C93/SUM($C$5:$C$264),0)</f>
        <v>3.2711105459494526E-4</v>
      </c>
      <c r="F93" s="63"/>
    </row>
    <row r="94" spans="1:6" ht="15.75" customHeight="1" x14ac:dyDescent="0.25">
      <c r="A94" t="s">
        <v>359</v>
      </c>
      <c r="B94" t="s">
        <v>358</v>
      </c>
      <c r="C94">
        <v>12698434.35</v>
      </c>
      <c r="D94" s="36">
        <f t="shared" si="0"/>
        <v>9070.3102500000005</v>
      </c>
      <c r="E94" s="62">
        <f>IFERROR(C94/SUM($C$5:$C$264),0)</f>
        <v>2.1461186970986226E-3</v>
      </c>
      <c r="F94" s="63"/>
    </row>
    <row r="95" spans="1:6" ht="15.75" customHeight="1" x14ac:dyDescent="0.25">
      <c r="A95" t="s">
        <v>361</v>
      </c>
      <c r="B95" t="s">
        <v>360</v>
      </c>
      <c r="C95">
        <v>1024284.15</v>
      </c>
      <c r="D95" s="36">
        <f t="shared" si="0"/>
        <v>731.63153571428575</v>
      </c>
      <c r="E95" s="62">
        <f>IFERROR(C95/SUM($C$5:$C$264),0)</f>
        <v>1.7311073986508974E-4</v>
      </c>
      <c r="F95" s="63"/>
    </row>
    <row r="96" spans="1:6" ht="15.75" customHeight="1" x14ac:dyDescent="0.25">
      <c r="A96" t="s">
        <v>363</v>
      </c>
      <c r="B96" t="s">
        <v>362</v>
      </c>
      <c r="C96">
        <v>780000</v>
      </c>
      <c r="D96" s="36">
        <f t="shared" si="0"/>
        <v>557.14285714285711</v>
      </c>
      <c r="E96" s="62">
        <f>IFERROR(C96/SUM($C$5:$C$264),0)</f>
        <v>1.318251161992207E-4</v>
      </c>
      <c r="F96" s="63"/>
    </row>
    <row r="97" spans="1:6" ht="15.75" customHeight="1" x14ac:dyDescent="0.25">
      <c r="A97" t="s">
        <v>365</v>
      </c>
      <c r="B97" t="s">
        <v>364</v>
      </c>
      <c r="C97">
        <v>180000</v>
      </c>
      <c r="D97" s="36">
        <f t="shared" si="0"/>
        <v>128.57142857142858</v>
      </c>
      <c r="E97" s="62">
        <f>IFERROR(C97/SUM($C$5:$C$264),0)</f>
        <v>3.042118066135862E-5</v>
      </c>
      <c r="F97" s="63"/>
    </row>
    <row r="98" spans="1:6" ht="15.75" customHeight="1" x14ac:dyDescent="0.25">
      <c r="A98" t="s">
        <v>367</v>
      </c>
      <c r="B98" t="s">
        <v>366</v>
      </c>
      <c r="C98">
        <v>0.02</v>
      </c>
      <c r="D98" s="36">
        <f t="shared" si="0"/>
        <v>1.4285714285714285E-5</v>
      </c>
      <c r="E98" s="62">
        <f>IFERROR(C98/SUM($C$5:$C$264),0)</f>
        <v>3.3801311845954025E-12</v>
      </c>
      <c r="F98" s="63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36">
        <f t="shared" si="0"/>
        <v>3863.8497857142856</v>
      </c>
      <c r="E99" s="62">
        <f>IFERROR(C99/SUM($C$5:$C$264),0)</f>
        <v>9.1422234072995848E-4</v>
      </c>
      <c r="F99" s="63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36">
        <f t="shared" si="0"/>
        <v>9280.7993928571432</v>
      </c>
      <c r="E100" s="62">
        <f>IFERROR(C100/SUM($C$5:$C$264),0)</f>
        <v>2.1959223612039356E-3</v>
      </c>
      <c r="F100" s="63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36">
        <f t="shared" si="0"/>
        <v>321.1000357142857</v>
      </c>
      <c r="E101" s="62">
        <f>IFERROR(C101/SUM($C$5:$C$264),0)</f>
        <v>7.5975217086478815E-5</v>
      </c>
      <c r="F101" s="63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36">
        <f t="shared" si="0"/>
        <v>2062.0992857142855</v>
      </c>
      <c r="E102" s="62">
        <f>IFERROR(C102/SUM($C$5:$C$264),0)</f>
        <v>4.8791162709623334E-4</v>
      </c>
      <c r="F102" s="63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36">
        <f t="shared" si="0"/>
        <v>-2.7888428571428574</v>
      </c>
      <c r="E103" s="62">
        <f>IFERROR(C103/SUM($C$5:$C$264),0)</f>
        <v>-6.5986582972552983E-7</v>
      </c>
      <c r="F103" s="63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36">
        <f t="shared" si="0"/>
        <v>529.05089285714291</v>
      </c>
      <c r="E104" s="62">
        <f>IFERROR(C104/SUM($C$5:$C$264),0)</f>
        <v>1.2517829948291287E-4</v>
      </c>
      <c r="F104" s="63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36">
        <f t="shared" si="0"/>
        <v>1234.6685428571429</v>
      </c>
      <c r="E105" s="62">
        <f>IFERROR(C105/SUM($C$5:$C$264),0)</f>
        <v>2.9213391510452756E-4</v>
      </c>
      <c r="F105" s="63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36">
        <f t="shared" si="0"/>
        <v>1408.1447285714287</v>
      </c>
      <c r="E106" s="62">
        <f>IFERROR(C106/SUM($C$5:$C$264),0)</f>
        <v>3.3317997366275401E-4</v>
      </c>
      <c r="F106" s="63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36">
        <f t="shared" si="0"/>
        <v>28.833821428571426</v>
      </c>
      <c r="E107" s="62">
        <f>IFERROR(C107/SUM($C$5:$C$264),0)</f>
        <v>6.8223469287238607E-6</v>
      </c>
      <c r="F107" s="63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36">
        <f t="shared" si="0"/>
        <v>4491.4206071428571</v>
      </c>
      <c r="E108" s="62">
        <f>IFERROR(C108/SUM($C$5:$C$264),0)</f>
        <v>1.0627113600136591E-3</v>
      </c>
      <c r="F108" s="63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36">
        <f t="shared" si="0"/>
        <v>4642.8571428571431</v>
      </c>
      <c r="E109" s="62">
        <f>IFERROR(C109/SUM($C$5:$C$264),0)</f>
        <v>1.0985426349935058E-3</v>
      </c>
      <c r="F109" s="63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36">
        <f t="shared" si="0"/>
        <v>27342.40789285714</v>
      </c>
      <c r="E110" s="62">
        <f>IFERROR(C110/SUM($C$5:$C$264),0)</f>
        <v>6.4694647906401717E-3</v>
      </c>
      <c r="F110" s="63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36">
        <f t="shared" si="0"/>
        <v>267.1608642857143</v>
      </c>
      <c r="E111" s="62">
        <f>IFERROR(C111/SUM($C$5:$C$264),0)</f>
        <v>6.3212713807292209E-5</v>
      </c>
      <c r="F111" s="63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36">
        <f t="shared" si="0"/>
        <v>1989.4863214285715</v>
      </c>
      <c r="E112" s="62">
        <f>IFERROR(C112/SUM($C$5:$C$264),0)</f>
        <v>4.7073073294706945E-4</v>
      </c>
      <c r="F112" s="63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36">
        <f t="shared" si="0"/>
        <v>31.501485714285714</v>
      </c>
      <c r="E113" s="62">
        <f>IFERROR(C113/SUM($C$5:$C$264),0)</f>
        <v>7.4535407956760608E-6</v>
      </c>
      <c r="F113" s="63"/>
    </row>
    <row r="114" spans="1:6" ht="15.75" customHeight="1" x14ac:dyDescent="0.25">
      <c r="A114" t="s">
        <v>399</v>
      </c>
      <c r="B114" t="s">
        <v>398</v>
      </c>
      <c r="C114">
        <v>680000</v>
      </c>
      <c r="D114" s="36">
        <f t="shared" si="0"/>
        <v>485.71428571428572</v>
      </c>
      <c r="E114" s="62">
        <f>IFERROR(C114/SUM($C$5:$C$264),0)</f>
        <v>1.1492446027624369E-4</v>
      </c>
      <c r="F114" s="63"/>
    </row>
    <row r="115" spans="1:6" ht="15.75" customHeight="1" x14ac:dyDescent="0.25">
      <c r="A115" t="s">
        <v>401</v>
      </c>
      <c r="B115" t="s">
        <v>400</v>
      </c>
      <c r="C115">
        <v>871200</v>
      </c>
      <c r="D115" s="36">
        <f t="shared" si="0"/>
        <v>622.28571428571433</v>
      </c>
      <c r="E115" s="62">
        <f>IFERROR(C115/SUM($C$5:$C$264),0)</f>
        <v>1.4723851440097573E-4</v>
      </c>
      <c r="F115" s="63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36">
        <f t="shared" si="0"/>
        <v>1633.9875499999998</v>
      </c>
      <c r="E116" s="62">
        <f>IFERROR(C116/SUM($C$5:$C$264),0)</f>
        <v>3.8661645910969471E-4</v>
      </c>
      <c r="F116" s="63"/>
    </row>
    <row r="117" spans="1:6" ht="15.75" customHeight="1" x14ac:dyDescent="0.25">
      <c r="A117" t="s">
        <v>405</v>
      </c>
      <c r="B117" t="s">
        <v>404</v>
      </c>
      <c r="C117">
        <v>21780</v>
      </c>
      <c r="D117" s="36">
        <f t="shared" si="0"/>
        <v>15.557142857142857</v>
      </c>
      <c r="E117" s="62">
        <f>IFERROR(C117/SUM($C$5:$C$264),0)</f>
        <v>3.6809628600243932E-6</v>
      </c>
      <c r="F117" s="63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36">
        <f t="shared" si="0"/>
        <v>4283.5341642857147</v>
      </c>
      <c r="E118" s="62">
        <f>IFERROR(C118/SUM($C$5:$C$264),0)</f>
        <v>1.0135235186287364E-3</v>
      </c>
      <c r="F118" s="63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36">
        <f t="shared" si="0"/>
        <v>166.42484999999999</v>
      </c>
      <c r="E119" s="62">
        <f>IFERROR(C119/SUM($C$5:$C$264),0)</f>
        <v>3.937764777636285E-5</v>
      </c>
      <c r="F119" s="63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36">
        <f t="shared" si="0"/>
        <v>951.42857142857144</v>
      </c>
      <c r="E120" s="62">
        <f>IFERROR(C120/SUM($C$5:$C$264),0)</f>
        <v>2.2511673689405381E-4</v>
      </c>
      <c r="F120" s="63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36">
        <f t="shared" si="0"/>
        <v>48199.571435714286</v>
      </c>
      <c r="E121" s="62">
        <f>IFERROR(C121/SUM($C$5:$C$264),0)</f>
        <v>1.1404461214579416E-2</v>
      </c>
      <c r="F121" s="63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36">
        <f t="shared" si="0"/>
        <v>22.176785714285714</v>
      </c>
      <c r="E122" s="62">
        <f>IFERROR(C122/SUM($C$5:$C$264),0)</f>
        <v>5.2472311476862881E-6</v>
      </c>
      <c r="F122" s="63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36">
        <f t="shared" si="0"/>
        <v>987.24332142857133</v>
      </c>
      <c r="E123" s="62">
        <f>IFERROR(C123/SUM($C$5:$C$264),0)</f>
        <v>2.3359083562809796E-4</v>
      </c>
      <c r="F123" s="63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36">
        <f t="shared" si="0"/>
        <v>501.38854999999995</v>
      </c>
      <c r="E124" s="62">
        <f>IFERROR(C124/SUM($C$5:$C$264),0)</f>
        <v>1.1863313514178497E-4</v>
      </c>
      <c r="F124" s="63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36">
        <f t="shared" si="0"/>
        <v>6631.3085785714284</v>
      </c>
      <c r="E125" s="62">
        <f>IFERROR(C125/SUM($C$5:$C$264),0)</f>
        <v>1.5690285044773007E-3</v>
      </c>
      <c r="F125" s="63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36">
        <f t="shared" si="0"/>
        <v>5742.6592071428568</v>
      </c>
      <c r="E126" s="62">
        <f>IFERROR(C126/SUM($C$5:$C$264),0)</f>
        <v>1.3587659027997235E-3</v>
      </c>
      <c r="F126" s="63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36">
        <f t="shared" si="0"/>
        <v>1703.1366214285715</v>
      </c>
      <c r="E127" s="62">
        <f>IFERROR(C127/SUM($C$5:$C$264),0)</f>
        <v>4.0297776440020177E-4</v>
      </c>
      <c r="F127" s="63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36">
        <f t="shared" si="0"/>
        <v>32.307749999999999</v>
      </c>
      <c r="E128" s="62">
        <f>IFERROR(C128/SUM($C$5:$C$264),0)</f>
        <v>7.6443103295378476E-6</v>
      </c>
      <c r="F128" s="63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36">
        <f t="shared" si="0"/>
        <v>43232.737464285718</v>
      </c>
      <c r="E129" s="62">
        <f>IFERROR(C129/SUM($C$5:$C$264),0)</f>
        <v>1.0229262686892067E-2</v>
      </c>
      <c r="F129" s="63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36">
        <f t="shared" si="0"/>
        <v>-184.38278571428572</v>
      </c>
      <c r="E130" s="62">
        <f>IFERROR(C130/SUM($C$5:$C$264),0)</f>
        <v>-4.3626660272680015E-5</v>
      </c>
      <c r="F130" s="63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36">
        <f t="shared" si="0"/>
        <v>3901.6842857142856</v>
      </c>
      <c r="E131" s="62">
        <f>IFERROR(C131/SUM($C$5:$C$264),0)</f>
        <v>9.2317433086120868E-4</v>
      </c>
      <c r="F131" s="63"/>
    </row>
    <row r="132" spans="1:6" ht="15.75" customHeight="1" x14ac:dyDescent="0.25">
      <c r="A132" t="s">
        <v>435</v>
      </c>
      <c r="B132" t="s">
        <v>434</v>
      </c>
      <c r="C132">
        <v>359370</v>
      </c>
      <c r="D132" s="36">
        <f t="shared" si="0"/>
        <v>256.69285714285712</v>
      </c>
      <c r="E132" s="62">
        <f>IFERROR(C132/SUM($C$5:$C$264),0)</f>
        <v>6.073588719040249E-5</v>
      </c>
      <c r="F132" s="63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36">
        <f t="shared" si="0"/>
        <v>124.1737142857143</v>
      </c>
      <c r="E133" s="62">
        <f>IFERROR(C133/SUM($C$5:$C$264),0)</f>
        <v>2.9380641077492774E-5</v>
      </c>
      <c r="F133" s="63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36">
        <f t="shared" si="0"/>
        <v>976.18737857142867</v>
      </c>
      <c r="E134" s="62">
        <f>IFERROR(C134/SUM($C$5:$C$264),0)</f>
        <v>2.3097489802224064E-4</v>
      </c>
      <c r="F134" s="63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36">
        <f t="shared" si="0"/>
        <v>843.8453571428571</v>
      </c>
      <c r="E135" s="62">
        <f>IFERROR(C135/SUM($C$5:$C$264),0)</f>
        <v>1.9966156046582312E-4</v>
      </c>
      <c r="F135" s="63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36">
        <f t="shared" si="0"/>
        <v>63241.615207142859</v>
      </c>
      <c r="E136" s="62">
        <f>IFERROR(C136/SUM($C$5:$C$264),0)</f>
        <v>1.496354690080925E-2</v>
      </c>
      <c r="F136" s="63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36">
        <f t="shared" si="0"/>
        <v>4212.0649999999996</v>
      </c>
      <c r="E137" s="62">
        <f>IFERROR(C137/SUM($C$5:$C$264),0)</f>
        <v>9.9661325806299841E-4</v>
      </c>
      <c r="F137" s="63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36">
        <f t="shared" si="0"/>
        <v>9441.8496642857135</v>
      </c>
      <c r="E138" s="62">
        <f>IFERROR(C138/SUM($C$5:$C$264),0)</f>
        <v>2.2340283343359642E-3</v>
      </c>
      <c r="F138" s="63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36">
        <f t="shared" si="0"/>
        <v>2881.0654357142857</v>
      </c>
      <c r="E139" s="62">
        <f>IFERROR(C139/SUM($C$5:$C$264),0)</f>
        <v>6.8168653868824584E-4</v>
      </c>
      <c r="F139" s="63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36">
        <f t="shared" si="0"/>
        <v>753.72519999999997</v>
      </c>
      <c r="E140" s="62">
        <f>IFERROR(C140/SUM($C$5:$C$264),0)</f>
        <v>1.7833830371947847E-4</v>
      </c>
      <c r="F140" s="63"/>
    </row>
    <row r="141" spans="1:6" ht="15.75" customHeight="1" x14ac:dyDescent="0.25">
      <c r="A141" t="s">
        <v>453</v>
      </c>
      <c r="B141" t="s">
        <v>452</v>
      </c>
      <c r="C141">
        <v>-0.01</v>
      </c>
      <c r="D141" s="36">
        <f t="shared" si="0"/>
        <v>-7.1428571428571427E-6</v>
      </c>
      <c r="E141" s="62">
        <f>IFERROR(C141/SUM($C$5:$C$264),0)</f>
        <v>-1.6900655922977012E-12</v>
      </c>
      <c r="F141" s="63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36">
        <f t="shared" si="0"/>
        <v>45178.371464285716</v>
      </c>
      <c r="E142" s="62">
        <f>IFERROR(C142/SUM($C$5:$C$264),0)</f>
        <v>1.0689617557896703E-2</v>
      </c>
      <c r="F142" s="63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36">
        <f t="shared" si="0"/>
        <v>1859.40095</v>
      </c>
      <c r="E143" s="62">
        <f>IFERROR(C143/SUM($C$5:$C$264),0)</f>
        <v>4.3995133950329218E-4</v>
      </c>
      <c r="F143" s="63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36">
        <f t="shared" si="0"/>
        <v>323.37271428571427</v>
      </c>
      <c r="E144" s="62">
        <f>IFERROR(C144/SUM($C$5:$C$264),0)</f>
        <v>7.6512953706308142E-5</v>
      </c>
      <c r="F144" s="63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36">
        <f t="shared" si="0"/>
        <v>5613.466678571428</v>
      </c>
      <c r="E145" s="62">
        <f>IFERROR(C145/SUM($C$5:$C$264),0)</f>
        <v>1.3281977641748522E-3</v>
      </c>
      <c r="F145" s="63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36">
        <f t="shared" si="0"/>
        <v>904.04285714285709</v>
      </c>
      <c r="E146" s="62">
        <f>IFERROR(C146/SUM($C$5:$C$264),0)</f>
        <v>2.1390484175475084E-4</v>
      </c>
      <c r="F146" s="63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36">
        <f t="shared" si="0"/>
        <v>92030.556114285719</v>
      </c>
      <c r="E147" s="62">
        <f>IFERROR(C147/SUM($C$5:$C$264),0)</f>
        <v>2.1775274686028797E-2</v>
      </c>
      <c r="F147" s="63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36">
        <f t="shared" si="0"/>
        <v>239.31828571428571</v>
      </c>
      <c r="E148" s="62">
        <f>IFERROR(C148/SUM($C$5:$C$264),0)</f>
        <v>5.6624904041073866E-5</v>
      </c>
      <c r="F148" s="63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36">
        <f t="shared" si="0"/>
        <v>1273.316</v>
      </c>
      <c r="E149" s="62">
        <f>IFERROR(C149/SUM($C$5:$C$264),0)</f>
        <v>3.0127825836109953E-4</v>
      </c>
      <c r="F149" s="63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36">
        <f t="shared" si="0"/>
        <v>1189.8928571428571</v>
      </c>
      <c r="E150" s="62">
        <f>IFERROR(C150/SUM($C$5:$C$264),0)</f>
        <v>2.8153957669291253E-4</v>
      </c>
      <c r="F150" s="63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36">
        <f t="shared" si="0"/>
        <v>1857.1428571428571</v>
      </c>
      <c r="E151" s="62">
        <f>IFERROR(C151/SUM($C$5:$C$264),0)</f>
        <v>4.394170539974023E-4</v>
      </c>
      <c r="F151" s="63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36">
        <f t="shared" si="0"/>
        <v>1118.5421428571428</v>
      </c>
      <c r="E152" s="62">
        <f>IFERROR(C152/SUM($C$5:$C$264),0)</f>
        <v>2.6465734248489159E-4</v>
      </c>
      <c r="F152" s="63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36">
        <f t="shared" si="0"/>
        <v>66.740399999999994</v>
      </c>
      <c r="E153" s="62">
        <f>IFERROR(C153/SUM($C$5:$C$264),0)</f>
        <v>1.5791391511865969E-5</v>
      </c>
      <c r="F153" s="63"/>
    </row>
    <row r="154" spans="1:6" ht="15.75" customHeight="1" x14ac:dyDescent="0.25">
      <c r="A154" t="s">
        <v>479</v>
      </c>
      <c r="B154" t="s">
        <v>478</v>
      </c>
      <c r="C154">
        <v>151250</v>
      </c>
      <c r="D154" s="36">
        <f t="shared" si="0"/>
        <v>108.03571428571429</v>
      </c>
      <c r="E154" s="62">
        <f>IFERROR(C154/SUM($C$5:$C$264),0)</f>
        <v>2.5562242083502729E-5</v>
      </c>
      <c r="F154" s="63"/>
    </row>
    <row r="155" spans="1:6" ht="15.75" customHeight="1" x14ac:dyDescent="0.25">
      <c r="A155" t="s">
        <v>481</v>
      </c>
      <c r="B155" t="s">
        <v>480</v>
      </c>
      <c r="C155">
        <v>742500</v>
      </c>
      <c r="D155" s="36">
        <f t="shared" si="0"/>
        <v>530.35714285714289</v>
      </c>
      <c r="E155" s="62">
        <f>IFERROR(C155/SUM($C$5:$C$264),0)</f>
        <v>1.254873702281043E-4</v>
      </c>
      <c r="F155" s="63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36">
        <f t="shared" si="0"/>
        <v>752.85714285714289</v>
      </c>
      <c r="E156" s="62">
        <f>IFERROR(C156/SUM($C$5:$C$264),0)</f>
        <v>1.7813291342817769E-4</v>
      </c>
      <c r="F156" s="63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36">
        <f t="shared" si="0"/>
        <v>3407.1428571428573</v>
      </c>
      <c r="E157" s="62">
        <f>IFERROR(C157/SUM($C$5:$C$264),0)</f>
        <v>8.0616128752600345E-4</v>
      </c>
      <c r="F157" s="63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36">
        <f t="shared" si="0"/>
        <v>3995</v>
      </c>
      <c r="E158" s="62">
        <f>IFERROR(C158/SUM($C$5:$C$264),0)</f>
        <v>9.4525368577210432E-4</v>
      </c>
      <c r="F158" s="63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36">
        <f t="shared" si="0"/>
        <v>2197.8071428571429</v>
      </c>
      <c r="E159" s="62">
        <f>IFERROR(C159/SUM($C$5:$C$264),0)</f>
        <v>5.200213522908566E-4</v>
      </c>
      <c r="F159" s="63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36">
        <f t="shared" si="0"/>
        <v>2898.9065928571426</v>
      </c>
      <c r="E160" s="62">
        <f>IFERROR(C160/SUM($C$5:$C$264),0)</f>
        <v>6.8590792030219451E-4</v>
      </c>
      <c r="F160" s="63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36">
        <f t="shared" si="0"/>
        <v>20856.692849999999</v>
      </c>
      <c r="E161" s="62">
        <f>IFERROR(C161/SUM($C$5:$C$264),0)</f>
        <v>4.9348850536869064E-3</v>
      </c>
      <c r="F161" s="63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36">
        <f t="shared" si="0"/>
        <v>1985.4935714285714</v>
      </c>
      <c r="E162" s="62">
        <f>IFERROR(C162/SUM($C$5:$C$264),0)</f>
        <v>4.6978601163195894E-4</v>
      </c>
      <c r="F162" s="63"/>
    </row>
    <row r="163" spans="1:6" ht="15.75" customHeight="1" x14ac:dyDescent="0.25">
      <c r="A163" t="s">
        <v>497</v>
      </c>
      <c r="B163" t="s">
        <v>496</v>
      </c>
      <c r="C163">
        <v>386200</v>
      </c>
      <c r="D163" s="36">
        <f t="shared" si="0"/>
        <v>275.85714285714283</v>
      </c>
      <c r="E163" s="62">
        <f>IFERROR(C163/SUM($C$5:$C$264),0)</f>
        <v>6.5270333174537225E-5</v>
      </c>
      <c r="F163" s="63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36">
        <f t="shared" si="0"/>
        <v>8460.7688714285705</v>
      </c>
      <c r="E164" s="62">
        <f>IFERROR(C164/SUM($C$5:$C$264),0)</f>
        <v>2.0018956095578834E-3</v>
      </c>
      <c r="F164" s="63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36">
        <f t="shared" si="0"/>
        <v>211273.63779285716</v>
      </c>
      <c r="E165" s="62">
        <f>IFERROR(C165/SUM($C$5:$C$264),0)</f>
        <v>4.9989282811058515E-2</v>
      </c>
      <c r="F165" s="63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36">
        <f t="shared" si="0"/>
        <v>450.18007142857141</v>
      </c>
      <c r="E166" s="62">
        <f>IFERROR(C166/SUM($C$5:$C$264),0)</f>
        <v>1.0651673886833699E-4</v>
      </c>
      <c r="F166" s="63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36">
        <f t="shared" si="0"/>
        <v>2621.6378571428572</v>
      </c>
      <c r="E167" s="62">
        <f>IFERROR(C167/SUM($C$5:$C$264),0)</f>
        <v>6.2030359129511064E-4</v>
      </c>
      <c r="F167" s="63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36">
        <f t="shared" si="0"/>
        <v>25281.469642857144</v>
      </c>
      <c r="E168" s="62">
        <f>IFERROR(C168/SUM($C$5:$C$264),0)</f>
        <v>5.9818278752556391E-3</v>
      </c>
      <c r="F168" s="63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36">
        <f t="shared" si="0"/>
        <v>8876.6228571428564</v>
      </c>
      <c r="E169" s="62">
        <f>IFERROR(C169/SUM($C$5:$C$264),0)</f>
        <v>2.1002904813324638E-3</v>
      </c>
      <c r="F169" s="63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36">
        <f t="shared" si="0"/>
        <v>58.956735714285706</v>
      </c>
      <c r="E170" s="62">
        <f>IFERROR(C170/SUM($C$5:$C$264),0)</f>
        <v>1.3949705065086464E-5</v>
      </c>
      <c r="F170" s="63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36">
        <f t="shared" si="0"/>
        <v>786.5</v>
      </c>
      <c r="E171" s="62">
        <f>IFERROR(C171/SUM($C$5:$C$264),0)</f>
        <v>1.8609312236789988E-4</v>
      </c>
      <c r="F171" s="63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36">
        <f t="shared" si="0"/>
        <v>69622.681000000011</v>
      </c>
      <c r="E172" s="62">
        <f>IFERROR(C172/SUM($C$5:$C$264),0)</f>
        <v>1.647336566422665E-2</v>
      </c>
      <c r="F172" s="63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36">
        <f t="shared" si="0"/>
        <v>3968.2347714285711</v>
      </c>
      <c r="E173" s="62">
        <f>IFERROR(C173/SUM($C$5:$C$264),0)</f>
        <v>9.3892078690910655E-4</v>
      </c>
      <c r="F173" s="63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36">
        <f t="shared" si="0"/>
        <v>17534.285714285714</v>
      </c>
      <c r="E174" s="62">
        <f>IFERROR(C174/SUM($C$5:$C$264),0)</f>
        <v>4.1487730159723967E-3</v>
      </c>
      <c r="F174" s="63"/>
    </row>
    <row r="175" spans="1:6" ht="15.75" customHeight="1" x14ac:dyDescent="0.25">
      <c r="A175" t="s">
        <v>521</v>
      </c>
      <c r="B175" t="s">
        <v>520</v>
      </c>
      <c r="C175">
        <v>58760</v>
      </c>
      <c r="D175" s="36">
        <f t="shared" si="0"/>
        <v>41.971428571428568</v>
      </c>
      <c r="E175" s="62">
        <f>IFERROR(C175/SUM($C$5:$C$264),0)</f>
        <v>9.9308254203412926E-6</v>
      </c>
      <c r="F175" s="63"/>
    </row>
    <row r="176" spans="1:6" ht="15.75" customHeight="1" x14ac:dyDescent="0.25">
      <c r="A176" t="s">
        <v>523</v>
      </c>
      <c r="B176" t="s">
        <v>522</v>
      </c>
      <c r="C176">
        <v>0.01</v>
      </c>
      <c r="D176" s="36">
        <f t="shared" si="0"/>
        <v>7.1428571428571427E-6</v>
      </c>
      <c r="E176" s="62">
        <f>IFERROR(C176/SUM($C$5:$C$264),0)</f>
        <v>1.6900655922977012E-12</v>
      </c>
      <c r="F176" s="63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36">
        <f t="shared" si="0"/>
        <v>21170.755300000001</v>
      </c>
      <c r="E177" s="62">
        <f>IFERROR(C177/SUM($C$5:$C$264),0)</f>
        <v>5.0091951133677875E-3</v>
      </c>
      <c r="F177" s="63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36">
        <f t="shared" si="0"/>
        <v>40009.417421428574</v>
      </c>
      <c r="E178" s="62">
        <f>IFERROR(C178/SUM($C$5:$C$264),0)</f>
        <v>9.4665955652565702E-3</v>
      </c>
      <c r="F178" s="63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36">
        <f t="shared" si="0"/>
        <v>2275.1035785714284</v>
      </c>
      <c r="E179" s="62">
        <f>IFERROR(C179/SUM($C$5:$C$264),0)</f>
        <v>5.3831039878797168E-4</v>
      </c>
      <c r="F179" s="63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36">
        <f t="shared" si="0"/>
        <v>1114.2857142857142</v>
      </c>
      <c r="E180" s="62">
        <f>IFERROR(C180/SUM($C$5:$C$264),0)</f>
        <v>2.636502323984414E-4</v>
      </c>
      <c r="F180" s="63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36">
        <f t="shared" si="0"/>
        <v>110.09876428571428</v>
      </c>
      <c r="E181" s="62">
        <f>IFERROR(C181/SUM($C$5:$C$264),0)</f>
        <v>2.6050378658329298E-5</v>
      </c>
      <c r="F181" s="63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36">
        <f t="shared" si="0"/>
        <v>9536.8924785714298</v>
      </c>
      <c r="E182" s="62">
        <f>IFERROR(C182/SUM($C$5:$C$264),0)</f>
        <v>2.2565163369666838E-3</v>
      </c>
      <c r="F182" s="63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36">
        <f t="shared" si="0"/>
        <v>1614.1980714285712</v>
      </c>
      <c r="E183" s="62">
        <f>IFERROR(C183/SUM($C$5:$C$264),0)</f>
        <v>3.8193408675446294E-4</v>
      </c>
      <c r="F183" s="63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36">
        <f t="shared" si="0"/>
        <v>3235.7142857142858</v>
      </c>
      <c r="E184" s="62">
        <f>IFERROR(C184/SUM($C$5:$C$264),0)</f>
        <v>7.6559971331085868E-4</v>
      </c>
      <c r="F184" s="63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36">
        <f t="shared" si="0"/>
        <v>15891.248171428573</v>
      </c>
      <c r="E185" s="62">
        <f>IFERROR(C185/SUM($C$5:$C$264),0)</f>
        <v>3.7600152454473268E-3</v>
      </c>
      <c r="F185" s="63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36">
        <f t="shared" si="0"/>
        <v>1950.9621428571429</v>
      </c>
      <c r="E186" s="62">
        <f>IFERROR(C186/SUM($C$5:$C$264),0)</f>
        <v>4.6161555853255491E-4</v>
      </c>
      <c r="F186" s="63"/>
    </row>
    <row r="187" spans="1:6" ht="15.75" customHeight="1" x14ac:dyDescent="0.25">
      <c r="A187" t="s">
        <v>545</v>
      </c>
      <c r="B187" t="s">
        <v>544</v>
      </c>
      <c r="C187">
        <v>916817</v>
      </c>
      <c r="D187" s="36">
        <f t="shared" si="0"/>
        <v>654.86928571428575</v>
      </c>
      <c r="E187" s="62">
        <f>IFERROR(C187/SUM($C$5:$C$264),0)</f>
        <v>1.5494808661336014E-4</v>
      </c>
      <c r="F187" s="63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36">
        <f t="shared" si="0"/>
        <v>16673.536071428571</v>
      </c>
      <c r="E188" s="62">
        <f>IFERROR(C188/SUM($C$5:$C$264),0)</f>
        <v>3.9451117462758417E-3</v>
      </c>
      <c r="F188" s="63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36">
        <f t="shared" si="0"/>
        <v>1901.4285714285713</v>
      </c>
      <c r="E189" s="62">
        <f>IFERROR(C189/SUM($C$5:$C$264),0)</f>
        <v>4.4989546066964806E-4</v>
      </c>
      <c r="F189" s="63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36">
        <f t="shared" si="0"/>
        <v>13290.867028571429</v>
      </c>
      <c r="E190" s="62">
        <f>IFERROR(C190/SUM($C$5:$C$264),0)</f>
        <v>3.1447411879509581E-3</v>
      </c>
      <c r="F190" s="63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36">
        <f t="shared" si="0"/>
        <v>1371.8571428571429</v>
      </c>
      <c r="E191" s="62">
        <f>IFERROR(C191/SUM($C$5:$C$264),0)</f>
        <v>3.2459399765669649E-4</v>
      </c>
      <c r="F191" s="63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36">
        <f t="shared" si="0"/>
        <v>32172.148528571426</v>
      </c>
      <c r="E192" s="62">
        <f>IFERROR(C192/SUM($C$5:$C$264),0)</f>
        <v>7.612225776180156E-3</v>
      </c>
      <c r="F192" s="63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36">
        <f t="shared" si="0"/>
        <v>-1.9273285714285715</v>
      </c>
      <c r="E193" s="62">
        <f>IFERROR(C193/SUM($C$5:$C$264),0)</f>
        <v>-4.5602363850731958E-7</v>
      </c>
      <c r="F193" s="63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36">
        <f t="shared" si="0"/>
        <v>24094.25</v>
      </c>
      <c r="E194" s="62">
        <f>IFERROR(C194/SUM($C$5:$C$264),0)</f>
        <v>5.7009208056106441E-3</v>
      </c>
      <c r="F194" s="63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36">
        <f t="shared" si="0"/>
        <v>405.79759999999999</v>
      </c>
      <c r="E195" s="62">
        <f>IFERROR(C195/SUM($C$5:$C$264),0)</f>
        <v>9.6015438567577987E-5</v>
      </c>
      <c r="F195" s="63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36">
        <f t="shared" si="0"/>
        <v>7630.1095214285715</v>
      </c>
      <c r="E196" s="62">
        <f>IFERROR(C196/SUM($C$5:$C$264),0)</f>
        <v>1.8053539794681312E-3</v>
      </c>
      <c r="F196" s="63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36">
        <f t="shared" si="0"/>
        <v>46631.071428571428</v>
      </c>
      <c r="E197" s="62">
        <f>IFERROR(C197/SUM($C$5:$C$264),0)</f>
        <v>1.1033339709476698E-2</v>
      </c>
      <c r="F197" s="63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36">
        <f t="shared" si="0"/>
        <v>17285.714285714286</v>
      </c>
      <c r="E198" s="62">
        <f>IFERROR(C198/SUM($C$5:$C$264),0)</f>
        <v>4.0899587333604369E-3</v>
      </c>
      <c r="F198" s="63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36">
        <f t="shared" si="0"/>
        <v>121704.25111428571</v>
      </c>
      <c r="E199" s="62">
        <f>IFERROR(C199/SUM($C$5:$C$264),0)</f>
        <v>2.8796343414245883E-2</v>
      </c>
      <c r="F199" s="63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36">
        <f t="shared" si="0"/>
        <v>2225.6497214285714</v>
      </c>
      <c r="E200" s="62">
        <f>IFERROR(C200/SUM($C$5:$C$264),0)</f>
        <v>5.2660916205707494E-4</v>
      </c>
      <c r="F200" s="63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36">
        <f t="shared" si="0"/>
        <v>9394.1515857142858</v>
      </c>
      <c r="E201" s="62">
        <f>IFERROR(C201/SUM($C$5:$C$264),0)</f>
        <v>2.2227425309382445E-3</v>
      </c>
      <c r="F201" s="63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36">
        <f t="shared" si="0"/>
        <v>1769.4742142857142</v>
      </c>
      <c r="E202" s="62">
        <f>IFERROR(C202/SUM($C$5:$C$264),0)</f>
        <v>4.1867384804312129E-4</v>
      </c>
      <c r="F202" s="63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36">
        <f t="shared" si="0"/>
        <v>110.79019285714286</v>
      </c>
      <c r="E203" s="62">
        <f>IFERROR(C203/SUM($C$5:$C$264),0)</f>
        <v>2.6213977007663714E-5</v>
      </c>
      <c r="F203" s="63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36">
        <f t="shared" si="0"/>
        <v>17589.107142857141</v>
      </c>
      <c r="E204" s="62">
        <f>IFERROR(C204/SUM($C$5:$C$264),0)</f>
        <v>4.1617442693932813E-3</v>
      </c>
      <c r="F204" s="63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36">
        <f t="shared" si="0"/>
        <v>517.1640928571428</v>
      </c>
      <c r="E205" s="62">
        <f>IFERROR(C205/SUM($C$5:$C$264),0)</f>
        <v>1.2236577344735947E-4</v>
      </c>
      <c r="F205" s="63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36">
        <f t="shared" si="0"/>
        <v>1529.8375714285714</v>
      </c>
      <c r="E206" s="62">
        <f>IFERROR(C206/SUM($C$5:$C$264),0)</f>
        <v>3.6197361777859876E-4</v>
      </c>
      <c r="F206" s="63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36">
        <f t="shared" si="0"/>
        <v>9800.7061428571433</v>
      </c>
      <c r="E207" s="62">
        <f>IFERROR(C207/SUM($C$5:$C$264),0)</f>
        <v>2.3189370725169006E-3</v>
      </c>
      <c r="F207" s="63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36">
        <f t="shared" si="0"/>
        <v>3873.034557142857</v>
      </c>
      <c r="E208" s="62">
        <f>IFERROR(C208/SUM($C$5:$C$264),0)</f>
        <v>9.1639554199299505E-4</v>
      </c>
      <c r="F208" s="63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36">
        <f t="shared" si="0"/>
        <v>9506.7096428571422</v>
      </c>
      <c r="E209" s="62">
        <f>IFERROR(C209/SUM($C$5:$C$264),0)</f>
        <v>2.2493748008700675E-3</v>
      </c>
      <c r="F209" s="63"/>
    </row>
    <row r="210" spans="1:6" ht="15.75" customHeight="1" x14ac:dyDescent="0.25">
      <c r="A210" t="s">
        <v>591</v>
      </c>
      <c r="B210" t="s">
        <v>590</v>
      </c>
      <c r="C210">
        <v>370986</v>
      </c>
      <c r="D210" s="36">
        <f t="shared" si="0"/>
        <v>264.99</v>
      </c>
      <c r="E210" s="62">
        <f>IFERROR(C210/SUM($C$5:$C$264),0)</f>
        <v>6.2699067382415501E-5</v>
      </c>
      <c r="F210" s="63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36">
        <f t="shared" si="0"/>
        <v>9619.9286857142852</v>
      </c>
      <c r="E211" s="62">
        <f>IFERROR(C211/SUM($C$5:$C$264),0)</f>
        <v>2.2761634660916704E-3</v>
      </c>
      <c r="F211" s="63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36">
        <f t="shared" si="0"/>
        <v>2273.0714285714284</v>
      </c>
      <c r="E212" s="62">
        <f>IFERROR(C212/SUM($C$5:$C$264),0)</f>
        <v>5.3782957343689744E-4</v>
      </c>
      <c r="F212" s="63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36">
        <f t="shared" si="0"/>
        <v>1371.54195</v>
      </c>
      <c r="E213" s="62">
        <f>IFERROR(C213/SUM($C$5:$C$264),0)</f>
        <v>3.2451942013230514E-4</v>
      </c>
      <c r="F213" s="63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36">
        <f t="shared" si="0"/>
        <v>2563.7243857142857</v>
      </c>
      <c r="E214" s="62">
        <f>IFERROR(C214/SUM($C$5:$C$264),0)</f>
        <v>6.0660073214023841E-4</v>
      </c>
      <c r="F214" s="63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36">
        <f t="shared" si="0"/>
        <v>12039.5</v>
      </c>
      <c r="E215" s="62">
        <f>IFERROR(C215/SUM($C$5:$C$264),0)</f>
        <v>2.8486562577855444E-3</v>
      </c>
      <c r="F215" s="63"/>
    </row>
    <row r="216" spans="1:6" ht="15.75" customHeight="1" x14ac:dyDescent="0.25">
      <c r="A216" t="s">
        <v>603</v>
      </c>
      <c r="B216" t="s">
        <v>602</v>
      </c>
      <c r="C216">
        <v>647250</v>
      </c>
      <c r="D216" s="36">
        <f t="shared" si="0"/>
        <v>462.32142857142856</v>
      </c>
      <c r="E216" s="62">
        <f>IFERROR(C216/SUM($C$5:$C$264),0)</f>
        <v>1.0938949546146871E-4</v>
      </c>
      <c r="F216" s="63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36">
        <f t="shared" si="0"/>
        <v>140.76315714285715</v>
      </c>
      <c r="E217" s="62">
        <f>IFERROR(C217/SUM($C$5:$C$264),0)</f>
        <v>3.3305855597047218E-5</v>
      </c>
      <c r="F217" s="63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36">
        <f t="shared" si="0"/>
        <v>12638.57</v>
      </c>
      <c r="E218" s="62">
        <f>IFERROR(C218/SUM($C$5:$C$264),0)</f>
        <v>2.9904017209984339E-3</v>
      </c>
      <c r="F218" s="63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36">
        <f t="shared" si="0"/>
        <v>2560.1996785714286</v>
      </c>
      <c r="E219" s="62">
        <f>IFERROR(C219/SUM($C$5:$C$264),0)</f>
        <v>6.0576675406312877E-4</v>
      </c>
      <c r="F219" s="63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36">
        <f t="shared" si="0"/>
        <v>1322.2</v>
      </c>
      <c r="E220" s="62">
        <f>IFERROR(C220/SUM($C$5:$C$264),0)</f>
        <v>3.1284466165904288E-4</v>
      </c>
      <c r="F220" s="63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36">
        <f t="shared" si="0"/>
        <v>24871.848207142859</v>
      </c>
      <c r="E221" s="62">
        <f>IFERROR(C221/SUM($C$5:$C$264),0)</f>
        <v>5.8849076820440775E-3</v>
      </c>
      <c r="F221" s="63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36">
        <f t="shared" si="0"/>
        <v>767.36428571428576</v>
      </c>
      <c r="E222" s="62">
        <f>IFERROR(C222/SUM($C$5:$C$264),0)</f>
        <v>1.8156543664613433E-4</v>
      </c>
      <c r="F222" s="63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36">
        <f t="shared" si="0"/>
        <v>10196.410714285714</v>
      </c>
      <c r="E223" s="62">
        <f>IFERROR(C223/SUM($C$5:$C$264),0)</f>
        <v>2.4125644078409878E-3</v>
      </c>
      <c r="F223" s="63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36">
        <f t="shared" si="0"/>
        <v>908.28571428571433</v>
      </c>
      <c r="E224" s="62">
        <f>IFERROR(C224/SUM($C$5:$C$264),0)</f>
        <v>2.1490874071657568E-4</v>
      </c>
      <c r="F224" s="63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36">
        <f t="shared" si="0"/>
        <v>661.16477857142854</v>
      </c>
      <c r="E225" s="62">
        <f>IFERROR(C225/SUM($C$5:$C$264),0)</f>
        <v>1.5643765803437798E-4</v>
      </c>
      <c r="F225" s="63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36">
        <f t="shared" si="0"/>
        <v>15172.535714285714</v>
      </c>
      <c r="E226" s="62">
        <f>IFERROR(C226/SUM($C$5:$C$264),0)</f>
        <v>3.5899612782071236E-3</v>
      </c>
      <c r="F226" s="63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36">
        <f t="shared" si="0"/>
        <v>2584.7558999999997</v>
      </c>
      <c r="E227" s="62">
        <f>IFERROR(C227/SUM($C$5:$C$264),0)</f>
        <v>6.1157698155098683E-4</v>
      </c>
      <c r="F227" s="63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36">
        <f t="shared" si="0"/>
        <v>34992.857142857145</v>
      </c>
      <c r="E228" s="62">
        <f>IFERROR(C228/SUM($C$5:$C$264),0)</f>
        <v>8.2796313366664386E-3</v>
      </c>
      <c r="F228" s="63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36">
        <f t="shared" si="0"/>
        <v>5796.9854357142858</v>
      </c>
      <c r="E229" s="62">
        <f>IFERROR(C229/SUM($C$5:$C$264),0)</f>
        <v>1.3716199873532258E-3</v>
      </c>
      <c r="F229" s="63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36">
        <f t="shared" si="0"/>
        <v>5738.8571428571431</v>
      </c>
      <c r="E230" s="62">
        <f>IFERROR(C230/SUM($C$5:$C$264),0)</f>
        <v>1.3578662994756651E-3</v>
      </c>
      <c r="F230" s="63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36">
        <f t="shared" si="0"/>
        <v>26730.628571428573</v>
      </c>
      <c r="E231" s="62">
        <f>IFERROR(C231/SUM($C$5:$C$264),0)</f>
        <v>6.3247121852685797E-3</v>
      </c>
      <c r="F231" s="63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36">
        <f t="shared" si="0"/>
        <v>18483.005242857143</v>
      </c>
      <c r="E232" s="62">
        <f>IFERROR(C232/SUM($C$5:$C$264),0)</f>
        <v>4.3732487684495225E-3</v>
      </c>
      <c r="F232" s="63"/>
    </row>
    <row r="233" spans="1:6" ht="15.75" customHeight="1" x14ac:dyDescent="0.25">
      <c r="A233" t="s">
        <v>637</v>
      </c>
      <c r="B233" t="s">
        <v>636</v>
      </c>
      <c r="C233">
        <v>1331</v>
      </c>
      <c r="D233" s="36">
        <f t="shared" si="0"/>
        <v>0.95071428571428573</v>
      </c>
      <c r="E233" s="62">
        <f>IFERROR(C233/SUM($C$5:$C$264),0)</f>
        <v>2.2494773033482403E-7</v>
      </c>
      <c r="F233" s="63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36">
        <f t="shared" si="0"/>
        <v>1154.4643000000001</v>
      </c>
      <c r="E234" s="62">
        <f>IFERROR(C234/SUM($C$5:$C$264),0)</f>
        <v>2.7315685473524714E-4</v>
      </c>
      <c r="F234" s="63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36">
        <f t="shared" si="0"/>
        <v>1851.3</v>
      </c>
      <c r="E235" s="62">
        <f>IFERROR(C235/SUM($C$5:$C$264),0)</f>
        <v>4.3803458034290276E-4</v>
      </c>
      <c r="F235" s="63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36">
        <f t="shared" si="0"/>
        <v>29544.68</v>
      </c>
      <c r="E236" s="62">
        <f>IFERROR(C236/SUM($C$5:$C$264),0)</f>
        <v>6.9905425944824465E-3</v>
      </c>
      <c r="F236" s="63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36">
        <f t="shared" si="0"/>
        <v>149.43934999999999</v>
      </c>
      <c r="E237" s="62">
        <f>IFERROR(C237/SUM($C$5:$C$264),0)</f>
        <v>3.5358722499846683E-5</v>
      </c>
      <c r="F237" s="63"/>
    </row>
    <row r="238" spans="1:6" ht="15.75" customHeight="1" x14ac:dyDescent="0.25">
      <c r="A238" t="s">
        <v>647</v>
      </c>
      <c r="B238" t="s">
        <v>646</v>
      </c>
      <c r="C238">
        <v>94650</v>
      </c>
      <c r="D238" s="36">
        <f t="shared" si="0"/>
        <v>67.607142857142861</v>
      </c>
      <c r="E238" s="62">
        <f>IFERROR(C238/SUM($C$5:$C$264),0)</f>
        <v>1.5996470831097743E-5</v>
      </c>
      <c r="F238" s="63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36">
        <f t="shared" si="0"/>
        <v>90.689499999999995</v>
      </c>
      <c r="E239" s="62">
        <f>IFERROR(C239/SUM($C$5:$C$264),0)</f>
        <v>2.1457968494575534E-5</v>
      </c>
      <c r="F239" s="63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36">
        <f t="shared" si="0"/>
        <v>1862.411142857143</v>
      </c>
      <c r="E240" s="62">
        <f>IFERROR(C240/SUM($C$5:$C$264),0)</f>
        <v>4.4066357877565744E-4</v>
      </c>
      <c r="F240" s="63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36">
        <f t="shared" si="0"/>
        <v>18301.849999999999</v>
      </c>
      <c r="E241" s="62">
        <f>IFERROR(C241/SUM($C$5:$C$264),0)</f>
        <v>4.3303857744551155E-3</v>
      </c>
      <c r="F241" s="63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36">
        <f t="shared" si="0"/>
        <v>1488.2051785714286</v>
      </c>
      <c r="E242" s="62">
        <f>IFERROR(C242/SUM($C$5:$C$264),0)</f>
        <v>3.5212301132159587E-4</v>
      </c>
      <c r="F242" s="63"/>
    </row>
    <row r="243" spans="1:6" ht="15.75" customHeight="1" x14ac:dyDescent="0.25">
      <c r="A243" t="s">
        <v>657</v>
      </c>
      <c r="B243" t="s">
        <v>656</v>
      </c>
      <c r="C243">
        <v>640000</v>
      </c>
      <c r="D243" s="36">
        <f t="shared" si="0"/>
        <v>457.14285714285717</v>
      </c>
      <c r="E243" s="62">
        <f>IFERROR(C243/SUM($C$5:$C$264),0)</f>
        <v>1.0816419790705288E-4</v>
      </c>
      <c r="F243" s="63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36">
        <f t="shared" si="0"/>
        <v>1993.9516357142857</v>
      </c>
      <c r="E244" s="62">
        <f>IFERROR(C244/SUM($C$5:$C$264),0)</f>
        <v>4.7178726731170081E-4</v>
      </c>
      <c r="F244" s="63"/>
    </row>
    <row r="245" spans="1:6" ht="15.75" customHeight="1" x14ac:dyDescent="0.25">
      <c r="A245" t="s">
        <v>661</v>
      </c>
      <c r="B245" t="s">
        <v>660</v>
      </c>
      <c r="C245">
        <v>-0.01</v>
      </c>
      <c r="D245" s="36">
        <f t="shared" si="0"/>
        <v>-7.1428571428571427E-6</v>
      </c>
      <c r="E245" s="62">
        <f>IFERROR(C245/SUM($C$5:$C$264),0)</f>
        <v>-1.6900655922977012E-12</v>
      </c>
      <c r="F245" s="63"/>
    </row>
    <row r="246" spans="1:6" ht="15.75" customHeight="1" x14ac:dyDescent="0.25">
      <c r="A246" t="s">
        <v>663</v>
      </c>
      <c r="B246" t="s">
        <v>662</v>
      </c>
      <c r="C246">
        <v>300000</v>
      </c>
      <c r="D246" s="36">
        <f t="shared" si="0"/>
        <v>214.28571428571428</v>
      </c>
      <c r="E246" s="62">
        <f>IFERROR(C246/SUM($C$5:$C$264),0)</f>
        <v>5.0701967768931034E-5</v>
      </c>
      <c r="F246" s="63"/>
    </row>
    <row r="247" spans="1:6" ht="15.75" customHeight="1" x14ac:dyDescent="0.25">
      <c r="A247" t="s">
        <v>665</v>
      </c>
      <c r="B247" t="s">
        <v>664</v>
      </c>
      <c r="C247">
        <v>911493</v>
      </c>
      <c r="D247" s="36">
        <f t="shared" si="0"/>
        <v>651.06642857142856</v>
      </c>
      <c r="E247" s="62">
        <f>IFERROR(C247/SUM($C$5:$C$264),0)</f>
        <v>1.5404829569202086E-4</v>
      </c>
      <c r="F247" s="63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36">
        <f t="shared" si="0"/>
        <v>6706.8571428571431</v>
      </c>
      <c r="E248" s="62">
        <f>IFERROR(C248/SUM($C$5:$C$264),0)</f>
        <v>1.5869039885438496E-3</v>
      </c>
      <c r="F248" s="63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36">
        <f t="shared" ref="D249:D264" si="1">IFERROR(C249/$D$3,0)</f>
        <v>9158.2598928571424</v>
      </c>
      <c r="E249" s="62">
        <f>IFERROR(C249/SUM($C$5:$C$264),0)</f>
        <v>2.1669283902333043E-3</v>
      </c>
      <c r="F249" s="63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36">
        <f t="shared" si="1"/>
        <v>2731.9380000000001</v>
      </c>
      <c r="E250" s="62">
        <f>IFERROR(C250/SUM($C$5:$C$264),0)</f>
        <v>6.4640161797268367E-4</v>
      </c>
      <c r="F250" s="63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36">
        <f t="shared" si="1"/>
        <v>-256.23753571428568</v>
      </c>
      <c r="E251" s="62">
        <f>IFERROR(C251/SUM($C$5:$C$264),0)</f>
        <v>-6.0628153959221466E-5</v>
      </c>
      <c r="F251" s="63"/>
    </row>
    <row r="252" spans="1:6" ht="15.75" customHeight="1" x14ac:dyDescent="0.25">
      <c r="A252" t="s">
        <v>675</v>
      </c>
      <c r="B252" t="s">
        <v>674</v>
      </c>
      <c r="C252">
        <v>580000</v>
      </c>
      <c r="D252" s="36">
        <f t="shared" si="1"/>
        <v>414.28571428571428</v>
      </c>
      <c r="E252" s="62">
        <f>IFERROR(C252/SUM($C$5:$C$264),0)</f>
        <v>9.802380435326667E-5</v>
      </c>
      <c r="F252" s="63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36">
        <f t="shared" si="1"/>
        <v>896.97991428571424</v>
      </c>
      <c r="E253" s="62">
        <f>IFERROR(C253/SUM($C$5:$C$264),0)</f>
        <v>2.1223368461629975E-4</v>
      </c>
      <c r="F253" s="63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36">
        <f t="shared" si="1"/>
        <v>67140.589792857136</v>
      </c>
      <c r="E254" s="62">
        <f>IFERROR(C254/SUM($C$5:$C$264),0)</f>
        <v>1.5886080091767493E-2</v>
      </c>
      <c r="F254" s="63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36">
        <f t="shared" si="1"/>
        <v>562.5881571428572</v>
      </c>
      <c r="E255" s="62">
        <f>IFERROR(C255/SUM($C$5:$C$264),0)</f>
        <v>1.3311352418298413E-4</v>
      </c>
      <c r="F255" s="63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36">
        <f t="shared" si="1"/>
        <v>23725.426285714286</v>
      </c>
      <c r="E256" s="62">
        <f>IFERROR(C256/SUM($C$5:$C$264),0)</f>
        <v>5.6136537279313633E-3</v>
      </c>
      <c r="F256" s="63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36">
        <f t="shared" si="1"/>
        <v>23000.852285714285</v>
      </c>
      <c r="E257" s="62">
        <f>IFERROR(C257/SUM($C$5:$C$264),0)</f>
        <v>5.4422128658250706E-3</v>
      </c>
      <c r="F257" s="63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36">
        <f t="shared" si="1"/>
        <v>12810.473257142856</v>
      </c>
      <c r="E258" s="62">
        <f>IFERROR(C258/SUM($C$5:$C$264),0)</f>
        <v>3.0310756102125804E-3</v>
      </c>
      <c r="F258" s="63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36">
        <f t="shared" si="1"/>
        <v>7444.466678571428</v>
      </c>
      <c r="E259" s="62">
        <f>IFERROR(C259/SUM($C$5:$C$264),0)</f>
        <v>1.7614291781044449E-3</v>
      </c>
      <c r="F259" s="63"/>
    </row>
    <row r="260" spans="1:6" ht="15.75" customHeight="1" x14ac:dyDescent="0.25">
      <c r="A260" t="s">
        <v>691</v>
      </c>
      <c r="B260" t="s">
        <v>690</v>
      </c>
      <c r="C260">
        <v>144474</v>
      </c>
      <c r="D260" s="36">
        <f t="shared" si="1"/>
        <v>103.19571428571429</v>
      </c>
      <c r="E260" s="62">
        <f>IFERROR(C260/SUM($C$5:$C$264),0)</f>
        <v>2.4417053638161807E-5</v>
      </c>
      <c r="F260" s="63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36">
        <f t="shared" si="1"/>
        <v>4924.3648785714286</v>
      </c>
      <c r="E261" s="62">
        <f>IFERROR(C261/SUM($C$5:$C$264),0)</f>
        <v>1.1651499503269947E-3</v>
      </c>
      <c r="F261" s="63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36">
        <f t="shared" si="1"/>
        <v>1060.8</v>
      </c>
      <c r="E262" s="62">
        <f>IFERROR(C262/SUM($C$5:$C$264),0)</f>
        <v>2.5099502124331619E-4</v>
      </c>
      <c r="F262" s="63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36">
        <f t="shared" si="1"/>
        <v>1201996.0137714285</v>
      </c>
      <c r="E263" s="62">
        <f>IFERROR(C263/SUM($C$5:$C$264),0)</f>
        <v>0.28440329469357195</v>
      </c>
      <c r="F263" s="63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36">
        <f t="shared" si="1"/>
        <v>1622.549957142857</v>
      </c>
      <c r="E264" s="62">
        <f>IFERROR(C264/SUM($C$5:$C$264),0)</f>
        <v>3.8391021960917536E-4</v>
      </c>
      <c r="F264" s="63"/>
    </row>
    <row r="265" spans="1:6" ht="18" customHeight="1" x14ac:dyDescent="0.25">
      <c r="A265" s="53" t="s">
        <v>166</v>
      </c>
      <c r="B265" s="54"/>
      <c r="C265" s="55">
        <f>SUM(C5:C264)</f>
        <v>5916930115.3599977</v>
      </c>
      <c r="D265" s="55">
        <f t="shared" si="0"/>
        <v>4226378.6538285697</v>
      </c>
      <c r="E265" s="65">
        <v>1</v>
      </c>
      <c r="F265" s="54"/>
    </row>
    <row r="267" spans="1:6" ht="15" customHeight="1" x14ac:dyDescent="0.25">
      <c r="A267" s="1" t="s">
        <v>167</v>
      </c>
      <c r="B267" s="1"/>
      <c r="C267" s="1"/>
      <c r="D267" s="1"/>
      <c r="E267" s="1"/>
      <c r="F267" s="1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9" t="s">
        <v>168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2" t="s">
        <v>169</v>
      </c>
      <c r="B2" s="2"/>
      <c r="C2" s="2"/>
      <c r="D2" s="2"/>
      <c r="E2" s="2"/>
      <c r="F2" s="2"/>
      <c r="G2" s="2"/>
      <c r="H2" s="2"/>
      <c r="I2" s="2"/>
      <c r="J2" s="2"/>
    </row>
    <row r="3" spans="1:10" ht="19.5" customHeight="1" x14ac:dyDescent="0.25">
      <c r="A3" s="53" t="s">
        <v>170</v>
      </c>
      <c r="B3" s="60">
        <v>46157</v>
      </c>
      <c r="C3" s="54"/>
      <c r="D3" s="54"/>
      <c r="E3" s="54"/>
      <c r="F3" s="54"/>
      <c r="G3" s="54"/>
      <c r="H3" s="54"/>
      <c r="I3" s="54"/>
      <c r="J3" s="54"/>
    </row>
    <row r="4" spans="1:10" ht="30" customHeight="1" x14ac:dyDescent="0.25">
      <c r="A4" s="31" t="s">
        <v>171</v>
      </c>
      <c r="B4" s="31" t="s">
        <v>102</v>
      </c>
      <c r="C4" s="31" t="s">
        <v>172</v>
      </c>
      <c r="D4" s="31" t="s">
        <v>173</v>
      </c>
      <c r="E4" s="31" t="s">
        <v>174</v>
      </c>
      <c r="F4" s="31" t="s">
        <v>175</v>
      </c>
      <c r="G4" s="31" t="s">
        <v>176</v>
      </c>
      <c r="H4" s="31" t="s">
        <v>177</v>
      </c>
      <c r="I4" s="31" t="s">
        <v>178</v>
      </c>
      <c r="J4" s="31" t="s">
        <v>154</v>
      </c>
    </row>
    <row r="5" spans="1:10" ht="18" customHeight="1" x14ac:dyDescent="0.25">
      <c r="A5" s="66" t="s">
        <v>179</v>
      </c>
      <c r="B5" s="26">
        <v>1000000</v>
      </c>
      <c r="C5" s="67">
        <v>4.4999999999999998E-2</v>
      </c>
      <c r="D5" s="25">
        <v>46101</v>
      </c>
      <c r="E5" s="25">
        <v>46281</v>
      </c>
      <c r="F5" s="68">
        <f>IFERROR(E5-D5,0)</f>
        <v>180</v>
      </c>
      <c r="G5" s="69">
        <f>IFERROR(B5*(C5/365)*F5,0)</f>
        <v>22191.780821917808</v>
      </c>
      <c r="H5" s="70">
        <f>IFERROR(B5+G5,0)</f>
        <v>1022191.7808219178</v>
      </c>
      <c r="I5" s="71">
        <f ca="1">IFERROR(E5-TODAY(),"Vencido")</f>
        <v>124</v>
      </c>
      <c r="J5" s="64"/>
    </row>
    <row r="6" spans="1:10" ht="18" customHeight="1" x14ac:dyDescent="0.25">
      <c r="A6" s="66" t="s">
        <v>179</v>
      </c>
      <c r="B6" s="26">
        <v>1000000</v>
      </c>
      <c r="C6" s="67">
        <v>3.9E-2</v>
      </c>
      <c r="D6" s="25">
        <v>46118</v>
      </c>
      <c r="E6" s="25">
        <v>46297</v>
      </c>
      <c r="F6" s="68">
        <f>IFERROR(E6-D6,0)</f>
        <v>179</v>
      </c>
      <c r="G6" s="69">
        <f>IFERROR(B6*(C6/365)*F6,0)</f>
        <v>19126.027397260274</v>
      </c>
      <c r="H6" s="70">
        <f>IFERROR(B6+G6,0)</f>
        <v>1019126.0273972603</v>
      </c>
      <c r="I6" s="71">
        <f ca="1">IFERROR(E6-TODAY(),"Vencido")</f>
        <v>140</v>
      </c>
      <c r="J6" s="63"/>
    </row>
    <row r="7" spans="1:10" ht="18" customHeight="1" x14ac:dyDescent="0.25">
      <c r="A7" s="66" t="s">
        <v>179</v>
      </c>
      <c r="B7" s="26">
        <v>1000000</v>
      </c>
      <c r="C7" s="67">
        <v>5.9499999999999997E-2</v>
      </c>
      <c r="D7" s="25">
        <v>46079</v>
      </c>
      <c r="E7" s="25">
        <v>46259</v>
      </c>
      <c r="F7" s="68">
        <f>IFERROR(E7-D7,0)</f>
        <v>180</v>
      </c>
      <c r="G7" s="69">
        <f>IFERROR(B7*(C7/365)*F7,0)</f>
        <v>29342.465753424651</v>
      </c>
      <c r="H7" s="70">
        <f>IFERROR(B7+G7,0)</f>
        <v>1029342.4657534247</v>
      </c>
      <c r="I7" s="71">
        <f ca="1">IFERROR(E7-TODAY(),"Vencido")</f>
        <v>102</v>
      </c>
      <c r="J7" s="64"/>
    </row>
    <row r="8" spans="1:10" ht="18" customHeight="1" x14ac:dyDescent="0.25">
      <c r="A8" s="66" t="s">
        <v>181</v>
      </c>
      <c r="B8" s="26">
        <v>1000000</v>
      </c>
      <c r="C8" s="67">
        <v>0.05</v>
      </c>
      <c r="D8" s="25">
        <v>46048</v>
      </c>
      <c r="E8" s="25">
        <v>46227</v>
      </c>
      <c r="F8" s="68">
        <f t="shared" ref="F8:F14" si="0">IFERROR(E8-D8,0)</f>
        <v>179</v>
      </c>
      <c r="G8" s="69">
        <f t="shared" ref="G8:G14" si="1">IFERROR(B8*(C8/365)*F8,0)</f>
        <v>24520.547945205486</v>
      </c>
      <c r="H8" s="70">
        <f t="shared" ref="H8:H14" si="2">IFERROR(B8+G8,0)</f>
        <v>1024520.5479452055</v>
      </c>
      <c r="I8" s="71">
        <f t="shared" ref="I8:I14" ca="1" si="3">IFERROR(E8-TODAY(),"Vencido")</f>
        <v>70</v>
      </c>
      <c r="J8" s="64"/>
    </row>
    <row r="9" spans="1:10" ht="18" customHeight="1" x14ac:dyDescent="0.25">
      <c r="A9" s="66" t="s">
        <v>181</v>
      </c>
      <c r="B9" s="26">
        <v>1000000</v>
      </c>
      <c r="C9" s="67">
        <v>3.2500000000000001E-2</v>
      </c>
      <c r="D9" s="25">
        <v>46013</v>
      </c>
      <c r="E9" s="25">
        <v>46178</v>
      </c>
      <c r="F9" s="68">
        <f t="shared" si="0"/>
        <v>165</v>
      </c>
      <c r="G9" s="69">
        <f t="shared" si="1"/>
        <v>14691.780821917808</v>
      </c>
      <c r="H9" s="70">
        <f t="shared" si="2"/>
        <v>1014691.7808219178</v>
      </c>
      <c r="I9" s="71">
        <f t="shared" ca="1" si="3"/>
        <v>21</v>
      </c>
      <c r="J9" s="64"/>
    </row>
    <row r="10" spans="1:10" ht="18" customHeight="1" x14ac:dyDescent="0.25">
      <c r="A10" s="66" t="s">
        <v>181</v>
      </c>
      <c r="B10" s="26">
        <v>1000000</v>
      </c>
      <c r="C10" s="67">
        <v>3.2500000000000001E-2</v>
      </c>
      <c r="D10" s="25">
        <v>45860</v>
      </c>
      <c r="E10" s="25">
        <v>46185</v>
      </c>
      <c r="F10" s="68">
        <f t="shared" si="0"/>
        <v>325</v>
      </c>
      <c r="G10" s="69">
        <f t="shared" si="1"/>
        <v>28938.35616438356</v>
      </c>
      <c r="H10" s="70">
        <f t="shared" si="2"/>
        <v>1028938.3561643836</v>
      </c>
      <c r="I10" s="71">
        <f t="shared" ca="1" si="3"/>
        <v>28</v>
      </c>
      <c r="J10" s="64"/>
    </row>
    <row r="11" spans="1:10" ht="18" customHeight="1" x14ac:dyDescent="0.25">
      <c r="A11" s="66" t="s">
        <v>181</v>
      </c>
      <c r="B11" s="26">
        <v>1000000</v>
      </c>
      <c r="C11" s="67">
        <v>3.2500000000000001E-2</v>
      </c>
      <c r="D11" s="25">
        <v>45860</v>
      </c>
      <c r="E11" s="25">
        <v>46192</v>
      </c>
      <c r="F11" s="68">
        <f t="shared" si="0"/>
        <v>332</v>
      </c>
      <c r="G11" s="69">
        <f t="shared" si="1"/>
        <v>29561.643835616436</v>
      </c>
      <c r="H11" s="70">
        <f t="shared" si="2"/>
        <v>1029561.6438356164</v>
      </c>
      <c r="I11" s="71">
        <f t="shared" ca="1" si="3"/>
        <v>35</v>
      </c>
      <c r="J11" s="64"/>
    </row>
    <row r="12" spans="1:10" ht="18" customHeight="1" x14ac:dyDescent="0.25">
      <c r="A12" s="66" t="s">
        <v>181</v>
      </c>
      <c r="B12" s="26">
        <v>1000000</v>
      </c>
      <c r="C12" s="67">
        <v>0.04</v>
      </c>
      <c r="D12" s="25">
        <v>46136</v>
      </c>
      <c r="E12" s="25">
        <v>46255</v>
      </c>
      <c r="F12" s="68">
        <f t="shared" si="0"/>
        <v>119</v>
      </c>
      <c r="G12" s="69">
        <f t="shared" si="1"/>
        <v>13041.095890410959</v>
      </c>
      <c r="H12" s="70">
        <f t="shared" si="2"/>
        <v>1013041.0958904109</v>
      </c>
      <c r="I12" s="71">
        <f t="shared" ca="1" si="3"/>
        <v>98</v>
      </c>
      <c r="J12" s="64"/>
    </row>
    <row r="13" spans="1:10" ht="18" customHeight="1" x14ac:dyDescent="0.25">
      <c r="A13" s="66" t="s">
        <v>181</v>
      </c>
      <c r="B13" s="26">
        <v>1000000</v>
      </c>
      <c r="C13" s="67">
        <v>3.9E-2</v>
      </c>
      <c r="D13" s="25">
        <v>46090</v>
      </c>
      <c r="E13" s="25">
        <v>46269</v>
      </c>
      <c r="F13" s="68">
        <f t="shared" si="0"/>
        <v>179</v>
      </c>
      <c r="G13" s="69">
        <f t="shared" si="1"/>
        <v>19126.027397260274</v>
      </c>
      <c r="H13" s="70">
        <f t="shared" si="2"/>
        <v>1019126.0273972603</v>
      </c>
      <c r="I13" s="71">
        <f t="shared" ca="1" si="3"/>
        <v>112</v>
      </c>
      <c r="J13" s="64"/>
    </row>
    <row r="14" spans="1:10" ht="18" customHeight="1" x14ac:dyDescent="0.25">
      <c r="A14" s="66" t="s">
        <v>181</v>
      </c>
      <c r="B14" s="26">
        <v>1000000</v>
      </c>
      <c r="C14" s="67">
        <v>3.9E-2</v>
      </c>
      <c r="D14" s="25">
        <v>46153</v>
      </c>
      <c r="E14" s="25">
        <v>46333</v>
      </c>
      <c r="F14" s="68">
        <f t="shared" si="0"/>
        <v>180</v>
      </c>
      <c r="G14" s="69">
        <f t="shared" si="1"/>
        <v>19232.876712328769</v>
      </c>
      <c r="H14" s="70">
        <f t="shared" si="2"/>
        <v>1019232.8767123288</v>
      </c>
      <c r="I14" s="71">
        <f t="shared" ca="1" si="3"/>
        <v>176</v>
      </c>
      <c r="J14" s="64"/>
    </row>
    <row r="15" spans="1:10" ht="19.5" customHeight="1" x14ac:dyDescent="0.25">
      <c r="A15" s="53" t="s">
        <v>155</v>
      </c>
      <c r="B15" s="72">
        <f>SUM(B5:B14)</f>
        <v>10000000</v>
      </c>
      <c r="C15" s="54"/>
      <c r="D15" s="54"/>
      <c r="E15" s="54"/>
      <c r="F15" s="54"/>
      <c r="G15" s="72">
        <f>SUM(G5:G14)</f>
        <v>219772.60273972608</v>
      </c>
      <c r="H15" s="72">
        <f>SUM(H5:H14)</f>
        <v>10219772.602739725</v>
      </c>
      <c r="I15" s="54"/>
      <c r="J15" s="54"/>
    </row>
    <row r="16" spans="1:10" ht="18" customHeight="1" x14ac:dyDescent="0.25">
      <c r="A16" s="56"/>
      <c r="B16" s="73"/>
      <c r="C16" s="74"/>
      <c r="D16" s="58"/>
      <c r="E16" s="58"/>
      <c r="F16" s="75">
        <f>IFERROR(E16-D16,0)</f>
        <v>0</v>
      </c>
      <c r="G16" s="76">
        <f>IFERROR(B16*(C16/365)*F16,0)</f>
        <v>0</v>
      </c>
      <c r="H16" s="76">
        <f>IFERROR(B16+G16,0)</f>
        <v>0</v>
      </c>
      <c r="I16" s="75">
        <f ca="1">IFERROR(E16-TODAY(),"")</f>
        <v>-46157</v>
      </c>
      <c r="J16" s="56"/>
    </row>
    <row r="17" spans="1:10" ht="18" customHeight="1" x14ac:dyDescent="0.25">
      <c r="A17" s="56"/>
      <c r="B17" s="73"/>
      <c r="C17" s="74"/>
      <c r="D17" s="58"/>
      <c r="E17" s="58"/>
      <c r="F17" s="75">
        <f>IFERROR(E17-D17,0)</f>
        <v>0</v>
      </c>
      <c r="G17" s="76">
        <f>IFERROR(B17*(C17/365)*F17,0)</f>
        <v>0</v>
      </c>
      <c r="H17" s="76">
        <f>IFERROR(B17+G17,0)</f>
        <v>0</v>
      </c>
      <c r="I17" s="75">
        <f ca="1">IFERROR(E17-TODAY(),"")</f>
        <v>-46157</v>
      </c>
      <c r="J17" s="56"/>
    </row>
    <row r="18" spans="1:10" ht="18" customHeight="1" x14ac:dyDescent="0.25">
      <c r="A18" s="56"/>
      <c r="B18" s="73"/>
      <c r="C18" s="74"/>
      <c r="D18" s="58"/>
      <c r="E18" s="58"/>
      <c r="F18" s="75">
        <f>IFERROR(E18-D18,0)</f>
        <v>0</v>
      </c>
      <c r="G18" s="76">
        <f>IFERROR(B18*(C18/365)*F18,0)</f>
        <v>0</v>
      </c>
      <c r="H18" s="76">
        <f>IFERROR(B18+G18,0)</f>
        <v>0</v>
      </c>
      <c r="I18" s="75">
        <f ca="1">IFERROR(E18-TODAY(),"")</f>
        <v>-46157</v>
      </c>
      <c r="J18" s="56"/>
    </row>
    <row r="19" spans="1:10" ht="18" customHeight="1" x14ac:dyDescent="0.25">
      <c r="A19" s="56"/>
      <c r="B19" s="73"/>
      <c r="C19" s="74"/>
      <c r="D19" s="58"/>
      <c r="E19" s="58"/>
      <c r="F19" s="75">
        <f>IFERROR(E19-D19,0)</f>
        <v>0</v>
      </c>
      <c r="G19" s="76">
        <f>IFERROR(B19*(C19/365)*F19,0)</f>
        <v>0</v>
      </c>
      <c r="H19" s="76">
        <f>IFERROR(B19+G19,0)</f>
        <v>0</v>
      </c>
      <c r="I19" s="75">
        <f ca="1">IFERROR(E19-TODAY(),"")</f>
        <v>-46157</v>
      </c>
      <c r="J19" s="56"/>
    </row>
    <row r="20" spans="1:10" ht="18" customHeight="1" x14ac:dyDescent="0.25">
      <c r="A20" s="56"/>
      <c r="B20" s="73"/>
      <c r="C20" s="74"/>
      <c r="D20" s="58"/>
      <c r="E20" s="58"/>
      <c r="F20" s="75">
        <f>IFERROR(E20-D20,0)</f>
        <v>0</v>
      </c>
      <c r="G20" s="76">
        <f>IFERROR(B20*(C20/365)*F20,0)</f>
        <v>0</v>
      </c>
      <c r="H20" s="76">
        <f>IFERROR(B20+G20,0)</f>
        <v>0</v>
      </c>
      <c r="I20" s="75">
        <f ca="1">IFERROR(E20-TODAY(),"")</f>
        <v>-46157</v>
      </c>
      <c r="J20" s="56"/>
    </row>
    <row r="22" spans="1:10" x14ac:dyDescent="0.25">
      <c r="A22" s="1" t="s">
        <v>180</v>
      </c>
      <c r="B22" s="1"/>
      <c r="C22" s="1"/>
      <c r="D22" s="1"/>
      <c r="E22" s="1"/>
      <c r="F22" s="1"/>
      <c r="G22" s="1"/>
      <c r="H22" s="1"/>
      <c r="I22" s="1"/>
      <c r="J22" s="1"/>
    </row>
    <row r="26" spans="1:10" x14ac:dyDescent="0.25">
      <c r="D26" s="78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2026-05-15T15:44:45Z</dcterms:modified>
  <dc:language>en-US</dc:language>
</cp:coreProperties>
</file>