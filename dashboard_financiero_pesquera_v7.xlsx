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4311A4EB-B022-4C10-949B-BBC26EC38E5D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9" i="2" l="1"/>
  <c r="AI158" i="2"/>
  <c r="AH159" i="2"/>
  <c r="AH158" i="2"/>
  <c r="AG159" i="2"/>
  <c r="AG158" i="2"/>
  <c r="AF159" i="2"/>
  <c r="AF158" i="2"/>
  <c r="AE159" i="2"/>
  <c r="AE158" i="2"/>
  <c r="AD159" i="2"/>
  <c r="AD158" i="2"/>
  <c r="AC159" i="2"/>
  <c r="AC158" i="2"/>
  <c r="AB159" i="2"/>
  <c r="AB158" i="2"/>
  <c r="Z159" i="2"/>
  <c r="Z158" i="2"/>
  <c r="Z157" i="2"/>
  <c r="AA157" i="2"/>
  <c r="A158" i="2"/>
  <c r="A159" i="2" s="1"/>
  <c r="H6" i="9"/>
  <c r="H5" i="9"/>
  <c r="E331" i="8"/>
  <c r="E332" i="8"/>
  <c r="E333" i="8"/>
  <c r="E334" i="8"/>
  <c r="D331" i="8"/>
  <c r="D332" i="8"/>
  <c r="D333" i="8"/>
  <c r="D334" i="8"/>
  <c r="D335" i="8"/>
  <c r="C335" i="8"/>
  <c r="C331" i="8"/>
  <c r="C332" i="8"/>
  <c r="C333" i="8"/>
  <c r="C334" i="8"/>
  <c r="C6" i="8"/>
  <c r="D6" i="8" s="1"/>
  <c r="C7" i="8"/>
  <c r="D7" i="8" s="1"/>
  <c r="C8" i="8"/>
  <c r="D8" i="8" s="1"/>
  <c r="C9" i="8"/>
  <c r="D9" i="8" s="1"/>
  <c r="C10" i="8"/>
  <c r="D10" i="8" s="1"/>
  <c r="C11" i="8"/>
  <c r="D11" i="8" s="1"/>
  <c r="C12" i="8"/>
  <c r="D12" i="8" s="1"/>
  <c r="C13" i="8"/>
  <c r="D13" i="8" s="1"/>
  <c r="C14" i="8"/>
  <c r="D14" i="8" s="1"/>
  <c r="C15" i="8"/>
  <c r="D15" i="8" s="1"/>
  <c r="C16" i="8"/>
  <c r="D16" i="8" s="1"/>
  <c r="C17" i="8"/>
  <c r="D17" i="8" s="1"/>
  <c r="C18" i="8"/>
  <c r="D18" i="8" s="1"/>
  <c r="C19" i="8"/>
  <c r="D19" i="8" s="1"/>
  <c r="C20" i="8"/>
  <c r="D20" i="8" s="1"/>
  <c r="C21" i="8"/>
  <c r="D21" i="8" s="1"/>
  <c r="C22" i="8"/>
  <c r="D22" i="8" s="1"/>
  <c r="C23" i="8"/>
  <c r="D23" i="8" s="1"/>
  <c r="C24" i="8"/>
  <c r="D24" i="8" s="1"/>
  <c r="C25" i="8"/>
  <c r="D25" i="8" s="1"/>
  <c r="C26" i="8"/>
  <c r="D26" i="8" s="1"/>
  <c r="C27" i="8"/>
  <c r="D27" i="8" s="1"/>
  <c r="C28" i="8"/>
  <c r="D28" i="8" s="1"/>
  <c r="C29" i="8"/>
  <c r="D29" i="8" s="1"/>
  <c r="C30" i="8"/>
  <c r="D30" i="8" s="1"/>
  <c r="C31" i="8"/>
  <c r="D31" i="8" s="1"/>
  <c r="C32" i="8"/>
  <c r="D32" i="8" s="1"/>
  <c r="C33" i="8"/>
  <c r="D33" i="8" s="1"/>
  <c r="C34" i="8"/>
  <c r="D34" i="8" s="1"/>
  <c r="C35" i="8"/>
  <c r="D35" i="8" s="1"/>
  <c r="C36" i="8"/>
  <c r="D36" i="8" s="1"/>
  <c r="C37" i="8"/>
  <c r="D37" i="8" s="1"/>
  <c r="C38" i="8"/>
  <c r="D38" i="8" s="1"/>
  <c r="C39" i="8"/>
  <c r="D39" i="8" s="1"/>
  <c r="C40" i="8"/>
  <c r="D40" i="8" s="1"/>
  <c r="C41" i="8"/>
  <c r="D41" i="8" s="1"/>
  <c r="C42" i="8"/>
  <c r="D42" i="8" s="1"/>
  <c r="C43" i="8"/>
  <c r="D43" i="8" s="1"/>
  <c r="C44" i="8"/>
  <c r="D44" i="8" s="1"/>
  <c r="C45" i="8"/>
  <c r="D45" i="8" s="1"/>
  <c r="C46" i="8"/>
  <c r="D46" i="8" s="1"/>
  <c r="C47" i="8"/>
  <c r="D47" i="8" s="1"/>
  <c r="C48" i="8"/>
  <c r="D48" i="8" s="1"/>
  <c r="C49" i="8"/>
  <c r="D49" i="8" s="1"/>
  <c r="C50" i="8"/>
  <c r="D50" i="8" s="1"/>
  <c r="C51" i="8"/>
  <c r="D51" i="8" s="1"/>
  <c r="C52" i="8"/>
  <c r="D52" i="8" s="1"/>
  <c r="C53" i="8"/>
  <c r="D53" i="8" s="1"/>
  <c r="C54" i="8"/>
  <c r="D54" i="8" s="1"/>
  <c r="C55" i="8"/>
  <c r="D55" i="8" s="1"/>
  <c r="C56" i="8"/>
  <c r="D56" i="8" s="1"/>
  <c r="C57" i="8"/>
  <c r="D57" i="8" s="1"/>
  <c r="C58" i="8"/>
  <c r="D58" i="8" s="1"/>
  <c r="C59" i="8"/>
  <c r="D59" i="8" s="1"/>
  <c r="C60" i="8"/>
  <c r="D60" i="8" s="1"/>
  <c r="C61" i="8"/>
  <c r="D61" i="8" s="1"/>
  <c r="C62" i="8"/>
  <c r="D62" i="8" s="1"/>
  <c r="C63" i="8"/>
  <c r="D63" i="8" s="1"/>
  <c r="C64" i="8"/>
  <c r="D64" i="8" s="1"/>
  <c r="C65" i="8"/>
  <c r="D65" i="8" s="1"/>
  <c r="C66" i="8"/>
  <c r="D66" i="8" s="1"/>
  <c r="C67" i="8"/>
  <c r="D67" i="8" s="1"/>
  <c r="C68" i="8"/>
  <c r="D68" i="8" s="1"/>
  <c r="C69" i="8"/>
  <c r="D69" i="8" s="1"/>
  <c r="C70" i="8"/>
  <c r="D70" i="8" s="1"/>
  <c r="C71" i="8"/>
  <c r="D71" i="8" s="1"/>
  <c r="C72" i="8"/>
  <c r="D72" i="8" s="1"/>
  <c r="C73" i="8"/>
  <c r="D73" i="8" s="1"/>
  <c r="C74" i="8"/>
  <c r="D74" i="8" s="1"/>
  <c r="C75" i="8"/>
  <c r="D75" i="8" s="1"/>
  <c r="C76" i="8"/>
  <c r="D76" i="8" s="1"/>
  <c r="C77" i="8"/>
  <c r="D77" i="8" s="1"/>
  <c r="C78" i="8"/>
  <c r="D78" i="8" s="1"/>
  <c r="C79" i="8"/>
  <c r="D79" i="8" s="1"/>
  <c r="C80" i="8"/>
  <c r="D80" i="8" s="1"/>
  <c r="C81" i="8"/>
  <c r="D81" i="8" s="1"/>
  <c r="C82" i="8"/>
  <c r="D82" i="8" s="1"/>
  <c r="C83" i="8"/>
  <c r="D83" i="8" s="1"/>
  <c r="C84" i="8"/>
  <c r="D84" i="8" s="1"/>
  <c r="C85" i="8"/>
  <c r="D85" i="8" s="1"/>
  <c r="C86" i="8"/>
  <c r="D86" i="8" s="1"/>
  <c r="C87" i="8"/>
  <c r="D87" i="8" s="1"/>
  <c r="C88" i="8"/>
  <c r="D88" i="8" s="1"/>
  <c r="C89" i="8"/>
  <c r="D89" i="8" s="1"/>
  <c r="C90" i="8"/>
  <c r="D90" i="8" s="1"/>
  <c r="C91" i="8"/>
  <c r="D91" i="8" s="1"/>
  <c r="C92" i="8"/>
  <c r="D92" i="8" s="1"/>
  <c r="C93" i="8"/>
  <c r="D93" i="8" s="1"/>
  <c r="C94" i="8"/>
  <c r="D94" i="8" s="1"/>
  <c r="C95" i="8"/>
  <c r="D95" i="8" s="1"/>
  <c r="C96" i="8"/>
  <c r="D96" i="8" s="1"/>
  <c r="C97" i="8"/>
  <c r="D97" i="8" s="1"/>
  <c r="C98" i="8"/>
  <c r="D98" i="8" s="1"/>
  <c r="C99" i="8"/>
  <c r="D99" i="8" s="1"/>
  <c r="C100" i="8"/>
  <c r="D100" i="8" s="1"/>
  <c r="C101" i="8"/>
  <c r="D101" i="8" s="1"/>
  <c r="C102" i="8"/>
  <c r="D102" i="8" s="1"/>
  <c r="C103" i="8"/>
  <c r="D103" i="8" s="1"/>
  <c r="C104" i="8"/>
  <c r="D104" i="8" s="1"/>
  <c r="C105" i="8"/>
  <c r="D105" i="8" s="1"/>
  <c r="C106" i="8"/>
  <c r="D106" i="8" s="1"/>
  <c r="C107" i="8"/>
  <c r="D107" i="8" s="1"/>
  <c r="C108" i="8"/>
  <c r="D108" i="8" s="1"/>
  <c r="C109" i="8"/>
  <c r="D109" i="8" s="1"/>
  <c r="C110" i="8"/>
  <c r="D110" i="8" s="1"/>
  <c r="C111" i="8"/>
  <c r="D111" i="8" s="1"/>
  <c r="C112" i="8"/>
  <c r="D112" i="8" s="1"/>
  <c r="C113" i="8"/>
  <c r="D113" i="8" s="1"/>
  <c r="C114" i="8"/>
  <c r="D114" i="8" s="1"/>
  <c r="C115" i="8"/>
  <c r="D115" i="8" s="1"/>
  <c r="C116" i="8"/>
  <c r="D116" i="8" s="1"/>
  <c r="C117" i="8"/>
  <c r="D117" i="8" s="1"/>
  <c r="C118" i="8"/>
  <c r="D118" i="8" s="1"/>
  <c r="C119" i="8"/>
  <c r="D119" i="8" s="1"/>
  <c r="C120" i="8"/>
  <c r="D120" i="8" s="1"/>
  <c r="C121" i="8"/>
  <c r="D121" i="8" s="1"/>
  <c r="C122" i="8"/>
  <c r="D122" i="8" s="1"/>
  <c r="C123" i="8"/>
  <c r="D123" i="8" s="1"/>
  <c r="C124" i="8"/>
  <c r="D124" i="8" s="1"/>
  <c r="C125" i="8"/>
  <c r="D125" i="8" s="1"/>
  <c r="C126" i="8"/>
  <c r="D126" i="8" s="1"/>
  <c r="C127" i="8"/>
  <c r="D127" i="8" s="1"/>
  <c r="C128" i="8"/>
  <c r="D128" i="8" s="1"/>
  <c r="C129" i="8"/>
  <c r="D129" i="8" s="1"/>
  <c r="C130" i="8"/>
  <c r="D130" i="8" s="1"/>
  <c r="C131" i="8"/>
  <c r="D131" i="8" s="1"/>
  <c r="C132" i="8"/>
  <c r="D132" i="8" s="1"/>
  <c r="C133" i="8"/>
  <c r="D133" i="8" s="1"/>
  <c r="C134" i="8"/>
  <c r="D134" i="8" s="1"/>
  <c r="C135" i="8"/>
  <c r="D135" i="8" s="1"/>
  <c r="C136" i="8"/>
  <c r="D136" i="8" s="1"/>
  <c r="C137" i="8"/>
  <c r="D137" i="8" s="1"/>
  <c r="C138" i="8"/>
  <c r="D138" i="8" s="1"/>
  <c r="C139" i="8"/>
  <c r="D139" i="8" s="1"/>
  <c r="C140" i="8"/>
  <c r="D140" i="8" s="1"/>
  <c r="C141" i="8"/>
  <c r="D141" i="8" s="1"/>
  <c r="C142" i="8"/>
  <c r="D142" i="8" s="1"/>
  <c r="C143" i="8"/>
  <c r="D143" i="8" s="1"/>
  <c r="C144" i="8"/>
  <c r="D144" i="8" s="1"/>
  <c r="C145" i="8"/>
  <c r="D145" i="8" s="1"/>
  <c r="C146" i="8"/>
  <c r="D146" i="8" s="1"/>
  <c r="C147" i="8"/>
  <c r="D147" i="8" s="1"/>
  <c r="C148" i="8"/>
  <c r="D148" i="8" s="1"/>
  <c r="C149" i="8"/>
  <c r="D149" i="8" s="1"/>
  <c r="C150" i="8"/>
  <c r="D150" i="8" s="1"/>
  <c r="C151" i="8"/>
  <c r="D151" i="8" s="1"/>
  <c r="C152" i="8"/>
  <c r="D152" i="8" s="1"/>
  <c r="C153" i="8"/>
  <c r="D153" i="8" s="1"/>
  <c r="C154" i="8"/>
  <c r="D154" i="8" s="1"/>
  <c r="C155" i="8"/>
  <c r="D155" i="8" s="1"/>
  <c r="C156" i="8"/>
  <c r="D156" i="8" s="1"/>
  <c r="C157" i="8"/>
  <c r="D157" i="8" s="1"/>
  <c r="C158" i="8"/>
  <c r="D158" i="8" s="1"/>
  <c r="C159" i="8"/>
  <c r="D159" i="8" s="1"/>
  <c r="C160" i="8"/>
  <c r="D160" i="8" s="1"/>
  <c r="C161" i="8"/>
  <c r="D161" i="8" s="1"/>
  <c r="C162" i="8"/>
  <c r="D162" i="8" s="1"/>
  <c r="C163" i="8"/>
  <c r="D163" i="8" s="1"/>
  <c r="C164" i="8"/>
  <c r="D164" i="8" s="1"/>
  <c r="C165" i="8"/>
  <c r="D165" i="8" s="1"/>
  <c r="C166" i="8"/>
  <c r="D166" i="8" s="1"/>
  <c r="C167" i="8"/>
  <c r="D167" i="8" s="1"/>
  <c r="C168" i="8"/>
  <c r="D168" i="8" s="1"/>
  <c r="C169" i="8"/>
  <c r="D169" i="8" s="1"/>
  <c r="C170" i="8"/>
  <c r="D170" i="8" s="1"/>
  <c r="C171" i="8"/>
  <c r="D171" i="8" s="1"/>
  <c r="C172" i="8"/>
  <c r="D172" i="8" s="1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D193" i="8" s="1"/>
  <c r="C194" i="8"/>
  <c r="D194" i="8" s="1"/>
  <c r="C195" i="8"/>
  <c r="D195" i="8" s="1"/>
  <c r="C196" i="8"/>
  <c r="D196" i="8" s="1"/>
  <c r="C197" i="8"/>
  <c r="D197" i="8" s="1"/>
  <c r="C198" i="8"/>
  <c r="D198" i="8" s="1"/>
  <c r="C199" i="8"/>
  <c r="D199" i="8" s="1"/>
  <c r="C200" i="8"/>
  <c r="D200" i="8" s="1"/>
  <c r="C201" i="8"/>
  <c r="D201" i="8" s="1"/>
  <c r="C202" i="8"/>
  <c r="D202" i="8" s="1"/>
  <c r="C203" i="8"/>
  <c r="D203" i="8" s="1"/>
  <c r="C204" i="8"/>
  <c r="D204" i="8" s="1"/>
  <c r="C205" i="8"/>
  <c r="D205" i="8" s="1"/>
  <c r="C206" i="8"/>
  <c r="D206" i="8" s="1"/>
  <c r="C207" i="8"/>
  <c r="D207" i="8" s="1"/>
  <c r="C208" i="8"/>
  <c r="D208" i="8" s="1"/>
  <c r="C209" i="8"/>
  <c r="D209" i="8" s="1"/>
  <c r="C210" i="8"/>
  <c r="D210" i="8" s="1"/>
  <c r="C211" i="8"/>
  <c r="D211" i="8" s="1"/>
  <c r="C212" i="8"/>
  <c r="D212" i="8" s="1"/>
  <c r="C213" i="8"/>
  <c r="D213" i="8" s="1"/>
  <c r="C214" i="8"/>
  <c r="D214" i="8" s="1"/>
  <c r="C215" i="8"/>
  <c r="D215" i="8" s="1"/>
  <c r="C216" i="8"/>
  <c r="D216" i="8" s="1"/>
  <c r="C217" i="8"/>
  <c r="D217" i="8" s="1"/>
  <c r="C218" i="8"/>
  <c r="D218" i="8" s="1"/>
  <c r="C219" i="8"/>
  <c r="D219" i="8" s="1"/>
  <c r="C220" i="8"/>
  <c r="D220" i="8" s="1"/>
  <c r="C221" i="8"/>
  <c r="D221" i="8" s="1"/>
  <c r="C222" i="8"/>
  <c r="D222" i="8" s="1"/>
  <c r="C223" i="8"/>
  <c r="D223" i="8" s="1"/>
  <c r="C224" i="8"/>
  <c r="D224" i="8" s="1"/>
  <c r="C225" i="8"/>
  <c r="D225" i="8" s="1"/>
  <c r="C226" i="8"/>
  <c r="D226" i="8" s="1"/>
  <c r="C227" i="8"/>
  <c r="D227" i="8" s="1"/>
  <c r="C228" i="8"/>
  <c r="D228" i="8" s="1"/>
  <c r="C229" i="8"/>
  <c r="D229" i="8" s="1"/>
  <c r="C230" i="8"/>
  <c r="D230" i="8" s="1"/>
  <c r="C231" i="8"/>
  <c r="D231" i="8" s="1"/>
  <c r="C232" i="8"/>
  <c r="D232" i="8" s="1"/>
  <c r="C233" i="8"/>
  <c r="D233" i="8" s="1"/>
  <c r="C234" i="8"/>
  <c r="D234" i="8" s="1"/>
  <c r="C235" i="8"/>
  <c r="D235" i="8" s="1"/>
  <c r="C236" i="8"/>
  <c r="D236" i="8" s="1"/>
  <c r="C237" i="8"/>
  <c r="D237" i="8" s="1"/>
  <c r="C238" i="8"/>
  <c r="D238" i="8" s="1"/>
  <c r="C239" i="8"/>
  <c r="D239" i="8" s="1"/>
  <c r="C240" i="8"/>
  <c r="D240" i="8" s="1"/>
  <c r="C241" i="8"/>
  <c r="D241" i="8" s="1"/>
  <c r="C242" i="8"/>
  <c r="D242" i="8" s="1"/>
  <c r="C243" i="8"/>
  <c r="D243" i="8" s="1"/>
  <c r="C244" i="8"/>
  <c r="D244" i="8" s="1"/>
  <c r="C245" i="8"/>
  <c r="D245" i="8" s="1"/>
  <c r="C246" i="8"/>
  <c r="D246" i="8" s="1"/>
  <c r="C247" i="8"/>
  <c r="D247" i="8" s="1"/>
  <c r="C248" i="8"/>
  <c r="D248" i="8" s="1"/>
  <c r="C249" i="8"/>
  <c r="D249" i="8" s="1"/>
  <c r="C250" i="8"/>
  <c r="D250" i="8" s="1"/>
  <c r="C251" i="8"/>
  <c r="D251" i="8" s="1"/>
  <c r="C252" i="8"/>
  <c r="D252" i="8" s="1"/>
  <c r="C253" i="8"/>
  <c r="D253" i="8" s="1"/>
  <c r="C254" i="8"/>
  <c r="D254" i="8" s="1"/>
  <c r="C255" i="8"/>
  <c r="D255" i="8" s="1"/>
  <c r="C256" i="8"/>
  <c r="D256" i="8" s="1"/>
  <c r="C257" i="8"/>
  <c r="D257" i="8" s="1"/>
  <c r="C258" i="8"/>
  <c r="D258" i="8" s="1"/>
  <c r="C259" i="8"/>
  <c r="D259" i="8" s="1"/>
  <c r="C260" i="8"/>
  <c r="D260" i="8" s="1"/>
  <c r="C261" i="8"/>
  <c r="D261" i="8" s="1"/>
  <c r="C262" i="8"/>
  <c r="D262" i="8" s="1"/>
  <c r="C263" i="8"/>
  <c r="D263" i="8" s="1"/>
  <c r="C264" i="8"/>
  <c r="D264" i="8" s="1"/>
  <c r="C265" i="8"/>
  <c r="D265" i="8" s="1"/>
  <c r="C266" i="8"/>
  <c r="D266" i="8" s="1"/>
  <c r="C267" i="8"/>
  <c r="D267" i="8" s="1"/>
  <c r="C268" i="8"/>
  <c r="D268" i="8" s="1"/>
  <c r="C269" i="8"/>
  <c r="D269" i="8" s="1"/>
  <c r="C270" i="8"/>
  <c r="D270" i="8" s="1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D318" i="8" s="1"/>
  <c r="C319" i="8"/>
  <c r="D319" i="8" s="1"/>
  <c r="C320" i="8"/>
  <c r="D320" i="8" s="1"/>
  <c r="C321" i="8"/>
  <c r="D321" i="8" s="1"/>
  <c r="C322" i="8"/>
  <c r="D322" i="8" s="1"/>
  <c r="C323" i="8"/>
  <c r="D323" i="8" s="1"/>
  <c r="C324" i="8"/>
  <c r="D324" i="8" s="1"/>
  <c r="C325" i="8"/>
  <c r="D325" i="8" s="1"/>
  <c r="C326" i="8"/>
  <c r="D326" i="8" s="1"/>
  <c r="C327" i="8"/>
  <c r="D327" i="8" s="1"/>
  <c r="C328" i="8"/>
  <c r="D328" i="8" s="1"/>
  <c r="C329" i="8"/>
  <c r="D329" i="8" s="1"/>
  <c r="C330" i="8"/>
  <c r="D330" i="8" s="1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5" i="8"/>
  <c r="AI157" i="2"/>
  <c r="AH157" i="2"/>
  <c r="AG157" i="2"/>
  <c r="AF157" i="2"/>
  <c r="AE157" i="2"/>
  <c r="AD151" i="2"/>
  <c r="AD152" i="2" s="1"/>
  <c r="AD153" i="2" s="1"/>
  <c r="AD154" i="2" s="1"/>
  <c r="AD155" i="2" s="1"/>
  <c r="AD156" i="2" s="1"/>
  <c r="AD157" i="2" s="1"/>
  <c r="AB157" i="2"/>
  <c r="Y157" i="2"/>
  <c r="X157" i="2"/>
  <c r="U157" i="2"/>
  <c r="Q157" i="2"/>
  <c r="L157" i="2"/>
  <c r="J157" i="2"/>
  <c r="I157" i="2"/>
  <c r="H157" i="2"/>
  <c r="G157" i="2"/>
  <c r="F157" i="2"/>
  <c r="E157" i="2"/>
  <c r="D294" i="8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H22" i="9" s="1"/>
  <c r="G22" i="9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28" i="8" l="1"/>
  <c r="E326" i="8"/>
  <c r="E329" i="8"/>
  <c r="E327" i="8"/>
  <c r="E324" i="8"/>
  <c r="E330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59" i="6" l="1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35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<sst xmlns="http://schemas.openxmlformats.org/spreadsheetml/2006/main" count="4300" uniqueCount="1219">
  <si>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</si>
  <si>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</si>
  <si>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</si>
  <si>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</si>
  <si>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</si>
  <si>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</si>
  <si>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</si>
  <si>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</si>
  <si>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</si>
  <si>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</si>
  <si>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</si>
  <si>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</si>
  <si>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</si>
  <si>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</si>
  <si>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</si>
  <si>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</si>
  <si>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</si>
  <si>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</si>
  <si>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</si>
  <si>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</si>
  <si>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</si>
  <si>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</si>
  <si>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</si>
  <si>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</si>
  <si>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</si>
  <si>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</si>
  <si>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</si>
  <si>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</si>
  <si>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</si>
  <si>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</si>
  <si>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</si>
  <si>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</si>
  <si>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</si>
  <si>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</si>
  <si>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</si>
  <si>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</si>
  <si>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</si>
  <si>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</si>
  <si>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</si>
  <si>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</si>
  <si>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</si>
  <si>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</si>
  <si>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</si>
  <si>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</si>
  <si>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</si>
  <si>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</si>
  <si>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</si>
  <si>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</si>
  <si>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</si>
  <si>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</si>
  <si>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</si>
  <si>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</si>
  <si>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</si>
  <si>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</si>
  <si>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</si>
  <si>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</si>
  <si>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</si>
  <si>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</si>
  <si>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</si>
  <si>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</si>
  <si>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</si>
  <si>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</si>
  <si>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</si>
  <si>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</si>
  <si>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</si>
  <si>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</si>
  <si>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</si>
  <si>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</si>
  <si>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</si>
  <si>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</si>
  <si>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</si>
  <si>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</si>
  <si>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</si>
  <si>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</si>
  <si>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</si>
  <si>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</si>
  <si>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</si>
  <si>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</si>
  <si>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</si>
  <si>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</si>
  <si>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</si>
  <si>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</si>
  <si>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</si>
  <si>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</si>
  <si>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</si>
  <si>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</si>
  <si>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</si>
  <si>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</si>
  <si>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</si>
  <si>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</si>
  <si>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</si>
  <si>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</si>
  <si>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</si>
  <si>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</si>
  <si>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</si>
  <si>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</si>
  <si>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</si>
  <si>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</si>
  <si>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</si>
  <si>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</si>
  <si>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</si>
  <si>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</si>
  <si>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</si>
  <si>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</si>
  <si>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</si>
  <si>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</si>
  <si>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</si>
  <si>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</si>
  <si>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</si>
  <si>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</si>
  <si>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</si>
  <si>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</si>
  <si>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</si>
  <si>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</si>
  <si>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</si>
  <si>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</si>
  <si>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</si>
  <si>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</si>
  <si>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</si>
  <si>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</si>
  <si>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</si>
  <si>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</si>
  <si>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</si>
  <si>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</si>
  <si>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</si>
  <si>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</si>
  <si>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</si>
  <si>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</si>
  <si>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</si>
  <si>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</si>
  <si>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</si>
  <si>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</si>
  <si>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</si>
  <si>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</si>
  <si>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</si>
  <si>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</si>
  <si>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</si>
  <si>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</si>
  <si>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</si>
  <si>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</si>
  <si>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</si>
  <si>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</si>
  <si>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</si>
  <si>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</si>
  <si>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</si>
  <si>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</si>
  <si>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</si>
  <si>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</si>
  <si>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</si>
  <si>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</si>
  <si>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</si>
  <si>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</si>
  <si>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</si>
  <si>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</si>
  <si>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</si>
  <si>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</si>
  <si>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</si>
  <si>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</si>
  <si>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</si>
  <si>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</si>
  <si>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</si>
  <si>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</si>
  <si>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</si>
  <si>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</si>
  <si>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</si>
  <si>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</si>
  <si>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</si>
  <si>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</si>
  <si>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</si>
  <si>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</si>
  <si>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</si>
  <si>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</si>
  <si>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</si>
  <si>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</si>
  <si>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</si>
  <si>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</si>
  <si>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</si>
  <si>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</si>
  <si>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</si>
  <si>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</si>
  <si>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</si>
  <si>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</si>
  <si>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</si>
  <si>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</si>
  <si>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</si>
  <si>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</si>
  <si>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</si>
  <si>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</si>
  <si>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</si>
  <si>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</si>
  <si>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</si>
  <si>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</si>
  <si>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</si>
  <si>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</si>
  <si>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</si>
  <si>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</si>
  <si>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</si>
  <si>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</si>
  <si>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</si>
  <si>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</si>
  <si>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</si>
  <si>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</si>
  <si>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</si>
  <si>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</si>
  <si>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</si>
  <si>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</si>
  <si>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</si>
  <si>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</si>
  <si>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</si>
  <si>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</si>
  <si>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</si>
  <si>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</si>
  <si>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</si>
  <si>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</si>
  <si>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</si>
  <si>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</si>
  <si>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</si>
  <si>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</si>
  <si>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</si>
  <si>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</si>
  <si>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</si>
  <si>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</si>
  <si>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</si>
  <si>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</si>
  <si>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</si>
  <si>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</si>
  <si>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</si>
  <si>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</si>
  <si>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</si>
  <si>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</si>
  <si>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</si>
  <si>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</si>
  <si>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</si>
  <si>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</si>
  <si>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</si>
  <si>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</si>
  <si>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</si>
  <si>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</si>
  <si>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</si>
  <si>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</si>
  <si>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</si>
  <si>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</si>
  <si>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</si>
  <si>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</si>
  <si>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</si>
  <si>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</si>
  <si>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</si>
  <si>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</si>
  <si>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</si>
  <si>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</si>
  <si>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</si>
  <si>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</si>
  <si>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</si>
  <si>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</si>
  <si>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</si>
  <si>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</si>
  <si>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</si>
  <si>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</si>
  <si>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</si>
  <si>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</si>
  <si>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</si>
  <si>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</si>
  <si>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</si>
  <si>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</si>
  <si>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</si>
  <si>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</si>
  <si>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</si>
  <si>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</si>
  <si>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</si>
  <si>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</si>
  <si>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</si>
  <si>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</si>
  <si>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</si>
  <si>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</si>
  <si>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</si>
  <si>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</si>
  <si>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</si>
  <si>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</si>
  <si>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</si>
  <si>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</si>
  <si>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</si>
  <si>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</si>
  <si>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</si>
  <si>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</si>
  <si>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</si>
  <si>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</si>
  <si>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</si>
  <si>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</si>
  <si>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</si>
  <si>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</si>
  <si>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</si>
  <si>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</si>
  <si>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</si>
  <si>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</si>
  <si>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</si>
  <si>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</si>
  <si>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</si>
  <si>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</si>
  <si>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</si>
  <si>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</si>
  <si>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</si>
  <si>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</si>
  <si>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</si>
  <si>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</si>
  <si>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</si>
  <si>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</si>
  <si>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</si>
  <si>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</si>
  <si>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</si>
  <si>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</si>
  <si>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</si>
  <si>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</si>
  <si>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</si>
  <si>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</si>
  <si>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</si>
  <si>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</si>
  <si>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</si>
  <si>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</si>
  <si>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</si>
  <si>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</si>
  <si>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</si>
  <si>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</si>
  <si>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</si>
  <si>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</si>
  <si>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</si>
  <si>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</si>
  <si>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</si>
  <si>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</si>
  <si>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</si>
  <si>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</si>
  <si>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</si>
  <si>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</si>
  <si>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</si>
  <si>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</si>
  <si>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</si>
  <si>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</si>
  <si>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</si>
  <si>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</si>
  <si>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</si>
  <si>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</si>
  <si>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</si>
  <si>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</si>
  <si>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</si>
  <si>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</si>
  <si>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</si>
  <si>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</si>
  <si>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</si>
  <si>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</si>
  <si>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</si>
  <si>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</si>
  <si>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</si>
  <si>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</si>
  <si>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</si>
  <si>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</si>
  <si>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</si>
  <si>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</si>
  <si>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</si>
  <si>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</si>
  <si>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</si>
  <si>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</si>
  <si>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</si>
  <si>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</si>
  <si>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</si>
  <si>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</si>
  <si>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</si>
  <si>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</si>
  <si>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</si>
  <si>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</si>
  <si>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</si>
  <si>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</si>
  <si>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</si>
  <si>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</si>
  <si>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</si>
  <si>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</si>
  <si>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</si>
  <si>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</si>
  <si>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</si>
  <si>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</si>
  <si>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</si>
  <si>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</si>
  <si>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</si>
  <si>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</si>
  <si>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</si>
  <si>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</si>
  <si>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</si>
  <si>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</si>
  <si>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</si>
  <si>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</si>
  <si>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</si>
  <si>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</si>
  <si>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</si>
  <si>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</si>
  <si>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</si>
  <si>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</si>
  <si>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</si>
  <si>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</si>
  <si>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</si>
  <si>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</si>
  <si>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</si>
  <si>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</si>
  <si>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</si>
  <si>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</si>
  <si>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</si>
  <si>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</si>
  <si>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</si>
  <si>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</si>
  <si>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</si>
  <si>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</si>
  <si>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</si>
  <si>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</si>
  <si>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</si>
  <si>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</si>
  <si>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</si>
  <si>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</si>
  <si>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</si>
  <si>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</si>
  <si>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</si>
  <si>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</si>
  <si>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</si>
  <si>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</si>
  <si>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</si>
  <si>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</si>
  <si>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</si>
  <si>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</si>
  <si>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</si>
  <si>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</si>
  <si>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</si>
  <si>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</si>
  <si>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</si>
  <si>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</si>
  <si>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</si>
  <si>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</si>
  <si>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</si>
  <si>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</si>
  <si>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</si>
  <si>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</si>
  <si>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</si>
  <si>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</si>
  <si>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</si>
  <si>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</si>
  <si>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</si>
  <si>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</si>
  <si>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</si>
  <si>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</si>
  <si>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</si>
  <si>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</si>
  <si>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</si>
  <si>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</si>
  <si>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</si>
  <si>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</si>
  <si>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</si>
  <si>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</si>
  <si>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</si>
  <si>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</si>
  <si>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</si>
  <si>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</si>
  <si>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</si>
  <si>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</si>
  <si>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</si>
  <si>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</si>
  <si>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</si>
  <si>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</si>
  <si>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</si>
  <si>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</si>
  <si>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</si>
  <si>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</si>
  <si>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</si>
  <si>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</si>
  <si>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</si>
  <si>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</si>
  <si>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</si>
  <si>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</si>
  <si>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</si>
  <si>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</si>
  <si>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</si>
  <si>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</si>
  <si>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</si>
  <si>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</si>
  <si>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</si>
  <si>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</si>
  <si>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</si>
  <si>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</si>
  <si>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</si>
  <si>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</si>
  <si>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</si>
  <si>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</si>
  <si>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</si>
  <si>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</si>
  <si>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</si>
  <si>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</si>
  <si>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</si>
  <si>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</si>
  <si>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</si>
  <si>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</si>
  <si>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</si>
  <si>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</si>
  <si>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</si>
  <si>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</si>
  <si>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</si>
  <si>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</si>
  <si>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</si>
  <si>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</si>
  <si>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</si>
  <si>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</si>
  <si>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</si>
  <si>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</si>
  <si>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</si>
  <si>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</si>
  <si>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</si>
  <si>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</si>
  <si>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</si>
  <si>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</si>
  <si>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</si>
  <si>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</si>
  <si>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</si>
  <si>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</si>
  <si>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</si>
  <si>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</si>
  <si>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</si>
  <si>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</si>
  <si>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</si>
  <si>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</si>
  <si>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</si>
  <si>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</si>
  <si>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</si>
  <si>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</si>
  <si>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</si>
  <si>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</si>
  <si>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</si>
  <si>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</si>
  <si>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</si>
  <si>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</si>
  <si>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</si>
  <si>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</si>
  <si>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</si>
  <si>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</si>
  <si>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</si>
  <si>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</si>
  <si>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</si>
  <si>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</si>
  <si>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</si>
  <si>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</si>
  <si>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</si>
  <si>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</si>
  <si>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</si>
  <si>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</si>
  <si>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</si>
  <si>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</si>
  <si>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</si>
  <si>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</si>
  <si>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</si>
  <si>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</si>
  <si>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</si>
  <si>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</si>
  <si>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</si>
  <si>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</si>
  <si>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</si>
  <si>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</si>
  <si>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</si>
  <si>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</si>
  <si>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</si>
  <si>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</si>
  <si>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</si>
  <si>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</si>
  <si>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</si>
  <si>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</si>
  <si>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</si>
  <si>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</si>
  <si>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</si>
  <si>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</si>
  <si>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</si>
  <si>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</si>
  <si>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</si>
  <si>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</si>
  <si>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</si>
  <si>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</si>
  <si>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</si>
  <si>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</si>
  <si>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</si>
  <si>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</si>
  <si>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</si>
  <si>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</si>
  <si>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</si>
  <si>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</si>
  <si>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</si>
  <si>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</si>
  <si>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</si>
  <si>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</si>
  <si>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</si>
  <si>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</si>
  <si>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</si>
  <si>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</si>
  <si>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</si>
  <si>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</si>
  <si>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</si>
  <si>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</si>
  <si>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</si>
  <si>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</si>
  <si>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</si>
  <si>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</si>
  <si>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</si>
  <si>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</si>
  <si>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</si>
  <si>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</si>
  <si>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</si>
  <si>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</si>
  <si>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</si>
  <si>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</si>
  <si>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</si>
  <si>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</si>
  <si>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</si>
  <si>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</si>
  <si>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</si>
  <si>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</si>
  <si>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</si>
  <si>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</si>
  <si>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</si>
  <si>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</si>
  <si>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</si>
  <si>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</si>
  <si>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</si>
  <si>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</si>
  <si>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</si>
  <si>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</si>
  <si>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</si>
  <si>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</si>
  <si>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</si>
  <si>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</si>
  <si>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</si>
  <si>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</si>
  <si>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</si>
  <si>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</si>
  <si>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</si>
  <si>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</si>
  <si>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</si>
  <si>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</si>
  <si>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</si>
  <si>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</si>
  <si>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</si>
  <si>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</si>
  <si>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</si>
  <si>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</si>
  <si>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</si>
  <si>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</si>
  <si>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</si>
  <si>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</si>
  <si>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</si>
  <si>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</si>
  <si>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</si>
  <si>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</si>
  <si>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</si>
  <si>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</si>
  <si>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</si>
  <si>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</si>
  <si>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</si>
  <si>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</si>
  <si>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</si>
  <si>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</si>
  <si>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</si>
  <si>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</si>
  <si>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</si>
  <si>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</si>
  <si>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</si>
  <si>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</si>
  <si>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</si>
  <si>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</si>
  <si>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</si>
  <si>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</si>
  <si>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</si>
  <si>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</si>
  <si>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</si>
  <si>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</si>
  <si>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</si>
  <si>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</si>
  <si>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</si>
  <si>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</si>
  <si>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</si>
  <si>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</si>
  <si>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</si>
  <si>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</si>
  <si>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</si>
  <si>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</si>
  <si>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</si>
  <si>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</si>
  <si>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</si>
  <si>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</si>
  <si>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</si>
  <si>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</si>
  <si>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</si>
  <si>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</si>
  <si>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</si>
  <si>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</si>
  <si>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</si>
  <si>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</si>
  <si>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</si>
  <si>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</si>
  <si>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</si>
  <si>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</si>
  <si>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</si>
  <si>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</si>
  <si>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</si>
  <si>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</si>
  <si>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</si>
  <si>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</si>
  <si>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</si>
  <si>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</si>
  <si>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</si>
  <si>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</si>
  <si>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</si>
  <si>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</si>
  <si>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</si>
  <si>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</si>
  <si>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</si>
  <si>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</si>
  <si>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</si>
  <si>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</si>
  <si>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</si>
  <si>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</si>
  <si>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</si>
  <si>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</si>
  <si>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</si>
  <si>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</si>
  <si>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</si>
  <si>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</si>
  <si>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</si>
  <si>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</si>
  <si>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</si>
  <si>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</si>
  <si>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</si>
  <si>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</si>
  <si>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</si>
  <si>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</si>
  <si>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</si>
  <si>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</si>
  <si>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</si>
  <si>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</si>
  <si>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</si>
  <si>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</si>
  <si>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</si>
  <si>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</si>
  <si>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</si>
  <si>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</si>
  <si>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</si>
  <si>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</si>
  <si>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</si>
  <si>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</si>
  <si>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</si>
  <si>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</si>
  <si>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</si>
  <si>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</si>
  <si>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</si>
  <si>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</si>
  <si>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</si>
  <si>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</si>
  <si>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</si>
  <si>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</si>
  <si>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</si>
  <si>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</si>
  <si>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</si>
  <si>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</si>
  <si>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</si>
  <si>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</si>
  <si>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</si>
  <si>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</si>
  <si>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</si>
  <si>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</si>
  <si>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</si>
  <si>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</si>
  <si>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</si>
  <si>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</si>
  <si>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</si>
  <si>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</si>
  <si>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</si>
  <si>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</si>
  <si>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</si>
  <si>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</si>
  <si>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</si>
  <si>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</si>
  <si>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</si>
  <si>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</si>
  <si>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</si>
  <si>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</si>
  <si>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</si>
  <si>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</si>
  <si>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</si>
  <si>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</si>
  <si>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</si>
  <si>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</si>
  <si>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</si>
  <si>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</si>
  <si>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</si>
  <si>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</si>
  <si>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</si>
  <si>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</si>
  <si>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</si>
  <si>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</si>
  <si>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</si>
  <si>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</si>
  <si>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</si>
  <si>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</si>
  <si>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</si>
  <si>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</si>
  <si>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</si>
  <si>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</si>
  <si>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</si>
  <si>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</si>
  <si>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</si>
  <si>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</si>
  <si>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</si>
  <si>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</si>
  <si>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</si>
  <si>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</si>
  <si>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</si>
  <si>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</si>
  <si>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</si>
  <si>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</si>
  <si>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</si>
  <si>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</si>
  <si>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</si>
  <si>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</si>
  <si>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</si>
  <si>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</si>
  <si>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</si>
  <si>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</si>
  <si>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</si>
  <si>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</si>
  <si>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</si>
  <si>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</si>
  <si>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</si>
  <si>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</si>
  <si>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</si>
  <si>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</si>
  <si>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</si>
  <si>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</si>
  <si>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</si>
  <si>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</si>
  <si>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</si>
  <si>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</si>
  <si>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</si>
  <si>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</si>
  <si>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</si>
  <si>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</si>
  <si>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</si>
  <si>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</si>
  <si>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</si>
  <si>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</si>
  <si>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</si>
  <si>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</si>
  <si>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</si>
  <si>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</si>
  <si>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</si>
  <si>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</si>
  <si>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</si>
  <si>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</si>
  <si>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</si>
  <si>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</si>
  <si>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</si>
  <si>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</si>
  <si>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</si>
  <si>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</si>
  <si>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</si>
  <si>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</si>
  <si>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</si>
  <si>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</si>
  <si>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</si>
  <si>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</si>
  <si>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</si>
  <si>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</si>
  <si>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</si>
  <si>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</si>
  <si>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</si>
  <si>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</si>
  <si>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</si>
  <si>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</si>
  <si>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</si>
  <si>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</si>
  <si>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</si>
  <si>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</si>
  <si>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</si>
  <si>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</si>
  <si>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</si>
  <si>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</si>
  <si>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</si>
  <si>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</si>
  <si>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</si>
  <si>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</si>
  <si>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</si>
  <si>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</si>
  <si>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</si>
  <si>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</si>
  <si>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</si>
  <si>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</si>
  <si>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</si>
  <si>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</si>
  <si>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</si>
  <si>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</si>
  <si>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</si>
  <si>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</si>
  <si>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</si>
  <si>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</si>
  <si>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</si>
  <si>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</si>
  <si>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</si>
  <si>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</si>
  <si>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</si>
  <si>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</si>
  <si>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</si>
  <si>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</si>
  <si>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</si>
  <si>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</si>
  <si>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</si>
  <si>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</si>
  <si>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</si>
  <si>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</si>
  <si>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</si>
  <si>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</si>
  <si>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</si>
  <si>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</si>
  <si>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</si>
  <si>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</si>
  <si>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</si>
  <si>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</si>
  <si>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</si>
  <si>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</si>
  <si>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</si>
  <si>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</si>
  <si>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</si>
  <si>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</si>
  <si>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</si>
  <si>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</si>
  <si>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</si>
  <si>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</si>
  <si>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</si>
  <si>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</si>
  <si>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</si>
  <si>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</si>
  <si>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</si>
  <si>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</si>
  <si>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</si>
  <si>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</si>
  <si>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</si>
  <si>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</si>
  <si>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</si>
  <si>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</si>
  <si>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</si>
  <si>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</si>
  <si>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</si>
  <si>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</si>
  <si>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</si>
  <si>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</si>
  <si>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</si>
  <si>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</si>
  <si>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</si>
  <si>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</si>
  <si>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</si>
  <si>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</si>
  <si>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</si>
  <si>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</si>
  <si>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</si>
  <si>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</si>
  <si>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</si>
  <si>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</si>
  <si>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</si>
  <si>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</si>
  <si>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</si>
  <si>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</si>
  <si>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</si>
  <si>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</si>
  <si>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</si>
  <si>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</si>
  <si>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</si>
  <si>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</si>
  <si>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</si>
  <si>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</si>
  <si>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</si>
  <si>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</si>
  <si>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</si>
  <si>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</si>
  <si>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</si>
  <si>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</si>
  <si>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</si>
  <si>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</si>
  <si>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</si>
  <si>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</si>
  <si>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</si>
  <si>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</si>
  <si>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</si>
  <si>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</si>
  <si>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</si>
  <si>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</si>
  <si>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</si>
  <si>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</si>
  <si>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</si>
  <si>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</si>
  <si>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</si>
  <si>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</si>
  <si>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</si>
  <si>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</si>
  <si>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</si>
  <si>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</si>
  <si>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</si>
  <si>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</si>
  <si>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</si>
  <si>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</si>
  <si>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</si>
  <si>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</si>
  <si>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</si>
  <si>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</si>
  <si>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</si>
  <si>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08262</t>
  </si>
  <si>
    <t>09443</t>
  </si>
  <si>
    <t>RECOLECCION, TRANSPORTE Y TRATAMIENTO FINAL DE RESIDUOS</t>
  </si>
  <si>
    <t>PR130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</si>
  <si>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</si>
  <si>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</si>
  <si>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</si>
  <si>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</si>
  <si>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</si>
  <si>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</si>
  <si>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</si>
  <si>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</si>
  <si>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</si>
  <si>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</si>
  <si>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</si>
  <si>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</si>
  <si>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</si>
  <si>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</si>
  <si>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</si>
  <si>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</si>
  <si>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</si>
  <si>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</si>
  <si>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</si>
  <si>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</si>
  <si>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</si>
  <si>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</si>
  <si>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</si>
  <si>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</si>
  <si>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</si>
  <si>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</si>
  <si>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</si>
  <si>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</si>
  <si>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</si>
  <si>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</si>
  <si>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</si>
  <si>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</si>
  <si>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</si>
  <si>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</si>
  <si>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</si>
  <si>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</si>
  <si>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</si>
  <si>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</si>
  <si>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</si>
  <si>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</si>
  <si>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</si>
  <si>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</si>
  <si>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</si>
  <si>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</si>
  <si>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</si>
  <si>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</si>
  <si>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</si>
  <si>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</si>
  <si>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</si>
  <si>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</si>
  <si>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</si>
  <si>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</si>
  <si>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</si>
  <si>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</si>
  <si>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</si>
  <si>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</si>
  <si>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</si>
  <si>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</si>
  <si>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</si>
  <si>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</si>
  <si>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</si>
  <si>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</si>
  <si>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</si>
  <si>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</si>
  <si>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</si>
  <si>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</si>
  <si>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</si>
  <si>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</si>
  <si>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</si>
  <si>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</si>
  <si>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</si>
  <si>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</si>
  <si>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</si>
  <si>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</si>
  <si>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</si>
  <si>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</si>
  <si>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</si>
  <si>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</si>
  <si>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</si>
  <si>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</si>
  <si>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</si>
  <si>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</si>
  <si>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</si>
  <si>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</si>
  <si>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</si>
  <si>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</si>
  <si>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</si>
  <si>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</si>
  <si>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</si>
  <si>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</si>
  <si>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</si>
  <si>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06217</t>
  </si>
  <si>
    <t>CARPINTERIA DAMIANI SRL</t>
  </si>
  <si>
    <t>05510</t>
  </si>
  <si>
    <t>COMERCIAL DEL MAR S.A.</t>
  </si>
  <si>
    <t>05446</t>
  </si>
  <si>
    <t>PARTES INFORMATICAS . COM   S.A.</t>
  </si>
  <si>
    <t>05482</t>
  </si>
  <si>
    <t>SERRANO JORGE ALBERTO</t>
  </si>
  <si>
    <t>PV - Análisis de Vencimientos 30-60-90</t>
  </si>
  <si>
    <t>Usuario: NICOLAS VELLINI</t>
  </si>
  <si>
    <t> </t>
  </si>
  <si>
    <t>07768</t>
  </si>
  <si>
    <t> BCMDP S.A.S</t>
  </si>
  <si>
    <t>SELLADOS DE CERTIFICADOS - COMERCIO EXTERIOR</t>
  </si>
  <si>
    <t>PR190</t>
  </si>
  <si>
    <t>09542</t>
  </si>
  <si>
    <t> MATERIAL HANDLING MDQ S.R.L.</t>
  </si>
  <si>
    <t>06928</t>
  </si>
  <si>
    <t>AGRICOLA LURO SRL</t>
  </si>
  <si>
    <t>05029</t>
  </si>
  <si>
    <t>ALMACEN NAVAL ELENA SRL</t>
  </si>
  <si>
    <t>05239</t>
  </si>
  <si>
    <t>ANTONIO PORPIGLIA SA</t>
  </si>
  <si>
    <t>03879</t>
  </si>
  <si>
    <t>AUTOSIGLO S.A.</t>
  </si>
  <si>
    <t> 8968</t>
  </si>
  <si>
    <t>BIRAS JONATAN EDGARDO</t>
  </si>
  <si>
    <t>HONORARIOS MEDICOS</t>
  </si>
  <si>
    <t>PR072</t>
  </si>
  <si>
    <t>09652</t>
  </si>
  <si>
    <t>CAMPAGNONI RICARDO CELESTINO</t>
  </si>
  <si>
    <t>08534</t>
  </si>
  <si>
    <t>CARGAS MARITIMAS INTERNACIONALES SA</t>
  </si>
  <si>
    <t>08861</t>
  </si>
  <si>
    <t>CONSTRUCCIONES Y PROYECTOS NAVAL. TEC.S.A.</t>
  </si>
  <si>
    <t>09624</t>
  </si>
  <si>
    <t>CONTRERAS PONCE JUAN CARLOS</t>
  </si>
  <si>
    <t>04859</t>
  </si>
  <si>
    <t>COSTANERA UNO SA</t>
  </si>
  <si>
    <t>08768</t>
  </si>
  <si>
    <t>CUYAIRES S.R.L.</t>
  </si>
  <si>
    <t>05681</t>
  </si>
  <si>
    <t>ELECTRO STOCK S.A.</t>
  </si>
  <si>
    <t>ARTICULOS DE ILUMINACION</t>
  </si>
  <si>
    <t>PR043</t>
  </si>
  <si>
    <t>09654</t>
  </si>
  <si>
    <t>ELECTROMAQ SRL</t>
  </si>
  <si>
    <t>09336</t>
  </si>
  <si>
    <t>FARMA SRL</t>
  </si>
  <si>
    <t>08735</t>
  </si>
  <si>
    <t>GATES JULIANA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</si>
  <si>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</si>
  <si>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</si>
  <si>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</si>
  <si>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</si>
  <si>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</si>
  <si>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</si>
  <si>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</si>
  <si>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</si>
  <si>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</si>
  <si>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</si>
  <si>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</si>
  <si>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05911</t>
  </si>
  <si>
    <t>LAFFONT GERMAN RODOLFO</t>
  </si>
  <si>
    <t>09649</t>
  </si>
  <si>
    <t>LUGO MAXIMILIANO JAVIER</t>
  </si>
  <si>
    <t>REPARACION DE GRUA</t>
  </si>
  <si>
    <t>PR213</t>
  </si>
  <si>
    <t>09572</t>
  </si>
  <si>
    <t>MECHA GRANDMA GROUP 2023 S.A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</si>
  <si>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</si>
  <si>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</si>
  <si>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</si>
  <si>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</si>
  <si>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</si>
  <si>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</si>
  <si>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</si>
  <si>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</si>
  <si>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</si>
  <si>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</si>
  <si>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</si>
  <si>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SERVICIOS ADMINISTRATIVOS</t>
  </si>
  <si>
    <t>PR158</t>
  </si>
  <si>
    <t>05609</t>
  </si>
  <si>
    <t>TALLER CENTRO UNION S.A.</t>
  </si>
  <si>
    <t>08514</t>
  </si>
  <si>
    <t>TARNOVSKY NADIA LEONOR</t>
  </si>
  <si>
    <t>08748</t>
  </si>
  <si>
    <t>VELASQUEZ IARA</t>
  </si>
  <si>
    <t>09655</t>
  </si>
  <si>
    <t>VICENTE ALDO OMAR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</si>
  <si>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</si>
  <si>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</si>
  <si>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</si>
  <si>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</si>
  <si>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</si>
  <si>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</si>
  <si>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</si>
  <si>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09608</t>
  </si>
  <si>
    <t>CARGO STAFF LOGISTICS S.A.</t>
  </si>
  <si>
    <t>07752</t>
  </si>
  <si>
    <t>FIGUEROA SILVIA GRACIELA</t>
  </si>
  <si>
    <t>09627</t>
  </si>
  <si>
    <t>GRIÑON RAMON</t>
  </si>
  <si>
    <t>00762</t>
  </si>
  <si>
    <t>IACONO JORGE ALBERTO</t>
  </si>
  <si>
    <t>05807</t>
  </si>
  <si>
    <t>NISENBAUM CARLOS DANIEL</t>
  </si>
  <si>
    <t>09629</t>
  </si>
  <si>
    <t>PICCA GUSTAVO ANDRES</t>
  </si>
  <si>
    <t>07390</t>
  </si>
  <si>
    <t>ROBERTS OSCAR</t>
  </si>
  <si>
    <t>06720</t>
  </si>
  <si>
    <t>SEA FREEDOM SA</t>
  </si>
  <si>
    <t>Deuda al día   valor: 20260901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</si>
</sst>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A158" sqref="A158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2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6" t="s">
        <v>57</v>
      </c>
      <c r="D2" s="76"/>
      <c r="E2" s="76"/>
      <c r="F2" s="76"/>
      <c r="G2" s="76"/>
      <c r="H2" s="76"/>
      <c r="I2" s="76"/>
      <c r="J2" s="77" t="s">
        <v>58</v>
      </c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8" t="s">
        <v>59</v>
      </c>
      <c r="X2" s="78"/>
      <c r="Y2" s="78"/>
      <c r="Z2" s="78"/>
      <c r="AA2" s="78"/>
      <c r="AB2" s="78"/>
      <c r="AC2" s="78"/>
      <c r="AD2" s="78"/>
      <c r="AE2" s="78"/>
      <c r="AF2" s="1"/>
      <c r="AG2" s="79"/>
      <c r="AH2" s="79"/>
      <c r="AI2" s="79"/>
      <c r="AJ2" s="79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>+AD153</f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>+AD154</f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>+AD155</f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>+Z156</f>
        <v>179326122.93125013</v>
      </c>
      <c r="AA157" s="63">
        <f>+'[1]CF Dia V1'!$FD$102</f>
        <v>7550543000</v>
      </c>
      <c r="AB157" s="63">
        <f>+AB156</f>
        <v>1562000</v>
      </c>
      <c r="AC157" s="63">
        <f>+AC156</f>
        <v>17800000</v>
      </c>
      <c r="AD157" s="63">
        <f>+AD156</f>
        <v>245288.76712328769</v>
      </c>
      <c r="AE157" s="63">
        <f>+AE156</f>
        <v>280000</v>
      </c>
      <c r="AF157" s="63">
        <f>+'[1]CF Dia V1'!$FD$97</f>
        <v>34505019.689000003</v>
      </c>
      <c r="AG157" s="63">
        <f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>+Z157</f>
        <v>179326122.93125013</v>
      </c>
      <c r="AA158" s="63">
        <v>7550543000</v>
      </c>
      <c r="AB158" s="63">
        <f>+AB157</f>
        <v>1562000</v>
      </c>
      <c r="AC158" s="63">
        <f>+AC157</f>
        <v>17800000</v>
      </c>
      <c r="AD158" s="63">
        <f>+AD157</f>
        <v>245288.76712328769</v>
      </c>
      <c r="AE158" s="63">
        <f>+AE157</f>
        <v>280000</v>
      </c>
      <c r="AF158" s="63">
        <f>+'[1]CF Dia V1'!$FE$97</f>
        <v>36005238.718999997</v>
      </c>
      <c r="AG158" s="63">
        <f>+AG157</f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>+Z158</f>
        <v>179326122.93125013</v>
      </c>
      <c r="AA159" s="63">
        <v>7127444966</v>
      </c>
      <c r="AB159" s="63">
        <f>+AB158</f>
        <v>1562000</v>
      </c>
      <c r="AC159" s="63">
        <f>+AC158</f>
        <v>17800000</v>
      </c>
      <c r="AD159" s="63">
        <f>+AD158</f>
        <v>245288.76712328769</v>
      </c>
      <c r="AE159" s="63">
        <f>+AE158</f>
        <v>280000</v>
      </c>
      <c r="AF159" s="63">
        <f>+'[1]CF Dia V1'!$FF$97</f>
        <v>33243348.778999999</v>
      </c>
      <c r="AG159" s="63">
        <f>+AG158</f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/>
      <c r="B160" s="63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63"/>
      <c r="AB160" s="63"/>
      <c r="AC160" s="63"/>
      <c r="AD160" s="63"/>
      <c r="AE160" s="63"/>
      <c r="AF160" s="63"/>
      <c r="AG160" s="63"/>
      <c r="AH160" s="14"/>
      <c r="AI160" s="14"/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-96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-75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122</v>
      </c>
      <c r="B2" s="80"/>
      <c r="C2" s="80"/>
      <c r="D2" s="80"/>
      <c r="E2" s="80"/>
      <c r="F2" s="80"/>
      <c r="G2" s="80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81" t="s">
        <v>139</v>
      </c>
      <c r="B2" s="81"/>
      <c r="C2" s="81"/>
      <c r="D2" s="81"/>
      <c r="E2" s="81"/>
      <c r="F2" s="81"/>
      <c r="G2" s="81"/>
      <c r="H2" s="81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36" sqref="A4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71" t="s">
        <v>148</v>
      </c>
      <c r="B2" s="71"/>
      <c r="C2" s="71"/>
      <c r="D2" s="71"/>
      <c r="E2" s="71"/>
      <c r="F2" s="71"/>
      <c r="G2" s="71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C4" s="67"/>
      <c r="D4" s="13"/>
      <c r="E4" s="64"/>
      <c r="F4" s="40"/>
      <c r="G4" s="27"/>
    </row>
    <row r="5" spans="1:7" ht="15.75" customHeight="1" x14ac:dyDescent="0.25">
      <c r="C5" s="67"/>
      <c r="D5" s="13"/>
      <c r="E5" s="64"/>
      <c r="F5" s="40"/>
      <c r="G5" s="27"/>
    </row>
    <row r="6" spans="1:7" ht="15.75" customHeight="1" x14ac:dyDescent="0.25">
      <c r="C6" s="67"/>
      <c r="D6" s="13"/>
      <c r="E6" s="64"/>
      <c r="F6" s="40"/>
      <c r="G6" s="27"/>
    </row>
    <row r="7" spans="1:7" ht="15.75" customHeight="1" x14ac:dyDescent="0.25">
      <c r="C7" s="67"/>
      <c r="D7" s="13"/>
      <c r="E7" s="64"/>
      <c r="F7" s="40"/>
      <c r="G7" s="27"/>
    </row>
    <row r="8" spans="1:7" ht="15.75" customHeight="1" x14ac:dyDescent="0.25">
      <c r="C8" s="67"/>
      <c r="D8" s="13"/>
      <c r="E8" s="64"/>
      <c r="F8" s="40"/>
      <c r="G8" s="27"/>
    </row>
    <row r="9" spans="1:7" ht="15.75" customHeight="1" x14ac:dyDescent="0.25">
      <c r="C9" s="67"/>
      <c r="D9" s="13"/>
      <c r="E9" s="64"/>
      <c r="F9" s="40"/>
      <c r="G9" s="27"/>
    </row>
    <row r="10" spans="1:7" ht="15.75" customHeight="1" x14ac:dyDescent="0.25">
      <c r="C10" s="67"/>
      <c r="D10" s="13"/>
      <c r="E10" s="64"/>
      <c r="F10" s="40"/>
      <c r="G10" s="27"/>
    </row>
    <row r="11" spans="1:7" ht="15.75" customHeight="1" x14ac:dyDescent="0.25">
      <c r="C11" s="67"/>
      <c r="D11" s="13"/>
      <c r="E11" s="64"/>
      <c r="F11" s="40"/>
      <c r="G11" s="27"/>
    </row>
    <row r="12" spans="1:7" ht="15.75" customHeight="1" x14ac:dyDescent="0.25">
      <c r="C12" s="67"/>
      <c r="D12" s="13"/>
      <c r="E12" s="64"/>
      <c r="F12" s="40"/>
      <c r="G12" s="27"/>
    </row>
    <row r="13" spans="1:7" ht="15.75" customHeight="1" x14ac:dyDescent="0.25">
      <c r="C13" s="67"/>
      <c r="D13" s="13"/>
      <c r="E13" s="64"/>
      <c r="F13" s="40"/>
      <c r="G13" s="27"/>
    </row>
    <row r="14" spans="1:7" ht="15.75" customHeight="1" x14ac:dyDescent="0.25">
      <c r="C14" s="67"/>
      <c r="D14" s="13"/>
      <c r="E14" s="64"/>
      <c r="F14" s="40"/>
      <c r="G14" s="27"/>
    </row>
    <row r="15" spans="1:7" ht="15.75" customHeight="1" x14ac:dyDescent="0.25">
      <c r="C15" s="67"/>
      <c r="D15" s="13"/>
      <c r="E15" s="64"/>
      <c r="F15" s="40"/>
      <c r="G15" s="27"/>
    </row>
    <row r="16" spans="1:7" ht="15.75" customHeight="1" x14ac:dyDescent="0.25">
      <c r="C16" s="67"/>
      <c r="D16" s="13"/>
      <c r="E16" s="64"/>
      <c r="F16" s="40"/>
      <c r="G16" s="27"/>
    </row>
    <row r="17" spans="3:7" ht="15.75" customHeight="1" x14ac:dyDescent="0.25">
      <c r="C17" s="67"/>
      <c r="D17" s="13"/>
      <c r="E17" s="64"/>
      <c r="F17" s="40"/>
      <c r="G17" s="27"/>
    </row>
    <row r="18" spans="3:7" ht="15.75" customHeight="1" x14ac:dyDescent="0.25">
      <c r="C18" s="67"/>
      <c r="D18" s="13"/>
      <c r="E18" s="64"/>
      <c r="F18" s="40"/>
      <c r="G18" s="27"/>
    </row>
    <row r="19" spans="3:7" ht="15.75" customHeight="1" x14ac:dyDescent="0.25">
      <c r="C19" s="67"/>
      <c r="D19" s="13"/>
      <c r="E19" s="64"/>
      <c r="F19" s="40"/>
      <c r="G19" s="27"/>
    </row>
    <row r="20" spans="3:7" ht="15.75" customHeight="1" x14ac:dyDescent="0.25">
      <c r="C20" s="67"/>
      <c r="D20" s="13"/>
      <c r="E20" s="64"/>
      <c r="F20" s="40"/>
      <c r="G20" s="27"/>
    </row>
    <row r="21" spans="3:7" ht="15.75" customHeight="1" x14ac:dyDescent="0.25">
      <c r="C21" s="67"/>
      <c r="D21" s="13"/>
      <c r="E21" s="64"/>
      <c r="F21" s="40"/>
      <c r="G21" s="27"/>
    </row>
    <row r="22" spans="3:7" ht="15.75" customHeight="1" x14ac:dyDescent="0.25">
      <c r="C22" s="67"/>
      <c r="D22" s="13"/>
      <c r="E22" s="64"/>
      <c r="F22" s="40"/>
      <c r="G22" s="27"/>
    </row>
    <row r="23" spans="3:7" ht="15.75" customHeight="1" x14ac:dyDescent="0.25">
      <c r="C23" s="67"/>
      <c r="D23" s="13"/>
      <c r="E23" s="64"/>
      <c r="F23" s="40"/>
      <c r="G23" s="27"/>
    </row>
    <row r="24" spans="3:7" ht="15.75" customHeight="1" x14ac:dyDescent="0.25">
      <c r="C24" s="67"/>
      <c r="D24" s="13"/>
      <c r="E24" s="64"/>
      <c r="F24" s="40"/>
      <c r="G24" s="27"/>
    </row>
    <row r="25" spans="3:7" ht="15.75" customHeight="1" x14ac:dyDescent="0.25">
      <c r="C25" s="67"/>
      <c r="D25" s="13"/>
      <c r="E25" s="64"/>
      <c r="F25" s="40"/>
      <c r="G25" s="27"/>
    </row>
    <row r="26" spans="3:7" ht="15.75" customHeight="1" x14ac:dyDescent="0.25">
      <c r="C26" s="67"/>
      <c r="D26" s="13"/>
      <c r="E26" s="64"/>
      <c r="F26" s="40"/>
      <c r="G26" s="27"/>
    </row>
    <row r="27" spans="3:7" ht="15.75" customHeight="1" x14ac:dyDescent="0.25">
      <c r="C27" s="67"/>
      <c r="D27" s="13"/>
      <c r="E27" s="64"/>
      <c r="F27" s="40"/>
      <c r="G27" s="27"/>
    </row>
    <row r="28" spans="3:7" ht="15.75" customHeight="1" x14ac:dyDescent="0.25">
      <c r="C28" s="67"/>
      <c r="D28" s="13"/>
      <c r="E28" s="64"/>
      <c r="F28" s="40"/>
      <c r="G28" s="27"/>
    </row>
    <row r="29" spans="3:7" ht="15.75" customHeight="1" x14ac:dyDescent="0.25">
      <c r="C29" s="67"/>
      <c r="D29" s="13"/>
      <c r="E29" s="64"/>
      <c r="F29" s="40"/>
      <c r="G29" s="27"/>
    </row>
    <row r="30" spans="3:7" ht="15.75" customHeight="1" x14ac:dyDescent="0.25">
      <c r="C30" s="67"/>
      <c r="D30" s="13"/>
      <c r="E30" s="64"/>
      <c r="F30" s="40"/>
      <c r="G30" s="27"/>
    </row>
    <row r="31" spans="3:7" ht="15.75" customHeight="1" x14ac:dyDescent="0.25">
      <c r="C31" s="67"/>
      <c r="D31" s="13"/>
      <c r="E31" s="64"/>
      <c r="F31" s="40"/>
      <c r="G31" s="27"/>
    </row>
    <row r="32" spans="3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0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72" t="s">
        <v>156</v>
      </c>
      <c r="B65" s="72"/>
      <c r="C65" s="72"/>
      <c r="D65" s="72"/>
      <c r="E65" s="72"/>
      <c r="F65" s="72"/>
      <c r="G65" s="72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6"/>
  <sheetViews>
    <sheetView showGridLines="0" zoomScaleNormal="100" workbookViewId="0">
      <pane ySplit="4" topLeftCell="A316" activePane="bottomLeft" state="frozen"/>
      <selection pane="bottomLeft" activeCell="L334" sqref="L334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71" t="s">
        <v>158</v>
      </c>
      <c r="B2" s="71"/>
      <c r="C2" s="71"/>
      <c r="D2" s="71"/>
      <c r="E2" s="71"/>
      <c r="F2" s="71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+B352</f>
        <v> BCMDP S.A.S</v>
      </c>
      <c r="C5" s="66">
        <f>+K352</f>
        <v>1047600.14</v>
      </c>
      <c r="D5" s="24">
        <f>+C5/$D$3</f>
        <v>698.4000933333333</v>
      </c>
      <c r="E5" s="50">
        <f t="shared" ref="E5:E68" si="0">+D5/$D$335</f>
        <v>1.3874500680908337E-4</v>
      </c>
      <c r="F5" s="51"/>
    </row>
    <row r="6" spans="1:6" ht="15.75" customHeight="1" x14ac:dyDescent="0.25">
      <c r="A6" t="str">
        <f t="shared" ref="A6:A69" si="1">+B353</f>
        <v> CLEANING IN PACE S.R.L.</v>
      </c>
      <c r="C6" s="66">
        <f t="shared" ref="C6:C69" si="2">+K353</f>
        <v>15864136.25</v>
      </c>
      <c r="D6" s="24">
        <f t="shared" ref="D6:D69" si="3">+C6/$D$3</f>
        <v>10576.090833333334</v>
      </c>
      <c r="E6" s="50">
        <f t="shared" si="0"/>
        <v>2.1010589899562982E-3</v>
      </c>
      <c r="F6" s="51"/>
    </row>
    <row r="7" spans="1:6" ht="15.75" customHeight="1" x14ac:dyDescent="0.25">
      <c r="A7" t="str">
        <f t="shared" si="1"/>
        <v> LA INDUSTRIAL ELECTRICA S A</v>
      </c>
      <c r="C7" s="66">
        <f t="shared" si="2"/>
        <v>1.08</v>
      </c>
      <c r="D7" s="24">
        <f t="shared" si="3"/>
        <v>7.2000000000000005E-4</v>
      </c>
      <c r="E7" s="50">
        <f t="shared" si="0"/>
        <v>1.4303607037873255E-10</v>
      </c>
      <c r="F7" s="51"/>
    </row>
    <row r="8" spans="1:6" ht="15.75" customHeight="1" x14ac:dyDescent="0.25">
      <c r="A8" t="str">
        <f t="shared" si="1"/>
        <v> MARITIMA OBISPO COMERCIO EXTERIOR SAS</v>
      </c>
      <c r="C8" s="66">
        <f t="shared" si="2"/>
        <v>440000</v>
      </c>
      <c r="D8" s="24">
        <f t="shared" si="3"/>
        <v>293.33333333333331</v>
      </c>
      <c r="E8" s="50">
        <f t="shared" si="0"/>
        <v>5.8273954598742883E-5</v>
      </c>
      <c r="F8" s="51"/>
    </row>
    <row r="9" spans="1:6" ht="15.75" customHeight="1" x14ac:dyDescent="0.25">
      <c r="A9" t="str">
        <f t="shared" si="1"/>
        <v> MATERIAL HANDLING MDQ S.R.L.</v>
      </c>
      <c r="C9" s="66">
        <f t="shared" si="2"/>
        <v>401720</v>
      </c>
      <c r="D9" s="24">
        <f t="shared" si="3"/>
        <v>267.81333333333333</v>
      </c>
      <c r="E9" s="50">
        <f t="shared" si="0"/>
        <v>5.3204120548652252E-5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2.8121950962906066E-4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5524901.6399999997</v>
      </c>
      <c r="D11" s="24">
        <f t="shared" si="3"/>
        <v>3683.2677599999997</v>
      </c>
      <c r="E11" s="50">
        <f t="shared" si="0"/>
        <v>7.3172242575427295E-4</v>
      </c>
      <c r="F11" s="51"/>
    </row>
    <row r="12" spans="1:6" ht="15.75" customHeight="1" x14ac:dyDescent="0.25">
      <c r="A12" t="str">
        <f t="shared" si="1"/>
        <v>ABETE Y CIA. S.A.</v>
      </c>
      <c r="C12" s="66">
        <f t="shared" si="2"/>
        <v>2364196.62</v>
      </c>
      <c r="D12" s="24">
        <f t="shared" si="3"/>
        <v>1576.1310800000001</v>
      </c>
      <c r="E12" s="50">
        <f t="shared" si="0"/>
        <v>3.1311610567359406E-4</v>
      </c>
      <c r="F12" s="51"/>
    </row>
    <row r="13" spans="1:6" ht="15.75" customHeight="1" x14ac:dyDescent="0.25">
      <c r="A13" t="str">
        <f t="shared" si="1"/>
        <v>ABREU JOSE LUIS</v>
      </c>
      <c r="C13" s="66">
        <f t="shared" si="2"/>
        <v>6935388.7999999998</v>
      </c>
      <c r="D13" s="24">
        <f t="shared" si="3"/>
        <v>4623.5925333333334</v>
      </c>
      <c r="E13" s="50">
        <f t="shared" si="0"/>
        <v>9.18528481945068E-4</v>
      </c>
      <c r="F13" s="51"/>
    </row>
    <row r="14" spans="1:6" ht="15.75" customHeight="1" x14ac:dyDescent="0.25">
      <c r="A14" t="str">
        <f t="shared" si="1"/>
        <v>ACUPRI S. R. L</v>
      </c>
      <c r="C14" s="66">
        <f t="shared" si="2"/>
        <v>9486400</v>
      </c>
      <c r="D14" s="24">
        <f t="shared" si="3"/>
        <v>6324.2666666666664</v>
      </c>
      <c r="E14" s="50">
        <f t="shared" si="0"/>
        <v>1.2563864611488966E-3</v>
      </c>
      <c r="F14" s="51"/>
    </row>
    <row r="15" spans="1:6" ht="15.75" customHeight="1" x14ac:dyDescent="0.25">
      <c r="A15" t="str">
        <f t="shared" si="1"/>
        <v>ADMINISTRACION PORTUARIA DE PUERTO MADRYN</v>
      </c>
      <c r="C15" s="66">
        <f t="shared" si="2"/>
        <v>72114</v>
      </c>
      <c r="D15" s="24">
        <f t="shared" si="3"/>
        <v>48.076000000000001</v>
      </c>
      <c r="E15" s="50">
        <f t="shared" si="0"/>
        <v>9.5508362771221467E-6</v>
      </c>
      <c r="F15" s="51"/>
    </row>
    <row r="16" spans="1:6" ht="15.75" customHeight="1" x14ac:dyDescent="0.25">
      <c r="A16" t="str">
        <f t="shared" si="1"/>
        <v>ADOLFO FORTIER S A C I F I A</v>
      </c>
      <c r="C16" s="66">
        <f t="shared" si="2"/>
        <v>2127948.35</v>
      </c>
      <c r="D16" s="24">
        <f t="shared" si="3"/>
        <v>1418.6322333333335</v>
      </c>
      <c r="E16" s="50">
        <f t="shared" si="0"/>
        <v>2.8182719440084054E-4</v>
      </c>
      <c r="F16" s="51"/>
    </row>
    <row r="17" spans="1:6" ht="15.75" customHeight="1" x14ac:dyDescent="0.25">
      <c r="A17" t="str">
        <f t="shared" si="1"/>
        <v>AGRICOLA LURO SRL</v>
      </c>
      <c r="C17" s="66">
        <f t="shared" si="2"/>
        <v>189000.02</v>
      </c>
      <c r="D17" s="24">
        <f t="shared" si="3"/>
        <v>126.00001333333333</v>
      </c>
      <c r="E17" s="50">
        <f t="shared" si="0"/>
        <v>2.5031314965094311E-5</v>
      </c>
      <c r="F17" s="51"/>
    </row>
    <row r="18" spans="1:6" ht="15.75" customHeight="1" x14ac:dyDescent="0.25">
      <c r="A18" t="str">
        <f t="shared" si="1"/>
        <v>ALEM LISANDRO</v>
      </c>
      <c r="C18" s="66">
        <f t="shared" si="2"/>
        <v>2635720</v>
      </c>
      <c r="D18" s="24">
        <f t="shared" si="3"/>
        <v>1757.1466666666668</v>
      </c>
      <c r="E18" s="50">
        <f t="shared" si="0"/>
        <v>3.4907688094317862E-4</v>
      </c>
      <c r="F18" s="51"/>
    </row>
    <row r="19" spans="1:6" ht="15.75" customHeight="1" x14ac:dyDescent="0.25">
      <c r="A19" t="str">
        <f t="shared" si="1"/>
        <v>ALMACEN NAVAL ELENA SRL</v>
      </c>
      <c r="C19" s="66">
        <f t="shared" si="2"/>
        <v>94462.28</v>
      </c>
      <c r="D19" s="24">
        <f t="shared" si="3"/>
        <v>62.974853333333336</v>
      </c>
      <c r="E19" s="50">
        <f t="shared" si="0"/>
        <v>1.2510660490940314E-5</v>
      </c>
      <c r="F19" s="51"/>
    </row>
    <row r="20" spans="1:6" ht="15.75" customHeight="1" x14ac:dyDescent="0.25">
      <c r="A20" t="str">
        <f t="shared" si="1"/>
        <v>ALPAHELI S.R.L.</v>
      </c>
      <c r="C20" s="66">
        <f t="shared" si="2"/>
        <v>1717000</v>
      </c>
      <c r="D20" s="24">
        <f t="shared" si="3"/>
        <v>1144.6666666666667</v>
      </c>
      <c r="E20" s="50">
        <f t="shared" si="0"/>
        <v>2.274008637410035E-4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6774259</v>
      </c>
      <c r="D21" s="24">
        <f t="shared" si="3"/>
        <v>4516.1726666666664</v>
      </c>
      <c r="E21" s="50">
        <f t="shared" si="0"/>
        <v>8.9718832137755764E-4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2256.6666666666665</v>
      </c>
      <c r="E22" s="50">
        <f t="shared" si="0"/>
        <v>4.4831212799260146E-4</v>
      </c>
      <c r="F22" s="51"/>
    </row>
    <row r="23" spans="1:6" ht="15.75" customHeight="1" x14ac:dyDescent="0.25">
      <c r="A23" t="str">
        <f t="shared" si="1"/>
        <v>ANTONIO PORPIGLIA SA</v>
      </c>
      <c r="C23" s="66">
        <f t="shared" si="2"/>
        <v>477363.36</v>
      </c>
      <c r="D23" s="24">
        <f t="shared" si="3"/>
        <v>318.24223999999998</v>
      </c>
      <c r="E23" s="50">
        <f t="shared" si="0"/>
        <v>6.3222388108507624E-5</v>
      </c>
      <c r="F23" s="51"/>
    </row>
    <row r="24" spans="1:6" ht="15.75" customHeight="1" x14ac:dyDescent="0.25">
      <c r="A24" t="str">
        <f t="shared" si="1"/>
        <v>ARCANGEL SAN MIGUEL S R L</v>
      </c>
      <c r="C24" s="66">
        <f t="shared" si="2"/>
        <v>30008000</v>
      </c>
      <c r="D24" s="24">
        <f t="shared" si="3"/>
        <v>20005.333333333332</v>
      </c>
      <c r="E24" s="50">
        <f t="shared" si="0"/>
        <v>3.974283703634264E-3</v>
      </c>
      <c r="F24" s="51"/>
    </row>
    <row r="25" spans="1:6" ht="15.75" customHeight="1" x14ac:dyDescent="0.25">
      <c r="A25" t="str">
        <f t="shared" si="1"/>
        <v>ARRIVIAMO S.A.S.</v>
      </c>
      <c r="C25" s="66">
        <f t="shared" si="2"/>
        <v>333960</v>
      </c>
      <c r="D25" s="24">
        <f t="shared" si="3"/>
        <v>222.64</v>
      </c>
      <c r="E25" s="50">
        <f t="shared" si="0"/>
        <v>4.4229931540445848E-5</v>
      </c>
      <c r="F25" s="51"/>
    </row>
    <row r="26" spans="1:6" ht="15.75" customHeight="1" x14ac:dyDescent="0.25">
      <c r="A26" t="str">
        <f t="shared" si="1"/>
        <v>ASSISTANCE FOOD ARGENTINA SA</v>
      </c>
      <c r="C26" s="66">
        <f t="shared" si="2"/>
        <v>367356</v>
      </c>
      <c r="D26" s="24">
        <f t="shared" si="3"/>
        <v>244.904</v>
      </c>
      <c r="E26" s="50">
        <f t="shared" si="0"/>
        <v>4.8652924694490433E-5</v>
      </c>
      <c r="F26" s="51"/>
    </row>
    <row r="27" spans="1:6" ht="15.75" customHeight="1" x14ac:dyDescent="0.25">
      <c r="A27" t="str">
        <f t="shared" si="1"/>
        <v>ASTILLERO DE ANGELIS S.A.</v>
      </c>
      <c r="C27" s="66">
        <f t="shared" si="2"/>
        <v>3146000</v>
      </c>
      <c r="D27" s="24">
        <f t="shared" si="3"/>
        <v>2097.3333333333335</v>
      </c>
      <c r="E27" s="50">
        <f t="shared" si="0"/>
        <v>4.1665877538101166E-4</v>
      </c>
      <c r="F27" s="51"/>
    </row>
    <row r="28" spans="1:6" ht="15.75" customHeight="1" x14ac:dyDescent="0.25">
      <c r="A28" t="str">
        <f t="shared" si="1"/>
        <v>ASTILLERO NAVAL FEDERICO CONTESSI Y CIA SA.</v>
      </c>
      <c r="C28" s="66">
        <f t="shared" si="2"/>
        <v>3592786.9</v>
      </c>
      <c r="D28" s="24">
        <f t="shared" si="3"/>
        <v>2395.1912666666667</v>
      </c>
      <c r="E28" s="50">
        <f t="shared" si="0"/>
        <v>4.7583159248535951E-4</v>
      </c>
      <c r="F28" s="51"/>
    </row>
    <row r="29" spans="1:6" ht="15.75" customHeight="1" x14ac:dyDescent="0.25">
      <c r="A29" t="str">
        <f t="shared" si="1"/>
        <v>ASTRADA LUCA</v>
      </c>
      <c r="C29" s="66">
        <f t="shared" si="2"/>
        <v>70000</v>
      </c>
      <c r="D29" s="24">
        <f t="shared" si="3"/>
        <v>46.666666666666664</v>
      </c>
      <c r="E29" s="50">
        <f t="shared" si="0"/>
        <v>9.2708564134363675E-6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72626924.159999996</v>
      </c>
      <c r="D30" s="24">
        <f t="shared" si="3"/>
        <v>48417.949439999997</v>
      </c>
      <c r="E30" s="50">
        <f t="shared" si="0"/>
        <v>9.6187683662413235E-3</v>
      </c>
      <c r="F30" s="51"/>
    </row>
    <row r="31" spans="1:6" ht="15.75" customHeight="1" x14ac:dyDescent="0.25">
      <c r="A31" t="str">
        <f t="shared" si="1"/>
        <v>AUTOSIGLO S.A.</v>
      </c>
      <c r="C31" s="66">
        <f t="shared" si="2"/>
        <v>590003.34</v>
      </c>
      <c r="D31" s="24">
        <f t="shared" si="3"/>
        <v>393.33555999999999</v>
      </c>
      <c r="E31" s="50">
        <f t="shared" si="0"/>
        <v>7.8140517836969682E-5</v>
      </c>
      <c r="F31" s="51"/>
    </row>
    <row r="32" spans="1:6" ht="15.75" customHeight="1" x14ac:dyDescent="0.25">
      <c r="A32" t="str">
        <f t="shared" si="1"/>
        <v>BALIÑA GERARDO DANIEL</v>
      </c>
      <c r="C32" s="66">
        <f t="shared" si="2"/>
        <v>25000</v>
      </c>
      <c r="D32" s="24">
        <f t="shared" si="3"/>
        <v>16.666666666666668</v>
      </c>
      <c r="E32" s="50">
        <f t="shared" si="0"/>
        <v>3.3110201476558458E-6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453.33334000000002</v>
      </c>
      <c r="E33" s="50">
        <f t="shared" si="0"/>
        <v>9.0059749340647068E-5</v>
      </c>
      <c r="F33" s="51"/>
    </row>
    <row r="34" spans="1:6" ht="15.75" customHeight="1" x14ac:dyDescent="0.25">
      <c r="A34" t="str">
        <f t="shared" si="1"/>
        <v>BARCIO JORGE EDUARDO</v>
      </c>
      <c r="C34" s="66">
        <f t="shared" si="2"/>
        <v>163350</v>
      </c>
      <c r="D34" s="24">
        <f t="shared" si="3"/>
        <v>108.9</v>
      </c>
      <c r="E34" s="50">
        <f t="shared" si="0"/>
        <v>2.1634205644783296E-5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1771881.95</v>
      </c>
      <c r="D35" s="24">
        <f t="shared" si="3"/>
        <v>1181.2546333333332</v>
      </c>
      <c r="E35" s="50">
        <f t="shared" si="0"/>
        <v>2.3466947342870909E-4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45.666666666666664</v>
      </c>
      <c r="E36" s="50">
        <f t="shared" si="0"/>
        <v>9.0721952045770159E-6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14135220</v>
      </c>
      <c r="D37" s="24">
        <f t="shared" si="3"/>
        <v>9423.48</v>
      </c>
      <c r="E37" s="50">
        <f t="shared" si="0"/>
        <v>1.8720799284619144E-3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656410.01</v>
      </c>
      <c r="D38" s="24">
        <f t="shared" si="3"/>
        <v>437.60667333333333</v>
      </c>
      <c r="E38" s="50">
        <f t="shared" si="0"/>
        <v>8.6935470729319002E-5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2.2605825169316935E-4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1.8845668714533332E-4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5252852</v>
      </c>
      <c r="D41" s="24">
        <f t="shared" si="3"/>
        <v>3501.9013333333332</v>
      </c>
      <c r="E41" s="50">
        <f t="shared" si="0"/>
        <v>6.9569195218617216E-4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1387461.75</v>
      </c>
      <c r="D42" s="24">
        <f t="shared" si="3"/>
        <v>924.97450000000003</v>
      </c>
      <c r="E42" s="50">
        <f t="shared" si="0"/>
        <v>1.8375655233407353E-4</v>
      </c>
      <c r="F42" s="51"/>
    </row>
    <row r="43" spans="1:6" ht="15.75" customHeight="1" x14ac:dyDescent="0.25">
      <c r="A43" t="str">
        <f t="shared" si="1"/>
        <v>BIRAS JONATAN EDGARDO</v>
      </c>
      <c r="C43" s="66">
        <f t="shared" si="2"/>
        <v>169543.86</v>
      </c>
      <c r="D43" s="24">
        <f t="shared" si="3"/>
        <v>113.02923999999999</v>
      </c>
      <c r="E43" s="50">
        <f t="shared" si="0"/>
        <v>2.2454525454853679E-5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112.16002666666667</v>
      </c>
      <c r="E44" s="50">
        <f t="shared" si="0"/>
        <v>2.2281846483297016E-5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3890927.5</v>
      </c>
      <c r="D45" s="24">
        <f t="shared" si="3"/>
        <v>2593.9516666666668</v>
      </c>
      <c r="E45" s="50">
        <f t="shared" si="0"/>
        <v>5.1531757382272767E-4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29271366.800000001</v>
      </c>
      <c r="D46" s="24">
        <f t="shared" si="3"/>
        <v>19514.244533333334</v>
      </c>
      <c r="E46" s="50">
        <f t="shared" si="0"/>
        <v>3.8767234089689771E-3</v>
      </c>
      <c r="F46" s="51"/>
    </row>
    <row r="47" spans="1:6" ht="15.75" customHeight="1" x14ac:dyDescent="0.25">
      <c r="A47" t="str">
        <f t="shared" si="1"/>
        <v>CABRALES S.A.</v>
      </c>
      <c r="C47" s="66">
        <f t="shared" si="2"/>
        <v>3056699.43</v>
      </c>
      <c r="D47" s="24">
        <f t="shared" si="3"/>
        <v>2037.79962</v>
      </c>
      <c r="E47" s="50">
        <f t="shared" si="0"/>
        <v>4.0483173592232555E-4</v>
      </c>
      <c r="F47" s="51"/>
    </row>
    <row r="48" spans="1:6" ht="15.75" customHeight="1" x14ac:dyDescent="0.25">
      <c r="A48" t="str">
        <f t="shared" si="1"/>
        <v>CAJIDE JAVIER</v>
      </c>
      <c r="C48" s="66">
        <f t="shared" si="2"/>
        <v>2496828.9500000002</v>
      </c>
      <c r="D48" s="24">
        <f t="shared" si="3"/>
        <v>1664.5526333333335</v>
      </c>
      <c r="E48" s="50">
        <f t="shared" si="0"/>
        <v>3.3068203834801563E-4</v>
      </c>
      <c r="F48" s="51"/>
    </row>
    <row r="49" spans="1:6" ht="15.75" customHeight="1" x14ac:dyDescent="0.25">
      <c r="A49" t="str">
        <f t="shared" si="1"/>
        <v>CAMPAGNONI RICARDO CELESTINO</v>
      </c>
      <c r="C49" s="66">
        <f t="shared" si="2"/>
        <v>317683.08</v>
      </c>
      <c r="D49" s="24">
        <f t="shared" si="3"/>
        <v>211.78872000000001</v>
      </c>
      <c r="E49" s="50">
        <f t="shared" si="0"/>
        <v>4.2074203137974558E-5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7255111.5800000001</v>
      </c>
      <c r="D50" s="24">
        <f t="shared" si="3"/>
        <v>4836.7410533333332</v>
      </c>
      <c r="E50" s="50">
        <f t="shared" si="0"/>
        <v>9.6087282459484942E-4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7.7267526980594409E-4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14859936</v>
      </c>
      <c r="D52" s="24">
        <f t="shared" si="3"/>
        <v>9906.6239999999998</v>
      </c>
      <c r="E52" s="50">
        <f t="shared" si="0"/>
        <v>1.9680618995550564E-3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-1.3244080590623382E-12</v>
      </c>
      <c r="F53" s="51"/>
    </row>
    <row r="54" spans="1:6" ht="15.75" customHeight="1" x14ac:dyDescent="0.25">
      <c r="A54" t="str">
        <f t="shared" si="1"/>
        <v>CARGO STAFF LOGISTICS S.A.</v>
      </c>
      <c r="C54" s="66">
        <f t="shared" si="2"/>
        <v>188397</v>
      </c>
      <c r="D54" s="24">
        <f t="shared" si="3"/>
        <v>125.598</v>
      </c>
      <c r="E54" s="50">
        <f t="shared" si="0"/>
        <v>2.4951450510316734E-5</v>
      </c>
      <c r="F54" s="51"/>
    </row>
    <row r="55" spans="1:6" ht="15.75" customHeight="1" x14ac:dyDescent="0.25">
      <c r="A55" t="str">
        <f t="shared" si="1"/>
        <v>CARPINTERIA DAMIANI SRL</v>
      </c>
      <c r="C55" s="66">
        <f t="shared" si="2"/>
        <v>2295612</v>
      </c>
      <c r="D55" s="24">
        <f t="shared" si="3"/>
        <v>1530.4079999999999</v>
      </c>
      <c r="E55" s="50">
        <f t="shared" si="0"/>
        <v>3.0403270332802124E-4</v>
      </c>
      <c r="F55" s="51"/>
    </row>
    <row r="56" spans="1:6" ht="15.75" customHeight="1" x14ac:dyDescent="0.25">
      <c r="A56" t="str">
        <f t="shared" si="1"/>
        <v>CARTONERIA ACEVEDO SACI</v>
      </c>
      <c r="C56" s="66">
        <f t="shared" si="2"/>
        <v>38783184.060000002</v>
      </c>
      <c r="D56" s="24">
        <f t="shared" si="3"/>
        <v>25855.456040000001</v>
      </c>
      <c r="E56" s="50">
        <f t="shared" si="0"/>
        <v>5.136476152516202E-3</v>
      </c>
      <c r="F56" s="51"/>
    </row>
    <row r="57" spans="1:6" ht="15.75" customHeight="1" x14ac:dyDescent="0.25">
      <c r="A57" t="str">
        <f t="shared" si="1"/>
        <v>CASA BLANCO S.A.</v>
      </c>
      <c r="C57" s="66">
        <f t="shared" si="2"/>
        <v>16802651.32</v>
      </c>
      <c r="D57" s="24">
        <f t="shared" si="3"/>
        <v>11201.767546666666</v>
      </c>
      <c r="E57" s="50">
        <f t="shared" si="0"/>
        <v>2.2253566821822434E-3</v>
      </c>
      <c r="F57" s="51"/>
    </row>
    <row r="58" spans="1:6" ht="15.75" customHeight="1" x14ac:dyDescent="0.25">
      <c r="A58" t="str">
        <f t="shared" si="1"/>
        <v>CASA MINGO S.R.L.</v>
      </c>
      <c r="C58" s="66">
        <f t="shared" si="2"/>
        <v>2258576.3199999998</v>
      </c>
      <c r="D58" s="24">
        <f t="shared" si="3"/>
        <v>1505.7175466666665</v>
      </c>
      <c r="E58" s="50">
        <f t="shared" si="0"/>
        <v>2.9912766802153582E-4</v>
      </c>
      <c r="F58" s="51"/>
    </row>
    <row r="59" spans="1:6" ht="15.75" customHeight="1" x14ac:dyDescent="0.25">
      <c r="A59" t="str">
        <f t="shared" si="1"/>
        <v>CELTOP S.R.L.</v>
      </c>
      <c r="C59" s="66">
        <f t="shared" si="2"/>
        <v>93840</v>
      </c>
      <c r="D59" s="24">
        <f t="shared" si="3"/>
        <v>62.56</v>
      </c>
      <c r="E59" s="50">
        <f t="shared" si="0"/>
        <v>1.2428245226240983E-5</v>
      </c>
      <c r="F59" s="51"/>
    </row>
    <row r="60" spans="1:6" ht="15.75" customHeight="1" x14ac:dyDescent="0.25">
      <c r="A60" t="str">
        <f t="shared" si="1"/>
        <v>CENTRO DE ATENCION TECNICA SOCIEDAD DE RESPONSABILIDAD LIMITADA</v>
      </c>
      <c r="C60" s="66">
        <f t="shared" si="2"/>
        <v>5263500</v>
      </c>
      <c r="D60" s="24">
        <f t="shared" si="3"/>
        <v>3509</v>
      </c>
      <c r="E60" s="50">
        <f t="shared" si="0"/>
        <v>6.971021818874617E-4</v>
      </c>
      <c r="F60" s="51"/>
    </row>
    <row r="61" spans="1:6" ht="15.75" customHeight="1" x14ac:dyDescent="0.25">
      <c r="A61" t="str">
        <f t="shared" si="1"/>
        <v>CILENTO MECANIZADOS Y REPUESTOS</v>
      </c>
      <c r="C61" s="66">
        <f t="shared" si="2"/>
        <v>6775926.2199999997</v>
      </c>
      <c r="D61" s="24">
        <f t="shared" si="3"/>
        <v>4517.2841466666669</v>
      </c>
      <c r="E61" s="50">
        <f t="shared" si="0"/>
        <v>8.974091293379807E-4</v>
      </c>
      <c r="F61" s="51"/>
    </row>
    <row r="62" spans="1:6" ht="15.75" customHeight="1" x14ac:dyDescent="0.25">
      <c r="A62" t="str">
        <f t="shared" si="1"/>
        <v>CITYSSAN S.A.</v>
      </c>
      <c r="C62" s="66">
        <f t="shared" si="2"/>
        <v>542744.88</v>
      </c>
      <c r="D62" s="24">
        <f t="shared" si="3"/>
        <v>361.82992000000002</v>
      </c>
      <c r="E62" s="50">
        <f t="shared" si="0"/>
        <v>7.1881569308682172E-5</v>
      </c>
      <c r="F62" s="51"/>
    </row>
    <row r="63" spans="1:6" ht="15.75" customHeight="1" x14ac:dyDescent="0.25">
      <c r="A63" t="str">
        <f t="shared" si="1"/>
        <v>CMA CGM ARGENTINA S.A.</v>
      </c>
      <c r="C63" s="66">
        <f t="shared" si="2"/>
        <v>217</v>
      </c>
      <c r="D63" s="24">
        <f t="shared" si="3"/>
        <v>0.14466666666666667</v>
      </c>
      <c r="E63" s="50">
        <f t="shared" si="0"/>
        <v>2.8739654881652739E-8</v>
      </c>
      <c r="F63" s="51"/>
    </row>
    <row r="64" spans="1:6" ht="15.75" customHeight="1" x14ac:dyDescent="0.25">
      <c r="A64" t="str">
        <f t="shared" si="1"/>
        <v>COMERCIAL DEL MAR S.A.</v>
      </c>
      <c r="C64" s="66">
        <f t="shared" si="2"/>
        <v>1231795.43</v>
      </c>
      <c r="D64" s="24">
        <f t="shared" si="3"/>
        <v>821.19695333333334</v>
      </c>
      <c r="E64" s="50">
        <f t="shared" si="0"/>
        <v>1.6313997946081584E-4</v>
      </c>
      <c r="F64" s="51"/>
    </row>
    <row r="65" spans="1:6" ht="15.75" customHeight="1" x14ac:dyDescent="0.25">
      <c r="A65" t="str">
        <f t="shared" si="1"/>
        <v>CONCA HUGO CESAR</v>
      </c>
      <c r="C65" s="66">
        <f t="shared" si="2"/>
        <v>646227.12</v>
      </c>
      <c r="D65" s="24">
        <f t="shared" si="3"/>
        <v>430.81808000000001</v>
      </c>
      <c r="E65" s="50">
        <f t="shared" si="0"/>
        <v>8.5586840571264479E-5</v>
      </c>
      <c r="F65" s="51"/>
    </row>
    <row r="66" spans="1:6" ht="15.75" customHeight="1" x14ac:dyDescent="0.25">
      <c r="A66" t="str">
        <f t="shared" si="1"/>
        <v>CONSORCIO PORTUARIO REGIONAL DE MAR DEL PLATA</v>
      </c>
      <c r="C66" s="66">
        <f t="shared" si="2"/>
        <v>41163831.090000004</v>
      </c>
      <c r="D66" s="24">
        <f t="shared" si="3"/>
        <v>27442.554060000002</v>
      </c>
      <c r="E66" s="50">
        <f t="shared" si="0"/>
        <v>5.451770963747684E-3</v>
      </c>
      <c r="F66" s="51"/>
    </row>
    <row r="67" spans="1:6" ht="15.75" customHeight="1" x14ac:dyDescent="0.25">
      <c r="A67" t="str">
        <f t="shared" si="1"/>
        <v>CONSTRUCCIONES Y PROYECTOS NAVAL. TEC.S.A.</v>
      </c>
      <c r="C67" s="66">
        <f t="shared" si="2"/>
        <v>4522375</v>
      </c>
      <c r="D67" s="24">
        <f t="shared" si="3"/>
        <v>3014.9166666666665</v>
      </c>
      <c r="E67" s="50">
        <f t="shared" si="0"/>
        <v>5.9894698961020416E-4</v>
      </c>
      <c r="F67" s="51"/>
    </row>
    <row r="68" spans="1:6" ht="15.75" customHeight="1" x14ac:dyDescent="0.25">
      <c r="A68" t="str">
        <f t="shared" si="1"/>
        <v>CONSULTORA GESTAM MDP SA</v>
      </c>
      <c r="C68" s="66">
        <f t="shared" si="2"/>
        <v>1868845</v>
      </c>
      <c r="D68" s="24">
        <f t="shared" si="3"/>
        <v>1245.8966666666668</v>
      </c>
      <c r="E68" s="50">
        <f t="shared" si="0"/>
        <v>2.4751133791383559E-4</v>
      </c>
      <c r="F68" s="51"/>
    </row>
    <row r="69" spans="1:6" ht="15.75" customHeight="1" x14ac:dyDescent="0.25">
      <c r="A69" t="str">
        <f t="shared" si="1"/>
        <v>CONTRERAS PONCE JUAN CARLOS</v>
      </c>
      <c r="C69" s="66">
        <f t="shared" si="2"/>
        <v>750000</v>
      </c>
      <c r="D69" s="24">
        <f t="shared" si="3"/>
        <v>500</v>
      </c>
      <c r="E69" s="50">
        <f t="shared" ref="E69:E132" si="4">+D69/$D$335</f>
        <v>9.9330604429675377E-5</v>
      </c>
      <c r="F69" s="51"/>
    </row>
    <row r="70" spans="1:6" ht="15.75" customHeight="1" x14ac:dyDescent="0.25">
      <c r="A70" t="str">
        <f t="shared" ref="A70:A133" si="5">+B417</f>
        <v>COOP. DE TRABAJO PUCARA LIMITADA</v>
      </c>
      <c r="C70" s="66">
        <f t="shared" ref="C70:C133" si="6">+K417</f>
        <v>122810000</v>
      </c>
      <c r="D70" s="24">
        <f t="shared" ref="D70:D133" si="7">+C70/$D$3</f>
        <v>81873.333333333328</v>
      </c>
      <c r="E70" s="50">
        <f t="shared" si="4"/>
        <v>1.6265055373344574E-2</v>
      </c>
      <c r="F70" s="51"/>
    </row>
    <row r="71" spans="1:6" ht="15.75" customHeight="1" x14ac:dyDescent="0.25">
      <c r="A71" t="str">
        <f t="shared" si="5"/>
        <v>COOPERATIVA DE TRABAJO DE ESTIBAJE HIPOCOOP LTDA</v>
      </c>
      <c r="C71" s="66">
        <f t="shared" si="6"/>
        <v>235091426.02000001</v>
      </c>
      <c r="D71" s="24">
        <f t="shared" si="7"/>
        <v>156727.61734666667</v>
      </c>
      <c r="E71" s="50">
        <f t="shared" si="4"/>
        <v>3.1135697923734548E-2</v>
      </c>
      <c r="F71" s="51"/>
    </row>
    <row r="72" spans="1:6" ht="15.75" customHeight="1" x14ac:dyDescent="0.25">
      <c r="A72" t="str">
        <f t="shared" si="5"/>
        <v>COOPERATIVA DE TRABAJO DE ESTIBAJE HIPOCOOP LTDA</v>
      </c>
      <c r="C72" s="66">
        <f t="shared" si="6"/>
        <v>80722237.510000005</v>
      </c>
      <c r="D72" s="24">
        <f t="shared" si="7"/>
        <v>53814.825006666673</v>
      </c>
      <c r="E72" s="50">
        <f t="shared" si="4"/>
        <v>1.0690918190378819E-2</v>
      </c>
      <c r="F72" s="51"/>
    </row>
    <row r="73" spans="1:6" ht="15.75" customHeight="1" x14ac:dyDescent="0.25">
      <c r="A73" t="str">
        <f t="shared" si="5"/>
        <v>COOPERATIVA DE TRABAJO DE ESTIBAJE HIPOCOOP LTDA</v>
      </c>
      <c r="C73" s="66">
        <f t="shared" si="6"/>
        <v>158830772.77000001</v>
      </c>
      <c r="D73" s="24">
        <f t="shared" si="7"/>
        <v>105887.18184666667</v>
      </c>
      <c r="E73" s="50">
        <f t="shared" si="4"/>
        <v>2.1035675548368701E-2</v>
      </c>
      <c r="F73" s="51"/>
    </row>
    <row r="74" spans="1:6" ht="15.75" customHeight="1" x14ac:dyDescent="0.25">
      <c r="A74" t="str">
        <f t="shared" si="5"/>
        <v>COOPERATIVA DE TRABAJO PARA ACTIVIDADES DEL ESTIBAJE LIMITADA</v>
      </c>
      <c r="C74" s="66">
        <f t="shared" si="6"/>
        <v>157300</v>
      </c>
      <c r="D74" s="24">
        <f t="shared" si="7"/>
        <v>104.86666666666666</v>
      </c>
      <c r="E74" s="50">
        <f t="shared" si="4"/>
        <v>2.083293876905058E-5</v>
      </c>
      <c r="F74" s="51"/>
    </row>
    <row r="75" spans="1:6" ht="15.75" customHeight="1" x14ac:dyDescent="0.25">
      <c r="A75" t="str">
        <f t="shared" si="5"/>
        <v>COSTANERA UNO SA</v>
      </c>
      <c r="C75" s="66">
        <f t="shared" si="6"/>
        <v>310729.09000000003</v>
      </c>
      <c r="D75" s="24">
        <f t="shared" si="7"/>
        <v>207.15272666666669</v>
      </c>
      <c r="E75" s="50">
        <f t="shared" si="4"/>
        <v>4.1153211098110669E-5</v>
      </c>
      <c r="F75" s="51"/>
    </row>
    <row r="76" spans="1:6" ht="15.75" customHeight="1" x14ac:dyDescent="0.25">
      <c r="A76" t="str">
        <f t="shared" si="5"/>
        <v>COZZOLI FRANCO MATIAS</v>
      </c>
      <c r="C76" s="66">
        <f t="shared" si="6"/>
        <v>2650000</v>
      </c>
      <c r="D76" s="24">
        <f t="shared" si="7"/>
        <v>1766.6666666666667</v>
      </c>
      <c r="E76" s="50">
        <f t="shared" si="4"/>
        <v>3.5096813565151964E-4</v>
      </c>
      <c r="F76" s="51"/>
    </row>
    <row r="77" spans="1:6" ht="15.75" customHeight="1" x14ac:dyDescent="0.25">
      <c r="A77" t="str">
        <f t="shared" si="5"/>
        <v>CRAITO ARGENTINA SA</v>
      </c>
      <c r="C77" s="66">
        <f t="shared" si="6"/>
        <v>52899417</v>
      </c>
      <c r="D77" s="24">
        <f t="shared" si="7"/>
        <v>35266.277999999998</v>
      </c>
      <c r="E77" s="50">
        <f t="shared" si="4"/>
        <v>7.0060414194499255E-3</v>
      </c>
      <c r="F77" s="51"/>
    </row>
    <row r="78" spans="1:6" ht="15.75" customHeight="1" x14ac:dyDescent="0.25">
      <c r="A78" t="str">
        <f t="shared" si="5"/>
        <v>CROCE HNOS. AGENTES MARITIMOS S.R.L.</v>
      </c>
      <c r="C78" s="66">
        <f t="shared" si="6"/>
        <v>1489900</v>
      </c>
      <c r="D78" s="24">
        <f t="shared" si="7"/>
        <v>993.26666666666665</v>
      </c>
      <c r="E78" s="50">
        <f t="shared" si="4"/>
        <v>1.9732355671969777E-4</v>
      </c>
      <c r="F78" s="51"/>
    </row>
    <row r="79" spans="1:6" ht="15.75" customHeight="1" x14ac:dyDescent="0.25">
      <c r="A79" t="str">
        <f t="shared" si="5"/>
        <v>CURCI CLAUDIO OMAR</v>
      </c>
      <c r="C79" s="66">
        <f t="shared" si="6"/>
        <v>1500400</v>
      </c>
      <c r="D79" s="24">
        <f t="shared" si="7"/>
        <v>1000.2666666666667</v>
      </c>
      <c r="E79" s="50">
        <f t="shared" si="4"/>
        <v>1.9871418518171323E-4</v>
      </c>
      <c r="F79" s="51"/>
    </row>
    <row r="80" spans="1:6" ht="15.75" customHeight="1" x14ac:dyDescent="0.25">
      <c r="A80" t="str">
        <f t="shared" si="5"/>
        <v>CURITIBA SRL</v>
      </c>
      <c r="C80" s="66">
        <f t="shared" si="6"/>
        <v>-204.43</v>
      </c>
      <c r="D80" s="24">
        <f t="shared" si="7"/>
        <v>-0.13628666666666667</v>
      </c>
      <c r="E80" s="50">
        <f t="shared" si="4"/>
        <v>-2.707487395141138E-8</v>
      </c>
      <c r="F80" s="51"/>
    </row>
    <row r="81" spans="1:6" ht="15.75" customHeight="1" x14ac:dyDescent="0.25">
      <c r="A81" t="str">
        <f t="shared" si="5"/>
        <v>CUYAIRES S.R.L.</v>
      </c>
      <c r="C81" s="66">
        <f t="shared" si="6"/>
        <v>3505115.9</v>
      </c>
      <c r="D81" s="24">
        <f t="shared" si="7"/>
        <v>2336.7439333333332</v>
      </c>
      <c r="E81" s="50">
        <f t="shared" si="4"/>
        <v>4.6422037459075408E-4</v>
      </c>
      <c r="F81" s="51"/>
    </row>
    <row r="82" spans="1:6" ht="15.75" customHeight="1" x14ac:dyDescent="0.25">
      <c r="A82" t="str">
        <f t="shared" si="5"/>
        <v>D ALBIS DARIO OSVALDO</v>
      </c>
      <c r="C82" s="66">
        <f t="shared" si="6"/>
        <v>204974</v>
      </c>
      <c r="D82" s="24">
        <f t="shared" si="7"/>
        <v>136.64933333333335</v>
      </c>
      <c r="E82" s="50">
        <f t="shared" si="4"/>
        <v>2.7146921749824373E-5</v>
      </c>
      <c r="F82" s="51"/>
    </row>
    <row r="83" spans="1:6" ht="15.75" customHeight="1" x14ac:dyDescent="0.25">
      <c r="A83" t="str">
        <f t="shared" si="5"/>
        <v>DANODIS S.A.</v>
      </c>
      <c r="C83" s="66">
        <f t="shared" si="6"/>
        <v>18355916.359999999</v>
      </c>
      <c r="D83" s="24">
        <f t="shared" si="7"/>
        <v>12237.277573333333</v>
      </c>
      <c r="E83" s="50">
        <f t="shared" si="4"/>
        <v>2.4310723558658219E-3</v>
      </c>
      <c r="F83" s="51"/>
    </row>
    <row r="84" spans="1:6" ht="15.75" customHeight="1" x14ac:dyDescent="0.25">
      <c r="A84" t="str">
        <f t="shared" si="5"/>
        <v>DAUVERNE LUIS MARIA JULIAN</v>
      </c>
      <c r="C84" s="66">
        <f t="shared" si="6"/>
        <v>906638.91</v>
      </c>
      <c r="D84" s="24">
        <f t="shared" si="7"/>
        <v>604.42593999999997</v>
      </c>
      <c r="E84" s="50">
        <f t="shared" si="4"/>
        <v>1.200759879063494E-4</v>
      </c>
      <c r="F84" s="51"/>
    </row>
    <row r="85" spans="1:6" ht="15.75" customHeight="1" x14ac:dyDescent="0.25">
      <c r="A85" t="str">
        <f t="shared" si="5"/>
        <v>DEVOMP SRL</v>
      </c>
      <c r="C85" s="66">
        <f t="shared" si="6"/>
        <v>5461728.3099999996</v>
      </c>
      <c r="D85" s="24">
        <f t="shared" si="7"/>
        <v>3641.1522066666662</v>
      </c>
      <c r="E85" s="50">
        <f t="shared" si="4"/>
        <v>7.2335569901729236E-4</v>
      </c>
      <c r="F85" s="51"/>
    </row>
    <row r="86" spans="1:6" ht="15.75" customHeight="1" x14ac:dyDescent="0.25">
      <c r="A86" t="str">
        <f t="shared" si="5"/>
        <v>DHL EXPRESS (ARGENTINA) S.A.</v>
      </c>
      <c r="C86" s="66">
        <f t="shared" si="6"/>
        <v>615058.30000000005</v>
      </c>
      <c r="D86" s="24">
        <f t="shared" si="7"/>
        <v>410.03886666666671</v>
      </c>
      <c r="E86" s="50">
        <f t="shared" si="4"/>
        <v>8.1458816931318144E-5</v>
      </c>
      <c r="F86" s="51"/>
    </row>
    <row r="87" spans="1:6" ht="15.75" customHeight="1" x14ac:dyDescent="0.25">
      <c r="A87" t="str">
        <f t="shared" si="5"/>
        <v>DISTRIBUCION Y PROFESIONALISMO S.A.</v>
      </c>
      <c r="C87" s="66">
        <f t="shared" si="6"/>
        <v>473507.91</v>
      </c>
      <c r="D87" s="24">
        <f t="shared" si="7"/>
        <v>315.67194000000001</v>
      </c>
      <c r="E87" s="50">
        <f t="shared" si="4"/>
        <v>6.2711769203376439E-5</v>
      </c>
      <c r="F87" s="51"/>
    </row>
    <row r="88" spans="1:6" ht="15.75" customHeight="1" x14ac:dyDescent="0.25">
      <c r="A88" t="str">
        <f t="shared" si="5"/>
        <v>DISTRIBUIDORA ARIES SRL</v>
      </c>
      <c r="C88" s="66">
        <f t="shared" si="6"/>
        <v>1165006.1499999999</v>
      </c>
      <c r="D88" s="24">
        <f t="shared" si="7"/>
        <v>776.67076666666662</v>
      </c>
      <c r="E88" s="50">
        <f t="shared" si="4"/>
        <v>1.5429435339171872E-4</v>
      </c>
      <c r="F88" s="51"/>
    </row>
    <row r="89" spans="1:6" ht="15.75" customHeight="1" x14ac:dyDescent="0.25">
      <c r="A89" t="str">
        <f t="shared" si="5"/>
        <v>DISTRIBUIDORA DIKAR SRL</v>
      </c>
      <c r="C89" s="66">
        <f t="shared" si="6"/>
        <v>2691669.11</v>
      </c>
      <c r="D89" s="24">
        <f t="shared" si="7"/>
        <v>1794.4460733333333</v>
      </c>
      <c r="E89" s="50">
        <f t="shared" si="4"/>
        <v>3.5648682616131513E-4</v>
      </c>
      <c r="F89" s="51"/>
    </row>
    <row r="90" spans="1:6" ht="15.75" customHeight="1" x14ac:dyDescent="0.25">
      <c r="A90" t="str">
        <f t="shared" si="5"/>
        <v>DISTRIBUIDORA EL FARO SA</v>
      </c>
      <c r="C90" s="66">
        <f t="shared" si="6"/>
        <v>97197315.599999994</v>
      </c>
      <c r="D90" s="24">
        <f t="shared" si="7"/>
        <v>64798.210399999996</v>
      </c>
      <c r="E90" s="50">
        <f t="shared" si="4"/>
        <v>1.2872890809986553E-2</v>
      </c>
      <c r="F90" s="51"/>
    </row>
    <row r="91" spans="1:6" ht="15.75" customHeight="1" x14ac:dyDescent="0.25">
      <c r="A91" t="str">
        <f t="shared" si="5"/>
        <v>DISTRIBUIDORA LEBENSHON 8061</v>
      </c>
      <c r="C91" s="66">
        <f t="shared" si="6"/>
        <v>2468846.25</v>
      </c>
      <c r="D91" s="24">
        <f t="shared" si="7"/>
        <v>1645.8975</v>
      </c>
      <c r="E91" s="50">
        <f t="shared" si="4"/>
        <v>3.2697598700858323E-4</v>
      </c>
      <c r="F91" s="51"/>
    </row>
    <row r="92" spans="1:6" ht="15.75" customHeight="1" x14ac:dyDescent="0.25">
      <c r="A92" t="str">
        <f t="shared" si="5"/>
        <v>DISTRIBUIDORA WALLY S. R. L.</v>
      </c>
      <c r="C92" s="66">
        <f t="shared" si="6"/>
        <v>10098400</v>
      </c>
      <c r="D92" s="24">
        <f t="shared" si="7"/>
        <v>6732.2666666666664</v>
      </c>
      <c r="E92" s="50">
        <f t="shared" si="4"/>
        <v>1.3374402343635117E-3</v>
      </c>
      <c r="F92" s="51"/>
    </row>
    <row r="93" spans="1:6" ht="15.75" customHeight="1" x14ac:dyDescent="0.25">
      <c r="A93" t="str">
        <f t="shared" si="5"/>
        <v>DOMINGUEZ ROSENDE JOSE DOMINGUEZ ARZONDO ALEJANDRO MARCELO SH</v>
      </c>
      <c r="C93" s="66">
        <f t="shared" si="6"/>
        <v>66431648.520000003</v>
      </c>
      <c r="D93" s="24">
        <f t="shared" si="7"/>
        <v>44287.765680000004</v>
      </c>
      <c r="E93" s="50">
        <f t="shared" si="4"/>
        <v>8.7982610676684662E-3</v>
      </c>
      <c r="F93" s="51"/>
    </row>
    <row r="94" spans="1:6" ht="15.75" customHeight="1" x14ac:dyDescent="0.25">
      <c r="A94" t="str">
        <f t="shared" si="5"/>
        <v>DUARTE MARCELO LUIS RUFINO</v>
      </c>
      <c r="C94" s="66">
        <f t="shared" si="6"/>
        <v>2930000</v>
      </c>
      <c r="D94" s="24">
        <f t="shared" si="7"/>
        <v>1953.3333333333333</v>
      </c>
      <c r="E94" s="50">
        <f t="shared" si="4"/>
        <v>3.8805156130526511E-4</v>
      </c>
      <c r="F94" s="51"/>
    </row>
    <row r="95" spans="1:6" ht="15.75" customHeight="1" x14ac:dyDescent="0.25">
      <c r="A95" t="str">
        <f t="shared" si="5"/>
        <v>DUGAS S.R.L.</v>
      </c>
      <c r="C95" s="66">
        <f t="shared" si="6"/>
        <v>1160637.5900000001</v>
      </c>
      <c r="D95" s="24">
        <f t="shared" si="7"/>
        <v>773.7583933333334</v>
      </c>
      <c r="E95" s="50">
        <f t="shared" si="4"/>
        <v>1.5371577778466901E-4</v>
      </c>
      <c r="F95" s="51"/>
    </row>
    <row r="96" spans="1:6" ht="15.75" customHeight="1" x14ac:dyDescent="0.25">
      <c r="A96" t="str">
        <f t="shared" si="5"/>
        <v>DURAGOM S.R.L.</v>
      </c>
      <c r="C96" s="66">
        <f t="shared" si="6"/>
        <v>76735055.209999993</v>
      </c>
      <c r="D96" s="24">
        <f t="shared" si="7"/>
        <v>51156.703473333328</v>
      </c>
      <c r="E96" s="50">
        <f t="shared" si="4"/>
        <v>1.0162852553271746E-2</v>
      </c>
      <c r="F96" s="51"/>
    </row>
    <row r="97" spans="1:6" ht="15.75" customHeight="1" x14ac:dyDescent="0.25">
      <c r="A97" t="str">
        <f t="shared" si="5"/>
        <v>ECOPETROL SOC DE HECHO DE GARCIA NICOLAS SERGIO Y GARCIA SEBASTIAN ANDRES</v>
      </c>
      <c r="C97" s="66">
        <f t="shared" si="6"/>
        <v>4392303.99</v>
      </c>
      <c r="D97" s="24">
        <f t="shared" si="7"/>
        <v>2928.2026599999999</v>
      </c>
      <c r="E97" s="50">
        <f t="shared" si="4"/>
        <v>5.8172028022076638E-4</v>
      </c>
      <c r="F97" s="51"/>
    </row>
    <row r="98" spans="1:6" ht="15.75" customHeight="1" x14ac:dyDescent="0.25">
      <c r="A98" t="str">
        <f t="shared" si="5"/>
        <v>EGUREN JORGE ALBERTO</v>
      </c>
      <c r="C98" s="66">
        <f t="shared" si="6"/>
        <v>5170000</v>
      </c>
      <c r="D98" s="24">
        <f t="shared" si="7"/>
        <v>3446.6666666666665</v>
      </c>
      <c r="E98" s="50">
        <f t="shared" si="4"/>
        <v>6.8471896653522887E-4</v>
      </c>
      <c r="F98" s="51"/>
    </row>
    <row r="99" spans="1:6" ht="15.75" customHeight="1" x14ac:dyDescent="0.25">
      <c r="A99" t="str">
        <f t="shared" si="5"/>
        <v>EL MEJOR CAFE DEL PUERTO S.R.L.</v>
      </c>
      <c r="C99" s="66">
        <f t="shared" si="6"/>
        <v>13984003.880000001</v>
      </c>
      <c r="D99" s="24">
        <f t="shared" si="7"/>
        <v>9322.6692533333335</v>
      </c>
      <c r="E99" s="50">
        <f t="shared" si="4"/>
        <v>1.8520527436631008E-3</v>
      </c>
      <c r="F99" s="51"/>
    </row>
    <row r="100" spans="1:6" ht="15.75" customHeight="1" x14ac:dyDescent="0.25">
      <c r="A100" t="str">
        <f t="shared" si="5"/>
        <v>ELECTRO STOCK S.A.</v>
      </c>
      <c r="C100" s="66">
        <f t="shared" si="6"/>
        <v>6840.54</v>
      </c>
      <c r="D100" s="24">
        <f t="shared" si="7"/>
        <v>4.5603600000000002</v>
      </c>
      <c r="E100" s="50">
        <f t="shared" si="4"/>
        <v>9.0596663043382874E-7</v>
      </c>
      <c r="F100" s="51"/>
    </row>
    <row r="101" spans="1:6" ht="15.75" customHeight="1" x14ac:dyDescent="0.25">
      <c r="A101" t="str">
        <f t="shared" si="5"/>
        <v>ELECTROMAQ SRL</v>
      </c>
      <c r="C101" s="66">
        <f t="shared" si="6"/>
        <v>147017.70000000001</v>
      </c>
      <c r="D101" s="24">
        <f t="shared" si="7"/>
        <v>98.011800000000008</v>
      </c>
      <c r="E101" s="50">
        <f t="shared" si="4"/>
        <v>1.9471142670480915E-5</v>
      </c>
      <c r="F101" s="51"/>
    </row>
    <row r="102" spans="1:6" ht="15.75" customHeight="1" x14ac:dyDescent="0.25">
      <c r="A102" t="str">
        <f t="shared" si="5"/>
        <v>ELECTRONICA NAVAL S.A.</v>
      </c>
      <c r="C102" s="66">
        <f t="shared" si="6"/>
        <v>12088796.16</v>
      </c>
      <c r="D102" s="24">
        <f t="shared" si="7"/>
        <v>8059.1974399999999</v>
      </c>
      <c r="E102" s="50">
        <f t="shared" si="4"/>
        <v>1.6010499058665849E-3</v>
      </c>
      <c r="F102" s="51"/>
    </row>
    <row r="103" spans="1:6" ht="15.75" customHeight="1" x14ac:dyDescent="0.25">
      <c r="A103" t="str">
        <f t="shared" si="5"/>
        <v>ELECTROTERMA MAR DEL PLATA S.R.L.</v>
      </c>
      <c r="C103" s="66">
        <f t="shared" si="6"/>
        <v>92513172</v>
      </c>
      <c r="D103" s="24">
        <f t="shared" si="7"/>
        <v>61675.447999999997</v>
      </c>
      <c r="E103" s="50">
        <f t="shared" si="4"/>
        <v>1.2252519056622025E-2</v>
      </c>
      <c r="F103" s="51"/>
    </row>
    <row r="104" spans="1:6" ht="15.75" customHeight="1" x14ac:dyDescent="0.25">
      <c r="A104" t="str">
        <f t="shared" si="5"/>
        <v>ERRIQUENZ HNOS S.R.L</v>
      </c>
      <c r="C104" s="66">
        <f t="shared" si="6"/>
        <v>18390539.010000002</v>
      </c>
      <c r="D104" s="24">
        <f t="shared" si="7"/>
        <v>12260.359340000001</v>
      </c>
      <c r="E104" s="50">
        <f t="shared" si="4"/>
        <v>2.4356578075344316E-3</v>
      </c>
      <c r="F104" s="51"/>
    </row>
    <row r="105" spans="1:6" ht="15.75" customHeight="1" x14ac:dyDescent="0.25">
      <c r="A105" t="str">
        <f t="shared" si="5"/>
        <v>ESLABONES S.A.</v>
      </c>
      <c r="C105" s="66">
        <f t="shared" si="6"/>
        <v>2790654.93</v>
      </c>
      <c r="D105" s="24">
        <f t="shared" si="7"/>
        <v>1860.4366200000002</v>
      </c>
      <c r="E105" s="50">
        <f t="shared" si="4"/>
        <v>3.695965879354046E-4</v>
      </c>
      <c r="F105" s="51"/>
    </row>
    <row r="106" spans="1:6" ht="15.75" customHeight="1" x14ac:dyDescent="0.25">
      <c r="A106" t="str">
        <f t="shared" si="5"/>
        <v>ESQUIVEL MARCOS ALBERTO</v>
      </c>
      <c r="C106" s="66">
        <f t="shared" si="6"/>
        <v>1415700</v>
      </c>
      <c r="D106" s="24">
        <f t="shared" si="7"/>
        <v>943.8</v>
      </c>
      <c r="E106" s="50">
        <f t="shared" si="4"/>
        <v>1.8749644892145521E-4</v>
      </c>
      <c r="F106" s="51"/>
    </row>
    <row r="107" spans="1:6" ht="15.75" customHeight="1" x14ac:dyDescent="0.25">
      <c r="A107" t="str">
        <f t="shared" si="5"/>
        <v>EUROPATAGONICA S A</v>
      </c>
      <c r="C107" s="66">
        <f t="shared" si="6"/>
        <v>1685692.29</v>
      </c>
      <c r="D107" s="24">
        <f t="shared" si="7"/>
        <v>1123.79486</v>
      </c>
      <c r="E107" s="50">
        <f t="shared" si="4"/>
        <v>2.2325444539752481E-4</v>
      </c>
      <c r="F107" s="51"/>
    </row>
    <row r="108" spans="1:6" ht="15.75" customHeight="1" x14ac:dyDescent="0.25">
      <c r="A108" t="str">
        <f t="shared" si="5"/>
        <v>EXACTIAN CONSULTING S.A.</v>
      </c>
      <c r="C108" s="66">
        <f t="shared" si="6"/>
        <v>1551026.4</v>
      </c>
      <c r="D108" s="24">
        <f t="shared" si="7"/>
        <v>1034.0175999999999</v>
      </c>
      <c r="E108" s="50">
        <f t="shared" si="4"/>
        <v>2.0541918639784457E-4</v>
      </c>
      <c r="F108" s="51"/>
    </row>
    <row r="109" spans="1:6" ht="15.75" customHeight="1" x14ac:dyDescent="0.25">
      <c r="A109" t="str">
        <f t="shared" si="5"/>
        <v>EXOLGAN S.A.</v>
      </c>
      <c r="C109" s="66">
        <f t="shared" si="6"/>
        <v>290181.01</v>
      </c>
      <c r="D109" s="24">
        <f t="shared" si="7"/>
        <v>193.45400666666669</v>
      </c>
      <c r="E109" s="50">
        <f t="shared" si="4"/>
        <v>3.8431806823084903E-5</v>
      </c>
      <c r="F109" s="51"/>
    </row>
    <row r="110" spans="1:6" ht="15.75" customHeight="1" x14ac:dyDescent="0.25">
      <c r="A110" t="str">
        <f t="shared" si="5"/>
        <v>FABRICA DE CHACINADOS MAR DEL PLATA SRL</v>
      </c>
      <c r="C110" s="66">
        <f t="shared" si="6"/>
        <v>1615668.23</v>
      </c>
      <c r="D110" s="24">
        <f t="shared" si="7"/>
        <v>1077.1121533333333</v>
      </c>
      <c r="E110" s="50">
        <f t="shared" si="4"/>
        <v>2.1398040245829833E-4</v>
      </c>
      <c r="F110" s="51"/>
    </row>
    <row r="111" spans="1:6" ht="15.75" customHeight="1" x14ac:dyDescent="0.25">
      <c r="A111" t="str">
        <f t="shared" si="5"/>
        <v>FADECCO S. A.</v>
      </c>
      <c r="C111" s="66">
        <f t="shared" si="6"/>
        <v>142327955.06</v>
      </c>
      <c r="D111" s="24">
        <f t="shared" si="7"/>
        <v>94885.303373333329</v>
      </c>
      <c r="E111" s="50">
        <f t="shared" si="4"/>
        <v>1.8850029071132628E-2</v>
      </c>
      <c r="F111" s="51"/>
    </row>
    <row r="112" spans="1:6" ht="15.75" customHeight="1" x14ac:dyDescent="0.25">
      <c r="A112" t="str">
        <f t="shared" si="5"/>
        <v>FAMIQ SRL</v>
      </c>
      <c r="C112" s="66">
        <f t="shared" si="6"/>
        <v>40261.120000000003</v>
      </c>
      <c r="D112" s="24">
        <f t="shared" si="7"/>
        <v>26.840746666666668</v>
      </c>
      <c r="E112" s="50">
        <f t="shared" si="4"/>
        <v>5.3322151794875891E-6</v>
      </c>
      <c r="F112" s="51"/>
    </row>
    <row r="113" spans="1:6" ht="15.75" customHeight="1" x14ac:dyDescent="0.25">
      <c r="A113" t="str">
        <f t="shared" si="5"/>
        <v>FARMA SRL</v>
      </c>
      <c r="C113" s="66">
        <f t="shared" si="6"/>
        <v>124480.32000000001</v>
      </c>
      <c r="D113" s="24">
        <f t="shared" si="7"/>
        <v>82.986879999999999</v>
      </c>
      <c r="E113" s="50">
        <f t="shared" si="4"/>
        <v>1.6486273900265876E-5</v>
      </c>
      <c r="F113" s="51"/>
    </row>
    <row r="114" spans="1:6" ht="15.75" customHeight="1" x14ac:dyDescent="0.25">
      <c r="A114" t="str">
        <f t="shared" si="5"/>
        <v>FARMACIA PORTOLURO SOCIEDAD EN COMANDITA SIMPLE</v>
      </c>
      <c r="C114" s="66">
        <f t="shared" si="6"/>
        <v>3112987.18</v>
      </c>
      <c r="D114" s="24">
        <f t="shared" si="7"/>
        <v>2075.3247866666666</v>
      </c>
      <c r="E114" s="50">
        <f t="shared" si="4"/>
        <v>4.1228653089497418E-4</v>
      </c>
      <c r="F114" s="51"/>
    </row>
    <row r="115" spans="1:6" ht="15.75" customHeight="1" x14ac:dyDescent="0.25">
      <c r="A115" t="str">
        <f t="shared" si="5"/>
        <v>FAUSZLEGER SA</v>
      </c>
      <c r="C115" s="66">
        <f t="shared" si="6"/>
        <v>820657.92</v>
      </c>
      <c r="D115" s="24">
        <f t="shared" si="7"/>
        <v>547.10527999999999</v>
      </c>
      <c r="E115" s="50">
        <f t="shared" si="4"/>
        <v>1.0868859629813356E-4</v>
      </c>
      <c r="F115" s="51"/>
    </row>
    <row r="116" spans="1:6" ht="15.75" customHeight="1" x14ac:dyDescent="0.25">
      <c r="A116" t="str">
        <f t="shared" si="5"/>
        <v>FEADAR S.A.</v>
      </c>
      <c r="C116" s="66">
        <f t="shared" si="6"/>
        <v>145393.60000000001</v>
      </c>
      <c r="D116" s="24">
        <f t="shared" si="7"/>
        <v>96.929066666666671</v>
      </c>
      <c r="E116" s="50">
        <f t="shared" si="4"/>
        <v>1.9256045557608599E-5</v>
      </c>
      <c r="F116" s="51"/>
    </row>
    <row r="117" spans="1:6" ht="15.75" customHeight="1" x14ac:dyDescent="0.25">
      <c r="A117" t="str">
        <f t="shared" si="5"/>
        <v>FEDERICO BRUSCANTINI SRL</v>
      </c>
      <c r="C117" s="66">
        <f t="shared" si="6"/>
        <v>18200</v>
      </c>
      <c r="D117" s="24">
        <f t="shared" si="7"/>
        <v>12.133333333333333</v>
      </c>
      <c r="E117" s="50">
        <f t="shared" si="4"/>
        <v>2.4104226674934556E-6</v>
      </c>
      <c r="F117" s="51"/>
    </row>
    <row r="118" spans="1:6" ht="15.75" customHeight="1" x14ac:dyDescent="0.25">
      <c r="A118" t="str">
        <f t="shared" si="5"/>
        <v>FEIJO NICOLAS EDUARDO</v>
      </c>
      <c r="C118" s="66">
        <f t="shared" si="6"/>
        <v>780000</v>
      </c>
      <c r="D118" s="24">
        <f t="shared" si="7"/>
        <v>520</v>
      </c>
      <c r="E118" s="50">
        <f t="shared" si="4"/>
        <v>1.0330382860686239E-4</v>
      </c>
      <c r="F118" s="51"/>
    </row>
    <row r="119" spans="1:6" ht="15.75" customHeight="1" x14ac:dyDescent="0.25">
      <c r="A119" t="str">
        <f t="shared" si="5"/>
        <v>FENICIOS GLOBAL S.R.L.</v>
      </c>
      <c r="C119" s="66">
        <f t="shared" si="6"/>
        <v>2571368.9900000002</v>
      </c>
      <c r="D119" s="24">
        <f t="shared" si="7"/>
        <v>1714.2459933333334</v>
      </c>
      <c r="E119" s="50">
        <f t="shared" si="4"/>
        <v>3.4055418131789854E-4</v>
      </c>
      <c r="F119" s="51"/>
    </row>
    <row r="120" spans="1:6" ht="15.75" customHeight="1" x14ac:dyDescent="0.25">
      <c r="A120" t="str">
        <f t="shared" si="5"/>
        <v>FERRARI MARIO JOSE CARMELO</v>
      </c>
      <c r="C120" s="66">
        <f t="shared" si="6"/>
        <v>0.02</v>
      </c>
      <c r="D120" s="24">
        <f t="shared" si="7"/>
        <v>1.3333333333333333E-5</v>
      </c>
      <c r="E120" s="50">
        <f t="shared" si="4"/>
        <v>2.6488161181246765E-12</v>
      </c>
      <c r="F120" s="51"/>
    </row>
    <row r="121" spans="1:6" ht="15.75" customHeight="1" x14ac:dyDescent="0.25">
      <c r="A121" t="str">
        <f t="shared" si="5"/>
        <v>FERRARO MARIANO ANDRES</v>
      </c>
      <c r="C121" s="66">
        <f t="shared" si="6"/>
        <v>562166</v>
      </c>
      <c r="D121" s="24">
        <f t="shared" si="7"/>
        <v>374.77733333333333</v>
      </c>
      <c r="E121" s="50">
        <f t="shared" si="4"/>
        <v>7.4453718093083843E-5</v>
      </c>
      <c r="F121" s="51"/>
    </row>
    <row r="122" spans="1:6" ht="15.75" customHeight="1" x14ac:dyDescent="0.25">
      <c r="A122" t="str">
        <f t="shared" si="5"/>
        <v>FERREYRA ALVARO GERMAN</v>
      </c>
      <c r="C122" s="66">
        <f t="shared" si="6"/>
        <v>4187326</v>
      </c>
      <c r="D122" s="24">
        <f t="shared" si="7"/>
        <v>2791.5506666666665</v>
      </c>
      <c r="E122" s="50">
        <f t="shared" si="4"/>
        <v>5.5457283003212639E-4</v>
      </c>
      <c r="F122" s="51"/>
    </row>
    <row r="123" spans="1:6" ht="15.75" customHeight="1" x14ac:dyDescent="0.25">
      <c r="A123" t="str">
        <f t="shared" si="5"/>
        <v>FESCAP S.A.</v>
      </c>
      <c r="C123" s="66">
        <f t="shared" si="6"/>
        <v>3519316.89</v>
      </c>
      <c r="D123" s="24">
        <f t="shared" si="7"/>
        <v>2346.21126</v>
      </c>
      <c r="E123" s="50">
        <f t="shared" si="4"/>
        <v>4.6610116515102048E-4</v>
      </c>
      <c r="F123" s="51"/>
    </row>
    <row r="124" spans="1:6" ht="15.75" customHeight="1" x14ac:dyDescent="0.25">
      <c r="A124" t="str">
        <f t="shared" si="5"/>
        <v>FIGUEROA SILVIA GRACIELA</v>
      </c>
      <c r="C124" s="66">
        <f t="shared" si="6"/>
        <v>3300000</v>
      </c>
      <c r="D124" s="24">
        <f t="shared" si="7"/>
        <v>2200</v>
      </c>
      <c r="E124" s="50">
        <f t="shared" si="4"/>
        <v>4.3705465949057162E-4</v>
      </c>
      <c r="F124" s="51"/>
    </row>
    <row r="125" spans="1:6" ht="15.75" customHeight="1" x14ac:dyDescent="0.25">
      <c r="A125" t="str">
        <f t="shared" si="5"/>
        <v>FILIPPI FEDERICO ALEJANDRO</v>
      </c>
      <c r="C125" s="66">
        <f t="shared" si="6"/>
        <v>13454963.02</v>
      </c>
      <c r="D125" s="24">
        <f t="shared" si="7"/>
        <v>8969.9753466666662</v>
      </c>
      <c r="E125" s="50">
        <f t="shared" si="4"/>
        <v>1.7819861458073737E-3</v>
      </c>
      <c r="F125" s="51"/>
    </row>
    <row r="126" spans="1:6" ht="15.75" customHeight="1" x14ac:dyDescent="0.25">
      <c r="A126" t="str">
        <f t="shared" si="5"/>
        <v>FILTROS FILMAR SRL</v>
      </c>
      <c r="C126" s="66">
        <f t="shared" si="6"/>
        <v>5369859.2999999998</v>
      </c>
      <c r="D126" s="24">
        <f t="shared" si="7"/>
        <v>3579.9061999999999</v>
      </c>
      <c r="E126" s="50">
        <f t="shared" si="4"/>
        <v>7.1118849329508465E-4</v>
      </c>
      <c r="F126" s="51"/>
    </row>
    <row r="127" spans="1:6" ht="15.75" customHeight="1" x14ac:dyDescent="0.25">
      <c r="A127" t="str">
        <f t="shared" si="5"/>
        <v>FINNING ARGENTINA SA</v>
      </c>
      <c r="C127" s="66">
        <f t="shared" si="6"/>
        <v>-3904.38</v>
      </c>
      <c r="D127" s="24">
        <f t="shared" si="7"/>
        <v>-2.6029200000000001</v>
      </c>
      <c r="E127" s="50">
        <f t="shared" si="4"/>
        <v>-5.1709923376418123E-7</v>
      </c>
      <c r="F127" s="51"/>
    </row>
    <row r="128" spans="1:6" ht="15.75" customHeight="1" x14ac:dyDescent="0.25">
      <c r="A128" t="str">
        <f t="shared" si="5"/>
        <v>FIREFISH SA</v>
      </c>
      <c r="C128" s="66">
        <f t="shared" si="6"/>
        <v>1720323.79</v>
      </c>
      <c r="D128" s="24">
        <f t="shared" si="7"/>
        <v>1146.8825266666668</v>
      </c>
      <c r="E128" s="50">
        <f t="shared" si="4"/>
        <v>2.2784106916726659E-4</v>
      </c>
      <c r="F128" s="51"/>
    </row>
    <row r="129" spans="1:6" ht="15.75" customHeight="1" x14ac:dyDescent="0.25">
      <c r="A129" t="str">
        <f t="shared" si="5"/>
        <v>FORTIN REPUBLICA SA</v>
      </c>
      <c r="C129" s="66">
        <f t="shared" si="6"/>
        <v>238590.8</v>
      </c>
      <c r="D129" s="24">
        <f t="shared" si="7"/>
        <v>159.06053333333332</v>
      </c>
      <c r="E129" s="50">
        <f t="shared" si="4"/>
        <v>3.159915783381305E-5</v>
      </c>
      <c r="F129" s="51"/>
    </row>
    <row r="130" spans="1:6" ht="15.75" customHeight="1" x14ac:dyDescent="0.25">
      <c r="A130" t="str">
        <f t="shared" si="5"/>
        <v>FRESCOMAR ARGENTINA SA</v>
      </c>
      <c r="C130" s="66">
        <f t="shared" si="6"/>
        <v>40367.35</v>
      </c>
      <c r="D130" s="24">
        <f t="shared" si="7"/>
        <v>26.911566666666666</v>
      </c>
      <c r="E130" s="50">
        <f t="shared" si="4"/>
        <v>5.3462843662990079E-6</v>
      </c>
      <c r="F130" s="51"/>
    </row>
    <row r="131" spans="1:6" ht="15.75" customHeight="1" x14ac:dyDescent="0.25">
      <c r="A131" t="str">
        <f t="shared" si="5"/>
        <v>FS TECNICA  INDUSTRIAL SRL</v>
      </c>
      <c r="C131" s="66">
        <f t="shared" si="6"/>
        <v>128077.24</v>
      </c>
      <c r="D131" s="24">
        <f t="shared" si="7"/>
        <v>85.384826666666669</v>
      </c>
      <c r="E131" s="50">
        <f t="shared" si="4"/>
        <v>1.6962652883846129E-5</v>
      </c>
      <c r="F131" s="51"/>
    </row>
    <row r="132" spans="1:6" ht="15.75" customHeight="1" x14ac:dyDescent="0.25">
      <c r="A132" t="str">
        <f t="shared" si="5"/>
        <v>FUNDACION DESFIBRILAR</v>
      </c>
      <c r="C132" s="66">
        <f t="shared" si="6"/>
        <v>405000</v>
      </c>
      <c r="D132" s="24">
        <f t="shared" si="7"/>
        <v>270</v>
      </c>
      <c r="E132" s="50">
        <f t="shared" si="4"/>
        <v>5.3638526392024699E-5</v>
      </c>
      <c r="F132" s="51"/>
    </row>
    <row r="133" spans="1:6" ht="15.75" customHeight="1" x14ac:dyDescent="0.25">
      <c r="A133" t="str">
        <f t="shared" si="5"/>
        <v>G4 CONSULTING SA</v>
      </c>
      <c r="C133" s="66">
        <f t="shared" si="6"/>
        <v>6948388.7000000002</v>
      </c>
      <c r="D133" s="24">
        <f t="shared" si="7"/>
        <v>4632.259133333333</v>
      </c>
      <c r="E133" s="50">
        <f t="shared" ref="E133:E196" si="8">+D133/$D$335</f>
        <v>9.2025019917776831E-4</v>
      </c>
      <c r="F133" s="51"/>
    </row>
    <row r="134" spans="1:6" ht="15.75" customHeight="1" x14ac:dyDescent="0.25">
      <c r="A134" t="str">
        <f t="shared" ref="A134:A197" si="9">+B481</f>
        <v>GALLARDO ANTONIO SEBASTIAN</v>
      </c>
      <c r="C134" s="66">
        <f t="shared" ref="C134:C197" si="10">+K481</f>
        <v>2504700</v>
      </c>
      <c r="D134" s="24">
        <f t="shared" ref="D134:D197" si="11">+C134/$D$3</f>
        <v>1669.8</v>
      </c>
      <c r="E134" s="50">
        <f t="shared" si="8"/>
        <v>3.3172448655334388E-4</v>
      </c>
      <c r="F134" s="51"/>
    </row>
    <row r="135" spans="1:6" ht="15.75" customHeight="1" x14ac:dyDescent="0.25">
      <c r="A135" t="str">
        <f t="shared" si="9"/>
        <v>GANADERA EL MUDO S.A.</v>
      </c>
      <c r="C135" s="66">
        <f t="shared" si="10"/>
        <v>25771874.23</v>
      </c>
      <c r="D135" s="24">
        <f t="shared" si="11"/>
        <v>17181.249486666668</v>
      </c>
      <c r="E135" s="50">
        <f t="shared" si="8"/>
        <v>3.4132477927352996E-3</v>
      </c>
      <c r="F135" s="51"/>
    </row>
    <row r="136" spans="1:6" ht="15.75" customHeight="1" x14ac:dyDescent="0.25">
      <c r="A136" t="str">
        <f t="shared" si="9"/>
        <v>GARCIA ERNESTO HORACIO</v>
      </c>
      <c r="C136" s="66">
        <f t="shared" si="10"/>
        <v>25689460.75</v>
      </c>
      <c r="D136" s="24">
        <f t="shared" si="11"/>
        <v>17126.307166666666</v>
      </c>
      <c r="E136" s="50">
        <f t="shared" si="8"/>
        <v>3.4023328850265617E-3</v>
      </c>
      <c r="F136" s="51"/>
    </row>
    <row r="137" spans="1:6" ht="15.75" customHeight="1" x14ac:dyDescent="0.25">
      <c r="A137" t="str">
        <f t="shared" si="9"/>
        <v>GARCIA WALTER CARLOS - CAE</v>
      </c>
      <c r="C137" s="66">
        <f t="shared" si="10"/>
        <v>317135.63</v>
      </c>
      <c r="D137" s="24">
        <f t="shared" si="11"/>
        <v>211.42375333333334</v>
      </c>
      <c r="E137" s="50">
        <f t="shared" si="8"/>
        <v>4.2001698418781189E-5</v>
      </c>
      <c r="F137" s="51"/>
    </row>
    <row r="138" spans="1:6" ht="15.75" customHeight="1" x14ac:dyDescent="0.25">
      <c r="A138" t="str">
        <f t="shared" si="9"/>
        <v>GARMIN</v>
      </c>
      <c r="C138" s="66">
        <f t="shared" si="10"/>
        <v>-387219.15</v>
      </c>
      <c r="D138" s="24">
        <f t="shared" si="11"/>
        <v>-258.14609999999999</v>
      </c>
      <c r="E138" s="50">
        <f t="shared" si="8"/>
        <v>-5.1283616288326839E-5</v>
      </c>
      <c r="F138" s="51"/>
    </row>
    <row r="139" spans="1:6" ht="15.75" customHeight="1" x14ac:dyDescent="0.25">
      <c r="A139" t="str">
        <f t="shared" si="9"/>
        <v>GASPRODUCT SRL</v>
      </c>
      <c r="C139" s="66">
        <f t="shared" si="10"/>
        <v>2708708.42</v>
      </c>
      <c r="D139" s="24">
        <f t="shared" si="11"/>
        <v>1805.8056133333332</v>
      </c>
      <c r="E139" s="50">
        <f t="shared" si="8"/>
        <v>3.5874352610980125E-4</v>
      </c>
      <c r="F139" s="51"/>
    </row>
    <row r="140" spans="1:6" ht="15.75" customHeight="1" x14ac:dyDescent="0.25">
      <c r="A140" t="str">
        <f t="shared" si="9"/>
        <v>GATES JULIANA</v>
      </c>
      <c r="C140" s="66">
        <f t="shared" si="10"/>
        <v>450000</v>
      </c>
      <c r="D140" s="24">
        <f t="shared" si="11"/>
        <v>300</v>
      </c>
      <c r="E140" s="50">
        <f t="shared" si="8"/>
        <v>5.9598362657805222E-5</v>
      </c>
      <c r="F140" s="51"/>
    </row>
    <row r="141" spans="1:6" ht="15.75" customHeight="1" x14ac:dyDescent="0.25">
      <c r="A141" t="str">
        <f t="shared" si="9"/>
        <v>GEMIN LUIS ALBERTO</v>
      </c>
      <c r="C141" s="66">
        <f t="shared" si="10"/>
        <v>435600</v>
      </c>
      <c r="D141" s="24">
        <f t="shared" si="11"/>
        <v>290.39999999999998</v>
      </c>
      <c r="E141" s="50">
        <f t="shared" si="8"/>
        <v>5.769121505275545E-5</v>
      </c>
      <c r="F141" s="51"/>
    </row>
    <row r="142" spans="1:6" ht="15.75" customHeight="1" x14ac:dyDescent="0.25">
      <c r="A142" t="str">
        <f t="shared" si="9"/>
        <v>GERAHARD HNOS SOCIEDAD DE RESPONSABILIDAD LIMITADA EN FORMACION</v>
      </c>
      <c r="C142" s="66">
        <f t="shared" si="10"/>
        <v>39595210</v>
      </c>
      <c r="D142" s="24">
        <f t="shared" si="11"/>
        <v>26396.806666666667</v>
      </c>
      <c r="E142" s="50">
        <f t="shared" si="8"/>
        <v>5.2440215224265688E-3</v>
      </c>
      <c r="F142" s="51"/>
    </row>
    <row r="143" spans="1:6" ht="15.75" customHeight="1" x14ac:dyDescent="0.25">
      <c r="A143" t="str">
        <f t="shared" si="9"/>
        <v>GLAN S.R.L.</v>
      </c>
      <c r="C143" s="66">
        <f t="shared" si="10"/>
        <v>2300000</v>
      </c>
      <c r="D143" s="24">
        <f t="shared" si="11"/>
        <v>1533.3333333333333</v>
      </c>
      <c r="E143" s="50">
        <f t="shared" si="8"/>
        <v>3.0461385358433778E-4</v>
      </c>
      <c r="F143" s="51"/>
    </row>
    <row r="144" spans="1:6" ht="15.75" customHeight="1" x14ac:dyDescent="0.25">
      <c r="A144" t="str">
        <f t="shared" si="9"/>
        <v>GOGNIAT SOLDADURA SA</v>
      </c>
      <c r="C144" s="66">
        <f t="shared" si="10"/>
        <v>3996790.03</v>
      </c>
      <c r="D144" s="24">
        <f t="shared" si="11"/>
        <v>2664.5266866666666</v>
      </c>
      <c r="E144" s="50">
        <f t="shared" si="8"/>
        <v>5.2933809261120047E-4</v>
      </c>
      <c r="F144" s="51"/>
    </row>
    <row r="145" spans="1:6" ht="15.75" customHeight="1" x14ac:dyDescent="0.25">
      <c r="A145" t="str">
        <f t="shared" si="9"/>
        <v>GOMATEX S.R.L.</v>
      </c>
      <c r="C145" s="66">
        <f t="shared" si="10"/>
        <v>110621.66</v>
      </c>
      <c r="D145" s="24">
        <f t="shared" si="11"/>
        <v>73.747773333333342</v>
      </c>
      <c r="E145" s="50">
        <f t="shared" si="8"/>
        <v>1.4650821801085392E-5</v>
      </c>
      <c r="F145" s="51"/>
    </row>
    <row r="146" spans="1:6" ht="15.75" customHeight="1" x14ac:dyDescent="0.25">
      <c r="A146" t="str">
        <f t="shared" si="9"/>
        <v>GRAMAJO PABLO MARTIN</v>
      </c>
      <c r="C146" s="66">
        <f t="shared" si="10"/>
        <v>311500</v>
      </c>
      <c r="D146" s="24">
        <f t="shared" si="11"/>
        <v>207.66666666666666</v>
      </c>
      <c r="E146" s="50">
        <f t="shared" si="8"/>
        <v>4.1255311039791834E-5</v>
      </c>
      <c r="F146" s="51"/>
    </row>
    <row r="147" spans="1:6" ht="15.75" customHeight="1" x14ac:dyDescent="0.25">
      <c r="A147" t="str">
        <f t="shared" si="9"/>
        <v>GRECO GUILLERMINA EDITH</v>
      </c>
      <c r="C147" s="66">
        <f t="shared" si="10"/>
        <v>1233000.01</v>
      </c>
      <c r="D147" s="24">
        <f t="shared" si="11"/>
        <v>822.00000666666665</v>
      </c>
      <c r="E147" s="50">
        <f t="shared" si="8"/>
        <v>1.6329951500679437E-4</v>
      </c>
      <c r="F147" s="51"/>
    </row>
    <row r="148" spans="1:6" ht="15.75" customHeight="1" x14ac:dyDescent="0.25">
      <c r="A148" t="str">
        <f t="shared" si="9"/>
        <v>GRIÑON RAMON</v>
      </c>
      <c r="C148" s="66">
        <f t="shared" si="10"/>
        <v>3600000</v>
      </c>
      <c r="D148" s="24">
        <f t="shared" si="11"/>
        <v>2400</v>
      </c>
      <c r="E148" s="50">
        <f t="shared" si="8"/>
        <v>4.7678690126244178E-4</v>
      </c>
      <c r="F148" s="51"/>
    </row>
    <row r="149" spans="1:6" ht="15.75" customHeight="1" x14ac:dyDescent="0.25">
      <c r="A149" t="str">
        <f t="shared" si="9"/>
        <v>GRUPO HIGIENE CBA S.A.</v>
      </c>
      <c r="C149" s="66">
        <f t="shared" si="10"/>
        <v>336156.98</v>
      </c>
      <c r="D149" s="24">
        <f t="shared" si="11"/>
        <v>224.10465333333332</v>
      </c>
      <c r="E149" s="50">
        <f t="shared" si="8"/>
        <v>4.4520901342205721E-5</v>
      </c>
      <c r="F149" s="51"/>
    </row>
    <row r="150" spans="1:6" ht="15.75" customHeight="1" x14ac:dyDescent="0.25">
      <c r="A150" t="str">
        <f t="shared" si="9"/>
        <v>GRUPO MELECSUR S.R.L.</v>
      </c>
      <c r="C150" s="66">
        <f t="shared" si="10"/>
        <v>142838.15</v>
      </c>
      <c r="D150" s="24">
        <f t="shared" si="11"/>
        <v>95.225433333333328</v>
      </c>
      <c r="E150" s="50">
        <f t="shared" si="8"/>
        <v>1.8917599700155514E-5</v>
      </c>
      <c r="F150" s="51"/>
    </row>
    <row r="151" spans="1:6" ht="15.75" customHeight="1" x14ac:dyDescent="0.25">
      <c r="A151" t="str">
        <f t="shared" si="9"/>
        <v>GUANTES FLANDRIA S.A.</v>
      </c>
      <c r="C151" s="66">
        <f t="shared" si="10"/>
        <v>10374318.189999999</v>
      </c>
      <c r="D151" s="24">
        <f t="shared" si="11"/>
        <v>6916.2121266666663</v>
      </c>
      <c r="E151" s="50">
        <f t="shared" si="8"/>
        <v>1.3739830618113009E-3</v>
      </c>
      <c r="F151" s="51"/>
    </row>
    <row r="152" spans="1:6" ht="15.75" customHeight="1" x14ac:dyDescent="0.25">
      <c r="A152" t="str">
        <f t="shared" si="9"/>
        <v>GUEDIKIAN IMPRESORES SA</v>
      </c>
      <c r="C152" s="66">
        <f t="shared" si="10"/>
        <v>369126705</v>
      </c>
      <c r="D152" s="24">
        <f t="shared" si="11"/>
        <v>246084.47</v>
      </c>
      <c r="E152" s="50">
        <f t="shared" si="8"/>
        <v>4.8887438291712632E-2</v>
      </c>
      <c r="F152" s="51"/>
    </row>
    <row r="153" spans="1:6" ht="15.75" customHeight="1" x14ac:dyDescent="0.25">
      <c r="A153" t="str">
        <f t="shared" si="9"/>
        <v>HANDLER 04 MDP S.A.S</v>
      </c>
      <c r="C153" s="66">
        <f t="shared" si="10"/>
        <v>9813717.3800000008</v>
      </c>
      <c r="D153" s="24">
        <f t="shared" si="11"/>
        <v>6542.4782533333337</v>
      </c>
      <c r="E153" s="50">
        <f t="shared" si="8"/>
        <v>1.2997366387432136E-3</v>
      </c>
      <c r="F153" s="51"/>
    </row>
    <row r="154" spans="1:6" ht="15.75" customHeight="1" x14ac:dyDescent="0.25">
      <c r="A154" t="str">
        <f t="shared" si="9"/>
        <v>HAUNOLD VIVIANA</v>
      </c>
      <c r="C154" s="66">
        <f t="shared" si="10"/>
        <v>10381552.1</v>
      </c>
      <c r="D154" s="24">
        <f t="shared" si="11"/>
        <v>6921.034733333333</v>
      </c>
      <c r="E154" s="50">
        <f t="shared" si="8"/>
        <v>1.3749411266815541E-3</v>
      </c>
      <c r="F154" s="51"/>
    </row>
    <row r="155" spans="1:6" ht="15.75" customHeight="1" x14ac:dyDescent="0.25">
      <c r="A155" t="str">
        <f t="shared" si="9"/>
        <v>HENNING JUAN FEDERICO</v>
      </c>
      <c r="C155" s="66">
        <f t="shared" si="10"/>
        <v>4308685.1900000004</v>
      </c>
      <c r="D155" s="24">
        <f t="shared" si="11"/>
        <v>2872.4567933333337</v>
      </c>
      <c r="E155" s="50">
        <f t="shared" si="8"/>
        <v>5.7064573895985429E-4</v>
      </c>
      <c r="F155" s="51"/>
    </row>
    <row r="156" spans="1:6" ht="15.75" customHeight="1" x14ac:dyDescent="0.25">
      <c r="A156" t="str">
        <f t="shared" si="9"/>
        <v>HERNANDEZ CORTES MIGUEL</v>
      </c>
      <c r="C156" s="66">
        <f t="shared" si="10"/>
        <v>5137000</v>
      </c>
      <c r="D156" s="24">
        <f t="shared" si="11"/>
        <v>3424.6666666666665</v>
      </c>
      <c r="E156" s="50">
        <f t="shared" si="8"/>
        <v>6.8034841994032318E-4</v>
      </c>
      <c r="F156" s="51"/>
    </row>
    <row r="157" spans="1:6" ht="15.75" customHeight="1" x14ac:dyDescent="0.25">
      <c r="A157" t="str">
        <f t="shared" si="9"/>
        <v>HIDRAMIC S.R.L.</v>
      </c>
      <c r="C157" s="66">
        <f t="shared" si="10"/>
        <v>6255279.7199999997</v>
      </c>
      <c r="D157" s="24">
        <f t="shared" si="11"/>
        <v>4170.1864799999994</v>
      </c>
      <c r="E157" s="50">
        <f t="shared" si="8"/>
        <v>8.2845428728572056E-4</v>
      </c>
      <c r="F157" s="51"/>
    </row>
    <row r="158" spans="1:6" ht="15.75" customHeight="1" x14ac:dyDescent="0.25">
      <c r="A158" t="str">
        <f t="shared" si="9"/>
        <v>HIDRAULICA MAR DEL PLATA S.A.</v>
      </c>
      <c r="C158" s="66">
        <f t="shared" si="10"/>
        <v>431572.4</v>
      </c>
      <c r="D158" s="24">
        <f t="shared" si="11"/>
        <v>287.71493333333336</v>
      </c>
      <c r="E158" s="50">
        <f t="shared" si="8"/>
        <v>5.7157796462887513E-5</v>
      </c>
      <c r="F158" s="51"/>
    </row>
    <row r="159" spans="1:6" ht="15.75" customHeight="1" x14ac:dyDescent="0.25">
      <c r="A159" t="str">
        <f t="shared" si="9"/>
        <v>HIDRAULICA Y NEUMATICA SRL</v>
      </c>
      <c r="C159" s="66">
        <f t="shared" si="10"/>
        <v>14142961.199999999</v>
      </c>
      <c r="D159" s="24">
        <f t="shared" si="11"/>
        <v>9428.6407999999992</v>
      </c>
      <c r="E159" s="50">
        <f t="shared" si="8"/>
        <v>1.8731051792285956E-3</v>
      </c>
      <c r="F159" s="51"/>
    </row>
    <row r="160" spans="1:6" ht="15.75" customHeight="1" x14ac:dyDescent="0.25">
      <c r="A160" t="str">
        <f t="shared" si="9"/>
        <v>HIELO DEYACOBBI S.A.</v>
      </c>
      <c r="C160" s="66">
        <f t="shared" si="10"/>
        <v>309760</v>
      </c>
      <c r="D160" s="24">
        <f t="shared" si="11"/>
        <v>206.50666666666666</v>
      </c>
      <c r="E160" s="50">
        <f t="shared" si="8"/>
        <v>4.102486403751499E-5</v>
      </c>
      <c r="F160" s="51"/>
    </row>
    <row r="161" spans="1:6" ht="15.75" customHeight="1" x14ac:dyDescent="0.25">
      <c r="A161" t="str">
        <f t="shared" si="9"/>
        <v>HISPANO PATAGONICA S.A.</v>
      </c>
      <c r="C161" s="66">
        <f t="shared" si="10"/>
        <v>14999999.99</v>
      </c>
      <c r="D161" s="24">
        <f t="shared" si="11"/>
        <v>9999.9999933333329</v>
      </c>
      <c r="E161" s="50">
        <f t="shared" si="8"/>
        <v>1.9866120872690991E-3</v>
      </c>
      <c r="F161" s="51"/>
    </row>
    <row r="162" spans="1:6" ht="15.75" customHeight="1" x14ac:dyDescent="0.25">
      <c r="A162" t="str">
        <f t="shared" si="9"/>
        <v>HOLMBACK JORGE EDUARDO</v>
      </c>
      <c r="C162" s="66">
        <f t="shared" si="10"/>
        <v>63472</v>
      </c>
      <c r="D162" s="24">
        <f t="shared" si="11"/>
        <v>42.314666666666668</v>
      </c>
      <c r="E162" s="50">
        <f t="shared" si="8"/>
        <v>8.4062828324804742E-6</v>
      </c>
      <c r="F162" s="51"/>
    </row>
    <row r="163" spans="1:6" ht="15.75" customHeight="1" x14ac:dyDescent="0.25">
      <c r="A163" t="str">
        <f t="shared" si="9"/>
        <v>HORNI MIGUEL EDGARDO</v>
      </c>
      <c r="C163" s="66">
        <f t="shared" si="10"/>
        <v>1112638.77</v>
      </c>
      <c r="D163" s="24">
        <f t="shared" si="11"/>
        <v>741.75918000000001</v>
      </c>
      <c r="E163" s="50">
        <f t="shared" si="8"/>
        <v>1.4735877538132075E-4</v>
      </c>
      <c r="F163" s="51"/>
    </row>
    <row r="164" spans="1:6" ht="15.75" customHeight="1" x14ac:dyDescent="0.25">
      <c r="A164" t="str">
        <f t="shared" si="9"/>
        <v>IACONO JORGE ALBERTO</v>
      </c>
      <c r="C164" s="66">
        <f t="shared" si="10"/>
        <v>1366662.33</v>
      </c>
      <c r="D164" s="24">
        <f t="shared" si="11"/>
        <v>911.10822000000007</v>
      </c>
      <c r="E164" s="50">
        <f t="shared" si="8"/>
        <v>1.8100186038689129E-4</v>
      </c>
      <c r="F164" s="51"/>
    </row>
    <row r="165" spans="1:6" ht="15.75" customHeight="1" x14ac:dyDescent="0.25">
      <c r="A165" t="str">
        <f t="shared" si="9"/>
        <v>IBARGAS SRL</v>
      </c>
      <c r="C165" s="66">
        <f t="shared" si="10"/>
        <v>3317916.8</v>
      </c>
      <c r="D165" s="24">
        <f t="shared" si="11"/>
        <v>2211.9445333333333</v>
      </c>
      <c r="E165" s="50">
        <f t="shared" si="8"/>
        <v>4.3942757492183241E-4</v>
      </c>
      <c r="F165" s="51"/>
    </row>
    <row r="166" spans="1:6" ht="15.75" customHeight="1" x14ac:dyDescent="0.25">
      <c r="A166" t="str">
        <f t="shared" si="9"/>
        <v>INDUGARVE S.L.</v>
      </c>
      <c r="C166" s="66">
        <f t="shared" si="10"/>
        <v>88538261.290000007</v>
      </c>
      <c r="D166" s="24">
        <f t="shared" si="11"/>
        <v>59025.507526666668</v>
      </c>
      <c r="E166" s="50">
        <f t="shared" si="8"/>
        <v>1.1726078678784306E-2</v>
      </c>
      <c r="F166" s="51"/>
    </row>
    <row r="167" spans="1:6" ht="15.75" customHeight="1" x14ac:dyDescent="0.25">
      <c r="A167" t="str">
        <f t="shared" si="9"/>
        <v>INDUSTRIAL PUERTO S.A</v>
      </c>
      <c r="C167" s="66">
        <f t="shared" si="10"/>
        <v>208570.12</v>
      </c>
      <c r="D167" s="24">
        <f t="shared" si="11"/>
        <v>139.04674666666665</v>
      </c>
      <c r="E167" s="50">
        <f t="shared" si="8"/>
        <v>2.7623194780759894E-5</v>
      </c>
      <c r="F167" s="51"/>
    </row>
    <row r="168" spans="1:6" ht="15.75" customHeight="1" x14ac:dyDescent="0.25">
      <c r="A168" t="str">
        <f t="shared" si="9"/>
        <v>INDUSTRIAS CONTARDO S A I Y C</v>
      </c>
      <c r="C168" s="66">
        <f t="shared" si="10"/>
        <v>3138494.79</v>
      </c>
      <c r="D168" s="24">
        <f t="shared" si="11"/>
        <v>2092.3298599999998</v>
      </c>
      <c r="E168" s="50">
        <f t="shared" si="8"/>
        <v>4.1566477932011609E-4</v>
      </c>
      <c r="F168" s="51"/>
    </row>
    <row r="169" spans="1:6" ht="15.75" customHeight="1" x14ac:dyDescent="0.25">
      <c r="A169" t="str">
        <f t="shared" si="9"/>
        <v>INDUSTRIAS FERRI</v>
      </c>
      <c r="C169" s="66">
        <f t="shared" si="10"/>
        <v>5896891</v>
      </c>
      <c r="D169" s="24">
        <f t="shared" si="11"/>
        <v>3931.2606666666666</v>
      </c>
      <c r="E169" s="50">
        <f t="shared" si="8"/>
        <v>7.8098899638121705E-4</v>
      </c>
      <c r="F169" s="51"/>
    </row>
    <row r="170" spans="1:6" ht="15.75" customHeight="1" x14ac:dyDescent="0.25">
      <c r="A170" t="str">
        <f t="shared" si="9"/>
        <v>INDUSTRIAS TRICERRI HNOS E HIJOS SA ICFAGYF</v>
      </c>
      <c r="C170" s="66">
        <f t="shared" si="10"/>
        <v>13884750</v>
      </c>
      <c r="D170" s="24">
        <f t="shared" si="11"/>
        <v>9256.5</v>
      </c>
      <c r="E170" s="50">
        <f t="shared" si="8"/>
        <v>1.8389074798065802E-3</v>
      </c>
      <c r="F170" s="51"/>
    </row>
    <row r="171" spans="1:6" ht="15.75" customHeight="1" x14ac:dyDescent="0.25">
      <c r="A171" t="str">
        <f t="shared" si="9"/>
        <v>INGACOT COMERCIAL S.A.</v>
      </c>
      <c r="C171" s="66">
        <f t="shared" si="10"/>
        <v>365189.83</v>
      </c>
      <c r="D171" s="24">
        <f t="shared" si="11"/>
        <v>243.45988666666668</v>
      </c>
      <c r="E171" s="50">
        <f t="shared" si="8"/>
        <v>4.8366035393960526E-5</v>
      </c>
      <c r="F171" s="51"/>
    </row>
    <row r="172" spans="1:6" ht="15.75" customHeight="1" x14ac:dyDescent="0.25">
      <c r="A172" t="str">
        <f t="shared" si="9"/>
        <v>INTEGRAL PUERTO SANO S.R.L.</v>
      </c>
      <c r="C172" s="66">
        <f t="shared" si="10"/>
        <v>-0.01</v>
      </c>
      <c r="D172" s="24">
        <f t="shared" si="11"/>
        <v>-6.6666666666666666E-6</v>
      </c>
      <c r="E172" s="50">
        <f t="shared" si="8"/>
        <v>-1.3244080590623382E-12</v>
      </c>
      <c r="F172" s="51"/>
    </row>
    <row r="173" spans="1:6" ht="15.75" customHeight="1" x14ac:dyDescent="0.25">
      <c r="A173" t="str">
        <f t="shared" si="9"/>
        <v>INTERLOG S.A.</v>
      </c>
      <c r="C173" s="66">
        <f t="shared" si="10"/>
        <v>56904550.490000002</v>
      </c>
      <c r="D173" s="24">
        <f t="shared" si="11"/>
        <v>37936.366993333337</v>
      </c>
      <c r="E173" s="50">
        <f t="shared" si="8"/>
        <v>7.5364845266275736E-3</v>
      </c>
      <c r="F173" s="51"/>
    </row>
    <row r="174" spans="1:6" ht="15.75" customHeight="1" x14ac:dyDescent="0.25">
      <c r="A174" t="str">
        <f t="shared" si="9"/>
        <v>J KOSTZER LIBRERIA LURO S R L</v>
      </c>
      <c r="C174" s="66">
        <f t="shared" si="10"/>
        <v>132389.69</v>
      </c>
      <c r="D174" s="24">
        <f t="shared" si="11"/>
        <v>88.259793333333334</v>
      </c>
      <c r="E174" s="50">
        <f t="shared" si="8"/>
        <v>1.7533797237276466E-5</v>
      </c>
      <c r="F174" s="51"/>
    </row>
    <row r="175" spans="1:6" ht="15.75" customHeight="1" x14ac:dyDescent="0.25">
      <c r="A175" t="str">
        <f t="shared" si="9"/>
        <v>JAN-MARK SRL</v>
      </c>
      <c r="C175" s="66">
        <f t="shared" si="10"/>
        <v>6012343.3700000001</v>
      </c>
      <c r="D175" s="24">
        <f t="shared" si="11"/>
        <v>4008.2289133333334</v>
      </c>
      <c r="E175" s="50">
        <f t="shared" si="8"/>
        <v>7.9627960130780183E-4</v>
      </c>
      <c r="F175" s="51"/>
    </row>
    <row r="176" spans="1:6" ht="15.75" customHeight="1" x14ac:dyDescent="0.25">
      <c r="A176" t="str">
        <f t="shared" si="9"/>
        <v>JEZAHEL S.A.</v>
      </c>
      <c r="C176" s="66">
        <f t="shared" si="10"/>
        <v>1447039</v>
      </c>
      <c r="D176" s="24">
        <f t="shared" si="11"/>
        <v>964.6926666666667</v>
      </c>
      <c r="E176" s="50">
        <f t="shared" si="8"/>
        <v>1.916470113377507E-4</v>
      </c>
      <c r="F176" s="51"/>
    </row>
    <row r="177" spans="1:6" ht="15.75" customHeight="1" x14ac:dyDescent="0.25">
      <c r="A177" t="str">
        <f t="shared" si="9"/>
        <v>JOSE MOSCUZZA Y CIA SACI</v>
      </c>
      <c r="C177" s="66">
        <f t="shared" si="10"/>
        <v>150353314.16999999</v>
      </c>
      <c r="D177" s="24">
        <f t="shared" si="11"/>
        <v>100235.54277999999</v>
      </c>
      <c r="E177" s="50">
        <f t="shared" si="8"/>
        <v>1.9912914099347964E-2</v>
      </c>
      <c r="F177" s="51"/>
    </row>
    <row r="178" spans="1:6" ht="15.75" customHeight="1" x14ac:dyDescent="0.25">
      <c r="A178" t="str">
        <f t="shared" si="9"/>
        <v>KEMKES ROMINA ALEJANDRA</v>
      </c>
      <c r="C178" s="66">
        <f t="shared" si="10"/>
        <v>390000.01</v>
      </c>
      <c r="D178" s="24">
        <f t="shared" si="11"/>
        <v>260.00000666666665</v>
      </c>
      <c r="E178" s="50">
        <f t="shared" si="8"/>
        <v>5.1651915627839245E-5</v>
      </c>
      <c r="F178" s="51"/>
    </row>
    <row r="179" spans="1:6" ht="15.75" customHeight="1" x14ac:dyDescent="0.25">
      <c r="A179" t="str">
        <f t="shared" si="9"/>
        <v>KIENE DIESEL</v>
      </c>
      <c r="C179" s="66">
        <f t="shared" si="10"/>
        <v>335045.59999999998</v>
      </c>
      <c r="D179" s="24">
        <f t="shared" si="11"/>
        <v>223.36373333333333</v>
      </c>
      <c r="E179" s="50">
        <f t="shared" si="8"/>
        <v>4.4373709279337652E-5</v>
      </c>
      <c r="F179" s="51"/>
    </row>
    <row r="180" spans="1:6" ht="15.75" customHeight="1" x14ac:dyDescent="0.25">
      <c r="A180" t="str">
        <f t="shared" si="9"/>
        <v>KOREA MARINE INDUSTRIAL CO LTD</v>
      </c>
      <c r="C180" s="66">
        <f t="shared" si="10"/>
        <v>1782642.4</v>
      </c>
      <c r="D180" s="24">
        <f t="shared" si="11"/>
        <v>1188.4282666666666</v>
      </c>
      <c r="E180" s="50">
        <f t="shared" si="8"/>
        <v>2.3609459609862283E-4</v>
      </c>
      <c r="F180" s="51"/>
    </row>
    <row r="181" spans="1:6" ht="15.75" customHeight="1" x14ac:dyDescent="0.25">
      <c r="A181" t="str">
        <f t="shared" si="9"/>
        <v>KUHN PALACIOS Y PEREZ S.R.L</v>
      </c>
      <c r="C181" s="66">
        <f t="shared" si="10"/>
        <v>10635900</v>
      </c>
      <c r="D181" s="24">
        <f t="shared" si="11"/>
        <v>7090.6</v>
      </c>
      <c r="E181" s="50">
        <f t="shared" si="8"/>
        <v>1.4086271675381125E-3</v>
      </c>
      <c r="F181" s="51"/>
    </row>
    <row r="182" spans="1:6" ht="15.75" customHeight="1" x14ac:dyDescent="0.25">
      <c r="A182" t="str">
        <f t="shared" si="9"/>
        <v>LA ACADEMIA 2001 SRL</v>
      </c>
      <c r="C182" s="66">
        <f t="shared" si="10"/>
        <v>3400000</v>
      </c>
      <c r="D182" s="24">
        <f t="shared" si="11"/>
        <v>2266.6666666666665</v>
      </c>
      <c r="E182" s="50">
        <f t="shared" si="8"/>
        <v>4.5029874008119497E-4</v>
      </c>
      <c r="F182" s="51"/>
    </row>
    <row r="183" spans="1:6" ht="15.75" customHeight="1" x14ac:dyDescent="0.25">
      <c r="A183" t="str">
        <f t="shared" si="9"/>
        <v>LA CASA DEL FLEXIBLE SRL.</v>
      </c>
      <c r="C183" s="66">
        <f t="shared" si="10"/>
        <v>279005</v>
      </c>
      <c r="D183" s="24">
        <f t="shared" si="11"/>
        <v>186.00333333333333</v>
      </c>
      <c r="E183" s="50">
        <f t="shared" si="8"/>
        <v>3.695164705186877E-5</v>
      </c>
      <c r="F183" s="51"/>
    </row>
    <row r="184" spans="1:6" ht="15.75" customHeight="1" x14ac:dyDescent="0.25">
      <c r="A184" t="str">
        <f t="shared" si="9"/>
        <v>LABORATORIO BIOQUIMICO MAR DEL PLATA  S.A.</v>
      </c>
      <c r="C184" s="66">
        <f t="shared" si="10"/>
        <v>1060612.46</v>
      </c>
      <c r="D184" s="24">
        <f t="shared" si="11"/>
        <v>707.07497333333333</v>
      </c>
      <c r="E184" s="50">
        <f t="shared" si="8"/>
        <v>1.4046836895659318E-4</v>
      </c>
      <c r="F184" s="51"/>
    </row>
    <row r="185" spans="1:6" ht="15.75" customHeight="1" x14ac:dyDescent="0.25">
      <c r="A185" t="str">
        <f t="shared" si="9"/>
        <v>LAFFONT GERMAN RODOLFO</v>
      </c>
      <c r="C185" s="66">
        <f t="shared" si="10"/>
        <v>443400.01</v>
      </c>
      <c r="D185" s="24">
        <f t="shared" si="11"/>
        <v>295.60000666666667</v>
      </c>
      <c r="E185" s="50">
        <f t="shared" si="8"/>
        <v>5.8724254663232141E-5</v>
      </c>
      <c r="F185" s="51"/>
    </row>
    <row r="186" spans="1:6" ht="15.75" customHeight="1" x14ac:dyDescent="0.25">
      <c r="A186" t="str">
        <f t="shared" si="9"/>
        <v>LAKAUT S.A.</v>
      </c>
      <c r="C186" s="66">
        <f t="shared" si="10"/>
        <v>83341.11</v>
      </c>
      <c r="D186" s="24">
        <f t="shared" si="11"/>
        <v>55.560740000000003</v>
      </c>
      <c r="E186" s="50">
        <f t="shared" si="8"/>
        <v>1.1037763773520084E-5</v>
      </c>
      <c r="F186" s="51"/>
    </row>
    <row r="187" spans="1:6" ht="15.75" customHeight="1" x14ac:dyDescent="0.25">
      <c r="A187" t="str">
        <f t="shared" si="9"/>
        <v>LAMAZON GILDO WERFIL</v>
      </c>
      <c r="C187" s="66">
        <f t="shared" si="10"/>
        <v>1756600</v>
      </c>
      <c r="D187" s="24">
        <f t="shared" si="11"/>
        <v>1171.0666666666666</v>
      </c>
      <c r="E187" s="50">
        <f t="shared" si="8"/>
        <v>2.3264551965489032E-4</v>
      </c>
      <c r="F187" s="51"/>
    </row>
    <row r="188" spans="1:6" ht="15.75" customHeight="1" x14ac:dyDescent="0.25">
      <c r="A188" t="str">
        <f t="shared" si="9"/>
        <v>LOGISTICA VIPAMAR SA</v>
      </c>
      <c r="C188" s="66">
        <f t="shared" si="10"/>
        <v>22506000</v>
      </c>
      <c r="D188" s="24">
        <f t="shared" si="11"/>
        <v>15004</v>
      </c>
      <c r="E188" s="50">
        <f t="shared" si="8"/>
        <v>2.9807127777256985E-3</v>
      </c>
      <c r="F188" s="51"/>
    </row>
    <row r="189" spans="1:6" ht="15.75" customHeight="1" x14ac:dyDescent="0.25">
      <c r="A189" t="str">
        <f t="shared" si="9"/>
        <v>LOQUAR S.R.L.</v>
      </c>
      <c r="C189" s="66">
        <f t="shared" si="10"/>
        <v>87120</v>
      </c>
      <c r="D189" s="24">
        <f t="shared" si="11"/>
        <v>58.08</v>
      </c>
      <c r="E189" s="50">
        <f t="shared" si="8"/>
        <v>1.1538243010551091E-5</v>
      </c>
      <c r="F189" s="51"/>
    </row>
    <row r="190" spans="1:6" ht="15.75" customHeight="1" x14ac:dyDescent="0.25">
      <c r="A190" t="str">
        <f t="shared" si="9"/>
        <v>LOY GUADALUPE ANAHI</v>
      </c>
      <c r="C190" s="66">
        <f t="shared" si="10"/>
        <v>8466800</v>
      </c>
      <c r="D190" s="24">
        <f t="shared" si="11"/>
        <v>5644.5333333333338</v>
      </c>
      <c r="E190" s="50">
        <f t="shared" si="8"/>
        <v>1.1213498154469008E-3</v>
      </c>
      <c r="F190" s="51"/>
    </row>
    <row r="191" spans="1:6" ht="15.75" customHeight="1" x14ac:dyDescent="0.25">
      <c r="A191" t="str">
        <f t="shared" si="9"/>
        <v>LUANCAR S.A.</v>
      </c>
      <c r="C191" s="66">
        <f t="shared" si="10"/>
        <v>1646795</v>
      </c>
      <c r="D191" s="24">
        <f t="shared" si="11"/>
        <v>1097.8633333333332</v>
      </c>
      <c r="E191" s="50">
        <f t="shared" si="8"/>
        <v>2.1810285696235632E-4</v>
      </c>
      <c r="F191" s="51"/>
    </row>
    <row r="192" spans="1:6" ht="15.75" customHeight="1" x14ac:dyDescent="0.25">
      <c r="A192" t="str">
        <f t="shared" si="9"/>
        <v>LUGO MAXIMILIANO JAVIER</v>
      </c>
      <c r="C192" s="66">
        <f t="shared" si="10"/>
        <v>5424290.8499999996</v>
      </c>
      <c r="D192" s="24">
        <f t="shared" si="11"/>
        <v>3616.1938999999998</v>
      </c>
      <c r="E192" s="50">
        <f t="shared" si="8"/>
        <v>7.1839745164381009E-4</v>
      </c>
      <c r="F192" s="51"/>
    </row>
    <row r="193" spans="1:6" ht="15.75" customHeight="1" x14ac:dyDescent="0.25">
      <c r="A193" t="str">
        <f t="shared" si="9"/>
        <v>LUMATEC SRL</v>
      </c>
      <c r="C193" s="66">
        <f t="shared" si="10"/>
        <v>374765.85</v>
      </c>
      <c r="D193" s="24">
        <f t="shared" si="11"/>
        <v>249.84389999999999</v>
      </c>
      <c r="E193" s="50">
        <f t="shared" si="8"/>
        <v>4.9634291200134738E-5</v>
      </c>
      <c r="F193" s="51"/>
    </row>
    <row r="194" spans="1:6" ht="15.75" customHeight="1" x14ac:dyDescent="0.25">
      <c r="A194" t="str">
        <f t="shared" si="9"/>
        <v>M D Q QUIMICA GARVEY S A</v>
      </c>
      <c r="C194" s="66">
        <f t="shared" si="10"/>
        <v>6171179.2599999998</v>
      </c>
      <c r="D194" s="24">
        <f t="shared" si="11"/>
        <v>4114.1195066666669</v>
      </c>
      <c r="E194" s="50">
        <f t="shared" si="8"/>
        <v>8.1731595458623579E-4</v>
      </c>
      <c r="F194" s="51"/>
    </row>
    <row r="195" spans="1:6" ht="15.75" customHeight="1" x14ac:dyDescent="0.25">
      <c r="A195" t="str">
        <f t="shared" si="9"/>
        <v>M.F. S.A.</v>
      </c>
      <c r="C195" s="66">
        <f t="shared" si="10"/>
        <v>25535074.550000001</v>
      </c>
      <c r="D195" s="24">
        <f t="shared" si="11"/>
        <v>17023.383033333335</v>
      </c>
      <c r="E195" s="50">
        <f t="shared" si="8"/>
        <v>3.3818858522777617E-3</v>
      </c>
      <c r="F195" s="51"/>
    </row>
    <row r="196" spans="1:6" ht="15.75" customHeight="1" x14ac:dyDescent="0.25">
      <c r="A196" t="str">
        <f t="shared" si="9"/>
        <v>MADERAS MISIONES S. A.</v>
      </c>
      <c r="C196" s="66">
        <f t="shared" si="10"/>
        <v>1093788.02</v>
      </c>
      <c r="D196" s="24">
        <f t="shared" si="11"/>
        <v>729.19201333333331</v>
      </c>
      <c r="E196" s="50">
        <f t="shared" si="8"/>
        <v>1.4486216685938381E-4</v>
      </c>
      <c r="F196" s="51"/>
    </row>
    <row r="197" spans="1:6" ht="15.75" customHeight="1" x14ac:dyDescent="0.25">
      <c r="A197" t="str">
        <f t="shared" si="9"/>
        <v>MALEVO MEDINA BUZOS S.R.L.</v>
      </c>
      <c r="C197" s="66">
        <f t="shared" si="10"/>
        <v>1400000</v>
      </c>
      <c r="D197" s="24">
        <f t="shared" si="11"/>
        <v>933.33333333333337</v>
      </c>
      <c r="E197" s="50">
        <f t="shared" ref="E197:E260" si="12">+D197/$D$335</f>
        <v>1.8541712826872738E-4</v>
      </c>
      <c r="F197" s="51"/>
    </row>
    <row r="198" spans="1:6" ht="15.75" customHeight="1" x14ac:dyDescent="0.25">
      <c r="A198" t="str">
        <f t="shared" ref="A198:A261" si="13">+B545</f>
        <v>MANGIATERRA RICARDO</v>
      </c>
      <c r="C198" s="66">
        <f t="shared" ref="C198:C261" si="14">+K545</f>
        <v>216400</v>
      </c>
      <c r="D198" s="24">
        <f t="shared" ref="D198:D261" si="15">+C198/$D$3</f>
        <v>144.26666666666668</v>
      </c>
      <c r="E198" s="50">
        <f t="shared" si="12"/>
        <v>2.8660190398109002E-5</v>
      </c>
      <c r="F198" s="51"/>
    </row>
    <row r="199" spans="1:6" ht="15.75" customHeight="1" x14ac:dyDescent="0.25">
      <c r="A199" t="str">
        <f t="shared" si="13"/>
        <v>MANTENIMIENTOS SUDESTE EMPRESA DE SERVICIOS SRL</v>
      </c>
      <c r="C199" s="66">
        <f t="shared" si="14"/>
        <v>12259373.41</v>
      </c>
      <c r="D199" s="24">
        <f t="shared" si="15"/>
        <v>8172.9156066666665</v>
      </c>
      <c r="E199" s="50">
        <f t="shared" si="12"/>
        <v>1.6236412943258539E-3</v>
      </c>
      <c r="F199" s="51"/>
    </row>
    <row r="200" spans="1:6" ht="15.75" customHeight="1" x14ac:dyDescent="0.25">
      <c r="A200" t="str">
        <f t="shared" si="13"/>
        <v>MAR DEL PLATA PORT MANAGEMENT SRL</v>
      </c>
      <c r="C200" s="66">
        <f t="shared" si="14"/>
        <v>111040577.75</v>
      </c>
      <c r="D200" s="24">
        <f t="shared" si="15"/>
        <v>74027.051833333331</v>
      </c>
      <c r="E200" s="50">
        <f t="shared" si="12"/>
        <v>1.4706303605503816E-2</v>
      </c>
      <c r="F200" s="51"/>
    </row>
    <row r="201" spans="1:6" ht="15.75" customHeight="1" x14ac:dyDescent="0.25">
      <c r="A201" t="str">
        <f t="shared" si="13"/>
        <v>MAR DEL PLATA SODA S A</v>
      </c>
      <c r="C201" s="66">
        <f t="shared" si="14"/>
        <v>537704.43999999994</v>
      </c>
      <c r="D201" s="24">
        <f t="shared" si="15"/>
        <v>358.46962666666661</v>
      </c>
      <c r="E201" s="50">
        <f t="shared" si="12"/>
        <v>7.1214009372960144E-5</v>
      </c>
      <c r="F201" s="51"/>
    </row>
    <row r="202" spans="1:6" ht="15.75" customHeight="1" x14ac:dyDescent="0.25">
      <c r="A202" t="str">
        <f t="shared" si="13"/>
        <v>MARCELO D. RODRIGUEZ CONSULTORES TRIBUTARIOS Y AUDITORES ASOCIADOS S.A.</v>
      </c>
      <c r="C202" s="66">
        <f t="shared" si="14"/>
        <v>6036690</v>
      </c>
      <c r="D202" s="24">
        <f t="shared" si="15"/>
        <v>4024.46</v>
      </c>
      <c r="E202" s="50">
        <f t="shared" si="12"/>
        <v>7.9950408860610274E-4</v>
      </c>
      <c r="F202" s="51"/>
    </row>
    <row r="203" spans="1:6" ht="15.75" customHeight="1" x14ac:dyDescent="0.25">
      <c r="A203" t="str">
        <f t="shared" si="13"/>
        <v>MARESAT COMMUNICATIONS LLP</v>
      </c>
      <c r="C203" s="66">
        <f t="shared" si="14"/>
        <v>132604827.2</v>
      </c>
      <c r="D203" s="24">
        <f t="shared" si="15"/>
        <v>88403.218133333328</v>
      </c>
      <c r="E203" s="50">
        <f t="shared" si="12"/>
        <v>1.7562290181424876E-2</v>
      </c>
      <c r="F203" s="51"/>
    </row>
    <row r="204" spans="1:6" ht="15.75" customHeight="1" x14ac:dyDescent="0.25">
      <c r="A204" t="str">
        <f t="shared" si="13"/>
        <v>MARITIMA GITAN SA</v>
      </c>
      <c r="C204" s="66">
        <f t="shared" si="14"/>
        <v>30696237</v>
      </c>
      <c r="D204" s="24">
        <f t="shared" si="15"/>
        <v>20464.157999999999</v>
      </c>
      <c r="E204" s="50">
        <f t="shared" si="12"/>
        <v>4.0654343665687534E-3</v>
      </c>
      <c r="F204" s="51"/>
    </row>
    <row r="205" spans="1:6" ht="15.75" customHeight="1" x14ac:dyDescent="0.25">
      <c r="A205" t="str">
        <f t="shared" si="13"/>
        <v>MARITIMA OBISPO S.A.S.</v>
      </c>
      <c r="C205" s="66">
        <f t="shared" si="14"/>
        <v>2365000</v>
      </c>
      <c r="D205" s="24">
        <f t="shared" si="15"/>
        <v>1576.6666666666667</v>
      </c>
      <c r="E205" s="50">
        <f t="shared" si="12"/>
        <v>3.1322250596824304E-4</v>
      </c>
      <c r="F205" s="51"/>
    </row>
    <row r="206" spans="1:6" ht="15.75" customHeight="1" x14ac:dyDescent="0.25">
      <c r="A206" t="str">
        <f t="shared" si="13"/>
        <v>MARTINEZ JUAN ALBERTO BENJAMIN</v>
      </c>
      <c r="C206" s="66">
        <f t="shared" si="14"/>
        <v>393169.69</v>
      </c>
      <c r="D206" s="24">
        <f t="shared" si="15"/>
        <v>262.11312666666669</v>
      </c>
      <c r="E206" s="50">
        <f t="shared" si="12"/>
        <v>5.2071710601504129E-5</v>
      </c>
      <c r="F206" s="51"/>
    </row>
    <row r="207" spans="1:6" ht="15.75" customHeight="1" x14ac:dyDescent="0.25">
      <c r="A207" t="str">
        <f t="shared" si="13"/>
        <v>MARTINEZ ROSANA PATRICIA</v>
      </c>
      <c r="C207" s="66">
        <f t="shared" si="14"/>
        <v>2039334</v>
      </c>
      <c r="D207" s="24">
        <f t="shared" si="15"/>
        <v>1359.556</v>
      </c>
      <c r="E207" s="50">
        <f t="shared" si="12"/>
        <v>2.7009103847198344E-4</v>
      </c>
      <c r="F207" s="51"/>
    </row>
    <row r="208" spans="1:6" ht="15.75" customHeight="1" x14ac:dyDescent="0.25">
      <c r="A208" t="str">
        <f t="shared" si="13"/>
        <v>MASSA LUIS ALEJANDRO</v>
      </c>
      <c r="C208" s="66">
        <f t="shared" si="14"/>
        <v>2121275.2000000002</v>
      </c>
      <c r="D208" s="24">
        <f t="shared" si="15"/>
        <v>1414.1834666666668</v>
      </c>
      <c r="E208" s="50">
        <f t="shared" si="12"/>
        <v>2.8094339703690739E-4</v>
      </c>
      <c r="F208" s="51"/>
    </row>
    <row r="209" spans="1:6" ht="15.75" customHeight="1" x14ac:dyDescent="0.25">
      <c r="A209" t="str">
        <f t="shared" si="13"/>
        <v>MATTINA HNOS S.A.C.I.A.N.</v>
      </c>
      <c r="C209" s="66">
        <f t="shared" si="14"/>
        <v>37845244.920000002</v>
      </c>
      <c r="D209" s="24">
        <f t="shared" si="15"/>
        <v>25230.163280000001</v>
      </c>
      <c r="E209" s="50">
        <f t="shared" si="12"/>
        <v>5.0122547369236018E-3</v>
      </c>
      <c r="F209" s="51"/>
    </row>
    <row r="210" spans="1:6" ht="15.75" customHeight="1" x14ac:dyDescent="0.25">
      <c r="A210" t="str">
        <f t="shared" si="13"/>
        <v>MAYEKAWA ARGENTINA S.A.</v>
      </c>
      <c r="C210" s="66">
        <f t="shared" si="14"/>
        <v>44800717.850000001</v>
      </c>
      <c r="D210" s="24">
        <f t="shared" si="15"/>
        <v>29867.145233333333</v>
      </c>
      <c r="E210" s="50">
        <f t="shared" si="12"/>
        <v>5.9334431772317953E-3</v>
      </c>
      <c r="F210" s="51"/>
    </row>
    <row r="211" spans="1:6" ht="15.75" customHeight="1" x14ac:dyDescent="0.25">
      <c r="A211" t="str">
        <f t="shared" si="13"/>
        <v>MECHA GRANDMA GROUP 2023 S.A</v>
      </c>
      <c r="C211" s="66">
        <f t="shared" si="14"/>
        <v>260000</v>
      </c>
      <c r="D211" s="24">
        <f t="shared" si="15"/>
        <v>173.33333333333334</v>
      </c>
      <c r="E211" s="50">
        <f t="shared" si="12"/>
        <v>3.4434609535620798E-5</v>
      </c>
      <c r="F211" s="51"/>
    </row>
    <row r="212" spans="1:6" ht="15.75" customHeight="1" x14ac:dyDescent="0.25">
      <c r="A212" t="str">
        <f t="shared" si="13"/>
        <v>MEDINA LEONEL JESUS</v>
      </c>
      <c r="C212" s="66">
        <f t="shared" si="14"/>
        <v>11200000</v>
      </c>
      <c r="D212" s="24">
        <f t="shared" si="15"/>
        <v>7466.666666666667</v>
      </c>
      <c r="E212" s="50">
        <f t="shared" si="12"/>
        <v>1.483337026149819E-3</v>
      </c>
      <c r="F212" s="51"/>
    </row>
    <row r="213" spans="1:6" ht="15.75" customHeight="1" x14ac:dyDescent="0.25">
      <c r="A213" t="str">
        <f t="shared" si="13"/>
        <v>MEDITERRANEAN SHIPPING COMPANY S A</v>
      </c>
      <c r="C213" s="66">
        <f t="shared" si="14"/>
        <v>58760</v>
      </c>
      <c r="D213" s="24">
        <f t="shared" si="15"/>
        <v>39.173333333333332</v>
      </c>
      <c r="E213" s="50">
        <f t="shared" si="12"/>
        <v>7.7822217550502994E-6</v>
      </c>
      <c r="F213" s="51"/>
    </row>
    <row r="214" spans="1:6" ht="15.75" customHeight="1" x14ac:dyDescent="0.25">
      <c r="A214" t="str">
        <f t="shared" si="13"/>
        <v>METALGEN FORJA SRL</v>
      </c>
      <c r="C214" s="66">
        <f t="shared" si="14"/>
        <v>0.01</v>
      </c>
      <c r="D214" s="24">
        <f t="shared" si="15"/>
        <v>6.6666666666666666E-6</v>
      </c>
      <c r="E214" s="50">
        <f t="shared" si="12"/>
        <v>1.3244080590623382E-12</v>
      </c>
      <c r="F214" s="51"/>
    </row>
    <row r="215" spans="1:6" ht="15.75" customHeight="1" x14ac:dyDescent="0.25">
      <c r="A215" t="str">
        <f t="shared" si="13"/>
        <v>MEYER SACIF</v>
      </c>
      <c r="C215" s="66">
        <f t="shared" si="14"/>
        <v>71298.94</v>
      </c>
      <c r="D215" s="24">
        <f t="shared" si="15"/>
        <v>47.532626666666665</v>
      </c>
      <c r="E215" s="50">
        <f t="shared" si="12"/>
        <v>9.4428890738602114E-6</v>
      </c>
      <c r="F215" s="51"/>
    </row>
    <row r="216" spans="1:6" ht="15.75" customHeight="1" x14ac:dyDescent="0.25">
      <c r="A216" t="str">
        <f t="shared" si="13"/>
        <v>MICCIO´S SOCIEDAD ANONIMA</v>
      </c>
      <c r="C216" s="66">
        <f t="shared" si="14"/>
        <v>40247370.020000003</v>
      </c>
      <c r="D216" s="24">
        <f t="shared" si="15"/>
        <v>26831.580013333336</v>
      </c>
      <c r="E216" s="50">
        <f t="shared" si="12"/>
        <v>5.330394121055195E-3</v>
      </c>
      <c r="F216" s="51"/>
    </row>
    <row r="217" spans="1:6" ht="15.75" customHeight="1" x14ac:dyDescent="0.25">
      <c r="A217" t="str">
        <f t="shared" si="13"/>
        <v>MOENS PABLO ENRIQUE</v>
      </c>
      <c r="C217" s="66">
        <f t="shared" si="14"/>
        <v>833250.81</v>
      </c>
      <c r="D217" s="24">
        <f t="shared" si="15"/>
        <v>555.50054</v>
      </c>
      <c r="E217" s="50">
        <f t="shared" si="12"/>
        <v>1.1035640879842213E-4</v>
      </c>
      <c r="F217" s="51"/>
    </row>
    <row r="218" spans="1:6" ht="15.75" customHeight="1" x14ac:dyDescent="0.25">
      <c r="A218" t="str">
        <f t="shared" si="13"/>
        <v>MONITOREO Y VIGILANCIA MEDINILLA S.A</v>
      </c>
      <c r="C218" s="66">
        <f t="shared" si="14"/>
        <v>62551882.549999997</v>
      </c>
      <c r="D218" s="24">
        <f t="shared" si="15"/>
        <v>41701.255033333335</v>
      </c>
      <c r="E218" s="50">
        <f t="shared" si="12"/>
        <v>8.2844217358740858E-3</v>
      </c>
      <c r="F218" s="51"/>
    </row>
    <row r="219" spans="1:6" ht="15.75" customHeight="1" x14ac:dyDescent="0.25">
      <c r="A219" t="str">
        <f t="shared" si="13"/>
        <v>MOREIRA ROLANDO RAMON</v>
      </c>
      <c r="C219" s="66">
        <f t="shared" si="14"/>
        <v>460000.26</v>
      </c>
      <c r="D219" s="24">
        <f t="shared" si="15"/>
        <v>306.66683999999998</v>
      </c>
      <c r="E219" s="50">
        <f t="shared" si="12"/>
        <v>6.092280515147709E-5</v>
      </c>
      <c r="F219" s="51"/>
    </row>
    <row r="220" spans="1:6" ht="15.75" customHeight="1" x14ac:dyDescent="0.25">
      <c r="A220" t="str">
        <f t="shared" si="13"/>
        <v>MORENI HNOS. S.R.L.</v>
      </c>
      <c r="C220" s="66">
        <f t="shared" si="14"/>
        <v>323634.28000000003</v>
      </c>
      <c r="D220" s="24">
        <f t="shared" si="15"/>
        <v>215.75618666666668</v>
      </c>
      <c r="E220" s="50">
        <f t="shared" si="12"/>
        <v>4.2862384862083734E-5</v>
      </c>
      <c r="F220" s="51"/>
    </row>
    <row r="221" spans="1:6" ht="15.75" customHeight="1" x14ac:dyDescent="0.25">
      <c r="A221" t="str">
        <f t="shared" si="13"/>
        <v>MOTORES ELECTRICOS MAR DEL PLATA S.R.L.</v>
      </c>
      <c r="C221" s="66">
        <f t="shared" si="14"/>
        <v>6629590</v>
      </c>
      <c r="D221" s="24">
        <f t="shared" si="15"/>
        <v>4419.7266666666665</v>
      </c>
      <c r="E221" s="50">
        <f t="shared" si="12"/>
        <v>8.7802824242790868E-4</v>
      </c>
      <c r="F221" s="51"/>
    </row>
    <row r="222" spans="1:6" ht="15.75" customHeight="1" x14ac:dyDescent="0.25">
      <c r="A222" t="str">
        <f t="shared" si="13"/>
        <v>N.M.A. NAUTIC TECH ENGINEERING SUPPORT SLU</v>
      </c>
      <c r="C222" s="66">
        <f t="shared" si="14"/>
        <v>13351649.470000001</v>
      </c>
      <c r="D222" s="24">
        <f t="shared" si="15"/>
        <v>8901.0996466666675</v>
      </c>
      <c r="E222" s="50">
        <f t="shared" si="12"/>
        <v>1.7683032159843399E-3</v>
      </c>
      <c r="F222" s="51"/>
    </row>
    <row r="223" spans="1:6" ht="15.75" customHeight="1" x14ac:dyDescent="0.25">
      <c r="A223" t="str">
        <f t="shared" si="13"/>
        <v>NAGODE MARIA SOL</v>
      </c>
      <c r="C223" s="66">
        <f t="shared" si="14"/>
        <v>1964125</v>
      </c>
      <c r="D223" s="24">
        <f t="shared" si="15"/>
        <v>1309.4166666666667</v>
      </c>
      <c r="E223" s="50">
        <f t="shared" si="12"/>
        <v>2.6013029790058155E-4</v>
      </c>
      <c r="F223" s="51"/>
    </row>
    <row r="224" spans="1:6" ht="15.75" customHeight="1" x14ac:dyDescent="0.25">
      <c r="A224" t="str">
        <f t="shared" si="13"/>
        <v>NAUTICAL SRL</v>
      </c>
      <c r="C224" s="66">
        <f t="shared" si="14"/>
        <v>3617900</v>
      </c>
      <c r="D224" s="24">
        <f t="shared" si="15"/>
        <v>2411.9333333333334</v>
      </c>
      <c r="E224" s="50">
        <f t="shared" si="12"/>
        <v>4.7915759168816338E-4</v>
      </c>
      <c r="F224" s="51"/>
    </row>
    <row r="225" spans="1:6" ht="15.75" customHeight="1" x14ac:dyDescent="0.25">
      <c r="A225" t="str">
        <f t="shared" si="13"/>
        <v>NICLAU DESPACHANTES DE ADUANA S.A.</v>
      </c>
      <c r="C225" s="66">
        <f t="shared" si="14"/>
        <v>62061766.770000003</v>
      </c>
      <c r="D225" s="24">
        <f t="shared" si="15"/>
        <v>41374.511180000001</v>
      </c>
      <c r="E225" s="50">
        <f t="shared" si="12"/>
        <v>8.2195104069835226E-3</v>
      </c>
      <c r="F225" s="51"/>
    </row>
    <row r="226" spans="1:6" ht="15.75" customHeight="1" x14ac:dyDescent="0.25">
      <c r="A226" t="str">
        <f t="shared" si="13"/>
        <v>NISENBAUM CARLOS DANIEL</v>
      </c>
      <c r="C226" s="66">
        <f t="shared" si="14"/>
        <v>1360000</v>
      </c>
      <c r="D226" s="24">
        <f t="shared" si="15"/>
        <v>906.66666666666663</v>
      </c>
      <c r="E226" s="50">
        <f t="shared" si="12"/>
        <v>1.8011949603247799E-4</v>
      </c>
      <c r="F226" s="51"/>
    </row>
    <row r="227" spans="1:6" ht="15.75" customHeight="1" x14ac:dyDescent="0.25">
      <c r="A227" t="str">
        <f t="shared" si="13"/>
        <v>NORIOC SERVICIO DE ASISTENCIA TECNICA S.A.</v>
      </c>
      <c r="C227" s="66">
        <f t="shared" si="14"/>
        <v>2905452</v>
      </c>
      <c r="D227" s="24">
        <f t="shared" si="15"/>
        <v>1936.9680000000001</v>
      </c>
      <c r="E227" s="50">
        <f t="shared" si="12"/>
        <v>3.8480040440187888E-4</v>
      </c>
      <c r="F227" s="51"/>
    </row>
    <row r="228" spans="1:6" ht="15.75" customHeight="1" x14ac:dyDescent="0.25">
      <c r="A228" t="str">
        <f t="shared" si="13"/>
        <v>NSM FOODS &amp; LOG S.R.L</v>
      </c>
      <c r="C228" s="66">
        <f t="shared" si="14"/>
        <v>73923544.719999999</v>
      </c>
      <c r="D228" s="24">
        <f t="shared" si="15"/>
        <v>49282.363146666663</v>
      </c>
      <c r="E228" s="50">
        <f t="shared" si="12"/>
        <v>9.7904938381623164E-3</v>
      </c>
      <c r="F228" s="51"/>
    </row>
    <row r="229" spans="1:6" ht="15.75" customHeight="1" x14ac:dyDescent="0.25">
      <c r="A229" t="str">
        <f t="shared" si="13"/>
        <v>NUEVA EDISON FARMACEUTICA SCS</v>
      </c>
      <c r="C229" s="66">
        <f t="shared" si="14"/>
        <v>27426599.57</v>
      </c>
      <c r="D229" s="24">
        <f t="shared" si="15"/>
        <v>18284.399713333332</v>
      </c>
      <c r="E229" s="50">
        <f t="shared" si="12"/>
        <v>3.6324009503183661E-3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52196864.899999999</v>
      </c>
      <c r="D230" s="24">
        <f t="shared" si="15"/>
        <v>34797.909933333329</v>
      </c>
      <c r="E230" s="50">
        <f t="shared" si="12"/>
        <v>6.912994853134808E-3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396543.96</v>
      </c>
      <c r="D231" s="24">
        <f t="shared" si="15"/>
        <v>264.36264</v>
      </c>
      <c r="E231" s="50">
        <f t="shared" si="12"/>
        <v>5.2518601639649349E-5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8131200</v>
      </c>
      <c r="D232" s="24">
        <f t="shared" si="15"/>
        <v>5420.8</v>
      </c>
      <c r="E232" s="50">
        <f t="shared" si="12"/>
        <v>1.0769026809847686E-3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-3.5735972894455453E-7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11157917.859999999</v>
      </c>
      <c r="D234" s="24">
        <f t="shared" si="15"/>
        <v>7438.6119066666661</v>
      </c>
      <c r="E234" s="50">
        <f t="shared" si="12"/>
        <v>1.4777636336139597E-3</v>
      </c>
      <c r="F234" s="51"/>
    </row>
    <row r="235" spans="1:6" ht="15.75" customHeight="1" x14ac:dyDescent="0.25">
      <c r="A235" t="str">
        <f t="shared" si="13"/>
        <v>OVERRUKA S.R.L.</v>
      </c>
      <c r="C235" s="66">
        <f t="shared" si="14"/>
        <v>2554290.64</v>
      </c>
      <c r="D235" s="24">
        <f t="shared" si="15"/>
        <v>1702.8604266666669</v>
      </c>
      <c r="E235" s="50">
        <f t="shared" si="12"/>
        <v>3.382923108803498E-4</v>
      </c>
      <c r="F235" s="51"/>
    </row>
    <row r="236" spans="1:6" ht="15.75" customHeight="1" x14ac:dyDescent="0.25">
      <c r="A236" t="str">
        <f t="shared" si="13"/>
        <v>PACKAGING Y SERVICIOS S.A.</v>
      </c>
      <c r="C236" s="66">
        <f t="shared" si="14"/>
        <v>16552800</v>
      </c>
      <c r="D236" s="24">
        <f t="shared" si="15"/>
        <v>11035.2</v>
      </c>
      <c r="E236" s="50">
        <f t="shared" si="12"/>
        <v>2.1922661720047074E-3</v>
      </c>
      <c r="F236" s="51"/>
    </row>
    <row r="237" spans="1:6" ht="15.75" customHeight="1" x14ac:dyDescent="0.25">
      <c r="A237" t="str">
        <f t="shared" si="13"/>
        <v>PAMPA Y NOVILLO SA</v>
      </c>
      <c r="C237" s="66">
        <f t="shared" si="14"/>
        <v>7782855.3600000003</v>
      </c>
      <c r="D237" s="24">
        <f t="shared" si="15"/>
        <v>5188.57024</v>
      </c>
      <c r="E237" s="50">
        <f t="shared" si="12"/>
        <v>1.0307676361300516E-3</v>
      </c>
      <c r="F237" s="51"/>
    </row>
    <row r="238" spans="1:6" ht="15.75" customHeight="1" x14ac:dyDescent="0.25">
      <c r="A238" t="str">
        <f t="shared" si="13"/>
        <v>PARTES INFORMATICAS . COM   S.A.</v>
      </c>
      <c r="C238" s="66">
        <f t="shared" si="14"/>
        <v>71899.990000000005</v>
      </c>
      <c r="D238" s="24">
        <f t="shared" si="15"/>
        <v>47.933326666666673</v>
      </c>
      <c r="E238" s="50">
        <f t="shared" si="12"/>
        <v>9.522492620250154E-6</v>
      </c>
      <c r="F238" s="51"/>
    </row>
    <row r="239" spans="1:6" ht="15.75" customHeight="1" x14ac:dyDescent="0.25">
      <c r="A239" t="str">
        <f t="shared" si="13"/>
        <v>PATAGONIA ESTIBAJES S. A.</v>
      </c>
      <c r="C239" s="66">
        <f t="shared" si="14"/>
        <v>25632784.57</v>
      </c>
      <c r="D239" s="24">
        <f t="shared" si="15"/>
        <v>17088.523046666665</v>
      </c>
      <c r="E239" s="50">
        <f t="shared" si="12"/>
        <v>3.394826646071675E-3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11347503.5</v>
      </c>
      <c r="D240" s="24">
        <f t="shared" si="15"/>
        <v>7565.0023333333329</v>
      </c>
      <c r="E240" s="50">
        <f t="shared" si="12"/>
        <v>1.5028725085638088E-3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3.7278300907078371E-2</v>
      </c>
      <c r="F241" s="51"/>
    </row>
    <row r="242" spans="1:6" ht="15.75" customHeight="1" x14ac:dyDescent="0.25">
      <c r="A242" t="str">
        <f t="shared" si="13"/>
        <v>PICCA GUSTAVO ANDRES</v>
      </c>
      <c r="C242" s="66">
        <f t="shared" si="14"/>
        <v>1000000</v>
      </c>
      <c r="D242" s="24">
        <f t="shared" si="15"/>
        <v>666.66666666666663</v>
      </c>
      <c r="E242" s="50">
        <f t="shared" si="12"/>
        <v>1.3244080590623381E-4</v>
      </c>
      <c r="F242" s="51"/>
    </row>
    <row r="243" spans="1:6" ht="15.75" customHeight="1" x14ac:dyDescent="0.25">
      <c r="A243" t="str">
        <f t="shared" si="13"/>
        <v>PINO FABIAN FERNANDO</v>
      </c>
      <c r="C243" s="66">
        <f t="shared" si="14"/>
        <v>540000</v>
      </c>
      <c r="D243" s="24">
        <f t="shared" si="15"/>
        <v>360</v>
      </c>
      <c r="E243" s="50">
        <f t="shared" si="12"/>
        <v>7.1518035189366261E-5</v>
      </c>
      <c r="F243" s="51"/>
    </row>
    <row r="244" spans="1:6" ht="15.75" customHeight="1" x14ac:dyDescent="0.25">
      <c r="A244" t="str">
        <f t="shared" si="13"/>
        <v>PINTURERIA PLATERO JFJ S.A</v>
      </c>
      <c r="C244" s="66">
        <f t="shared" si="14"/>
        <v>15758326.65</v>
      </c>
      <c r="D244" s="24">
        <f t="shared" si="15"/>
        <v>10505.551100000001</v>
      </c>
      <c r="E244" s="50">
        <f t="shared" si="12"/>
        <v>2.0870454812596819E-3</v>
      </c>
      <c r="F244" s="51"/>
    </row>
    <row r="245" spans="1:6" ht="15.75" customHeight="1" x14ac:dyDescent="0.25">
      <c r="A245" t="str">
        <f t="shared" si="13"/>
        <v>PLUMIER S.R.L.</v>
      </c>
      <c r="C245" s="66">
        <f t="shared" si="14"/>
        <v>1660379.87</v>
      </c>
      <c r="D245" s="24">
        <f t="shared" si="15"/>
        <v>1106.9199133333334</v>
      </c>
      <c r="E245" s="50">
        <f t="shared" si="12"/>
        <v>2.1990204809328777E-4</v>
      </c>
      <c r="F245" s="51"/>
    </row>
    <row r="246" spans="1:6" ht="15.75" customHeight="1" x14ac:dyDescent="0.25">
      <c r="A246" t="str">
        <f t="shared" si="13"/>
        <v>PLUS TEL SRL</v>
      </c>
      <c r="C246" s="66">
        <f t="shared" si="14"/>
        <v>140000</v>
      </c>
      <c r="D246" s="24">
        <f t="shared" si="15"/>
        <v>93.333333333333329</v>
      </c>
      <c r="E246" s="50">
        <f t="shared" si="12"/>
        <v>1.8541712826872735E-5</v>
      </c>
      <c r="F246" s="51"/>
    </row>
    <row r="247" spans="1:6" ht="15.75" customHeight="1" x14ac:dyDescent="0.25">
      <c r="A247" t="str">
        <f t="shared" si="13"/>
        <v>PM REFRIGERACION INDUSTRIAL S.A</v>
      </c>
      <c r="C247" s="66">
        <f t="shared" si="14"/>
        <v>91800000</v>
      </c>
      <c r="D247" s="24">
        <f t="shared" si="15"/>
        <v>61200</v>
      </c>
      <c r="E247" s="50">
        <f t="shared" si="12"/>
        <v>1.2158065982192266E-2</v>
      </c>
      <c r="F247" s="51"/>
    </row>
    <row r="248" spans="1:6" ht="15.75" customHeight="1" x14ac:dyDescent="0.25">
      <c r="A248" t="str">
        <f t="shared" si="13"/>
        <v>PMDP SA</v>
      </c>
      <c r="C248" s="66">
        <f t="shared" si="14"/>
        <v>11720994.890000001</v>
      </c>
      <c r="D248" s="24">
        <f t="shared" si="15"/>
        <v>7813.9965933333333</v>
      </c>
      <c r="E248" s="50">
        <f t="shared" si="12"/>
        <v>1.5523380092544484E-3</v>
      </c>
      <c r="F248" s="51"/>
    </row>
    <row r="249" spans="1:6" ht="15.75" customHeight="1" x14ac:dyDescent="0.25">
      <c r="A249" t="str">
        <f t="shared" si="13"/>
        <v>PRESTIGIO SA</v>
      </c>
      <c r="C249" s="66">
        <f t="shared" si="14"/>
        <v>2440854.88</v>
      </c>
      <c r="D249" s="24">
        <f t="shared" si="15"/>
        <v>1627.2365866666667</v>
      </c>
      <c r="E249" s="50">
        <f t="shared" si="12"/>
        <v>3.2326878740736363E-4</v>
      </c>
      <c r="F249" s="51"/>
    </row>
    <row r="250" spans="1:6" ht="15.75" customHeight="1" x14ac:dyDescent="0.25">
      <c r="A250" t="str">
        <f t="shared" si="13"/>
        <v>PRODUCTOS PORCINOS SA</v>
      </c>
      <c r="C250" s="66">
        <f t="shared" si="14"/>
        <v>1408240.08</v>
      </c>
      <c r="D250" s="24">
        <f t="shared" si="15"/>
        <v>938.82672000000002</v>
      </c>
      <c r="E250" s="50">
        <f t="shared" si="12"/>
        <v>1.8650845110465921E-4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16000000</v>
      </c>
      <c r="D251" s="24">
        <f t="shared" si="15"/>
        <v>10666.666666666666</v>
      </c>
      <c r="E251" s="50">
        <f t="shared" si="12"/>
        <v>2.1190528944997409E-3</v>
      </c>
      <c r="F251" s="51"/>
    </row>
    <row r="252" spans="1:6" ht="15.75" customHeight="1" x14ac:dyDescent="0.25">
      <c r="A252" t="str">
        <f t="shared" si="13"/>
        <v>QUIMICA INDUSTRIAL KUBO SA</v>
      </c>
      <c r="C252" s="66">
        <f t="shared" si="14"/>
        <v>1763465.62</v>
      </c>
      <c r="D252" s="24">
        <f t="shared" si="15"/>
        <v>1175.6437466666666</v>
      </c>
      <c r="E252" s="50">
        <f t="shared" si="12"/>
        <v>2.3355480790073629E-4</v>
      </c>
      <c r="F252" s="51"/>
    </row>
    <row r="253" spans="1:6" ht="15.75" customHeight="1" x14ac:dyDescent="0.25">
      <c r="A253" t="str">
        <f t="shared" si="13"/>
        <v>QUINCI JUAN FRANCISCO</v>
      </c>
      <c r="C253" s="66">
        <f t="shared" si="14"/>
        <v>283140</v>
      </c>
      <c r="D253" s="24">
        <f t="shared" si="15"/>
        <v>188.76</v>
      </c>
      <c r="E253" s="50">
        <f t="shared" si="12"/>
        <v>3.7499289784291047E-5</v>
      </c>
      <c r="F253" s="51"/>
    </row>
    <row r="254" spans="1:6" ht="15.75" customHeight="1" x14ac:dyDescent="0.25">
      <c r="A254" t="str">
        <f t="shared" si="13"/>
        <v>REGINALD LEE S.A.</v>
      </c>
      <c r="C254" s="66">
        <f t="shared" si="14"/>
        <v>5034421.4000000004</v>
      </c>
      <c r="D254" s="24">
        <f t="shared" si="15"/>
        <v>3356.2809333333335</v>
      </c>
      <c r="E254" s="50">
        <f t="shared" si="12"/>
        <v>6.6676282748758995E-4</v>
      </c>
      <c r="F254" s="51"/>
    </row>
    <row r="255" spans="1:6" ht="15.75" customHeight="1" x14ac:dyDescent="0.25">
      <c r="A255" t="str">
        <f t="shared" si="13"/>
        <v>REMOLCADORES MAR DEL PLATA S.A. UNION TRANSITORIA</v>
      </c>
      <c r="C255" s="66">
        <f t="shared" si="14"/>
        <v>15794372</v>
      </c>
      <c r="D255" s="24">
        <f t="shared" si="15"/>
        <v>10529.581333333334</v>
      </c>
      <c r="E255" s="50">
        <f t="shared" si="12"/>
        <v>2.0918193564628544E-3</v>
      </c>
      <c r="F255" s="51"/>
    </row>
    <row r="256" spans="1:6" ht="15.75" customHeight="1" x14ac:dyDescent="0.25">
      <c r="A256" t="str">
        <f t="shared" si="13"/>
        <v>REPARACIONES DON MARCOS SRL</v>
      </c>
      <c r="C256" s="66">
        <f t="shared" si="14"/>
        <v>3440000</v>
      </c>
      <c r="D256" s="24">
        <f t="shared" si="15"/>
        <v>2293.3333333333335</v>
      </c>
      <c r="E256" s="50">
        <f t="shared" si="12"/>
        <v>4.5559637231744441E-4</v>
      </c>
      <c r="F256" s="51"/>
    </row>
    <row r="257" spans="1:6" ht="15.75" customHeight="1" x14ac:dyDescent="0.25">
      <c r="A257" t="str">
        <f t="shared" si="13"/>
        <v>RESISTENCIAS MDP S.R.L.</v>
      </c>
      <c r="C257" s="66">
        <f t="shared" si="14"/>
        <v>11345735.25</v>
      </c>
      <c r="D257" s="24">
        <f t="shared" si="15"/>
        <v>7563.8235000000004</v>
      </c>
      <c r="E257" s="50">
        <f t="shared" si="12"/>
        <v>1.5026383201087654E-3</v>
      </c>
      <c r="F257" s="51"/>
    </row>
    <row r="258" spans="1:6" ht="15.75" customHeight="1" x14ac:dyDescent="0.25">
      <c r="A258" t="str">
        <f t="shared" si="13"/>
        <v>RICARTE PAMELA GISELE</v>
      </c>
      <c r="C258" s="66">
        <f t="shared" si="14"/>
        <v>11810019</v>
      </c>
      <c r="D258" s="24">
        <f t="shared" si="15"/>
        <v>7873.3459999999995</v>
      </c>
      <c r="E258" s="50">
        <f t="shared" si="12"/>
        <v>1.5641284341279336E-3</v>
      </c>
      <c r="F258" s="51"/>
    </row>
    <row r="259" spans="1:6" ht="15.75" customHeight="1" x14ac:dyDescent="0.25">
      <c r="A259" t="str">
        <f t="shared" si="13"/>
        <v>ROBERTS OSCAR</v>
      </c>
      <c r="C259" s="66">
        <f t="shared" si="14"/>
        <v>3600000</v>
      </c>
      <c r="D259" s="24">
        <f t="shared" si="15"/>
        <v>2400</v>
      </c>
      <c r="E259" s="50">
        <f t="shared" si="12"/>
        <v>4.7678690126244178E-4</v>
      </c>
      <c r="F259" s="51"/>
    </row>
    <row r="260" spans="1:6" ht="15.75" customHeight="1" x14ac:dyDescent="0.25">
      <c r="A260" t="str">
        <f t="shared" si="13"/>
        <v>RODINIA S.A.</v>
      </c>
      <c r="C260" s="66">
        <f t="shared" si="14"/>
        <v>6964433.2999999998</v>
      </c>
      <c r="D260" s="24">
        <f t="shared" si="15"/>
        <v>4642.9555333333328</v>
      </c>
      <c r="E260" s="50">
        <f t="shared" si="12"/>
        <v>9.2237515893221148E-4</v>
      </c>
      <c r="F260" s="51"/>
    </row>
    <row r="261" spans="1:6" ht="15.75" customHeight="1" x14ac:dyDescent="0.25">
      <c r="A261" t="str">
        <f t="shared" si="13"/>
        <v>RODRIGUEZ ALEJANDRO DANIEL</v>
      </c>
      <c r="C261" s="66">
        <f t="shared" si="14"/>
        <v>3603505.84</v>
      </c>
      <c r="D261" s="24">
        <f t="shared" si="15"/>
        <v>2402.3372266666665</v>
      </c>
      <c r="E261" s="50">
        <f t="shared" ref="E261:E324" si="16">+D261/$D$335</f>
        <v>4.7725121753742009E-4</v>
      </c>
      <c r="F261" s="51"/>
    </row>
    <row r="262" spans="1:6" ht="15.75" customHeight="1" x14ac:dyDescent="0.25">
      <c r="A262" t="str">
        <f t="shared" ref="A262:A325" si="17">+B609</f>
        <v>ROTH SRL</v>
      </c>
      <c r="C262" s="66">
        <f t="shared" ref="C262:C325" si="18">+K609</f>
        <v>2568212.3199999998</v>
      </c>
      <c r="D262" s="24">
        <f t="shared" ref="D262:D325" si="19">+C262/$D$3</f>
        <v>1712.1415466666665</v>
      </c>
      <c r="E262" s="50">
        <f t="shared" si="16"/>
        <v>3.4013610939911845E-4</v>
      </c>
      <c r="F262" s="51"/>
    </row>
    <row r="263" spans="1:6" ht="15.75" customHeight="1" x14ac:dyDescent="0.25">
      <c r="A263" t="str">
        <f t="shared" si="17"/>
        <v>RULEMANES PUERTO S A - (CAE)</v>
      </c>
      <c r="C263" s="66">
        <f t="shared" si="18"/>
        <v>656062.05000000005</v>
      </c>
      <c r="D263" s="24">
        <f t="shared" si="19"/>
        <v>437.37470000000002</v>
      </c>
      <c r="E263" s="50">
        <f t="shared" si="16"/>
        <v>8.6889386626495875E-5</v>
      </c>
      <c r="F263" s="51"/>
    </row>
    <row r="264" spans="1:6" ht="15.75" customHeight="1" x14ac:dyDescent="0.25">
      <c r="A264" t="str">
        <f t="shared" si="17"/>
        <v>SALAS OSCAR LISANDRO</v>
      </c>
      <c r="C264" s="66">
        <f t="shared" si="18"/>
        <v>243100</v>
      </c>
      <c r="D264" s="24">
        <f t="shared" si="19"/>
        <v>162.06666666666666</v>
      </c>
      <c r="E264" s="50">
        <f t="shared" si="16"/>
        <v>3.219635991580544E-5</v>
      </c>
      <c r="F264" s="51"/>
    </row>
    <row r="265" spans="1:6" ht="15.75" customHeight="1" x14ac:dyDescent="0.25">
      <c r="A265" t="str">
        <f t="shared" si="17"/>
        <v>SALEM ALDO ALBERTO Y AICARDI DERNANDO SEBASTIAN S H</v>
      </c>
      <c r="C265" s="66">
        <f t="shared" si="18"/>
        <v>2437230.4</v>
      </c>
      <c r="D265" s="24">
        <f t="shared" si="19"/>
        <v>1624.8202666666666</v>
      </c>
      <c r="E265" s="50">
        <f t="shared" si="16"/>
        <v>3.2278875835517262E-4</v>
      </c>
      <c r="F265" s="51"/>
    </row>
    <row r="266" spans="1:6" ht="15.75" customHeight="1" x14ac:dyDescent="0.25">
      <c r="A266" t="str">
        <f t="shared" si="17"/>
        <v>SALVADOR MALVICA S.R.L.</v>
      </c>
      <c r="C266" s="66">
        <f t="shared" si="18"/>
        <v>3166818.73</v>
      </c>
      <c r="D266" s="24">
        <f t="shared" si="19"/>
        <v>2111.2124866666668</v>
      </c>
      <c r="E266" s="50">
        <f t="shared" si="16"/>
        <v>4.1941602476015593E-4</v>
      </c>
      <c r="F266" s="51"/>
    </row>
    <row r="267" spans="1:6" ht="15.75" customHeight="1" x14ac:dyDescent="0.25">
      <c r="A267" t="str">
        <f t="shared" si="17"/>
        <v>SAMLOG S.R.L.</v>
      </c>
      <c r="C267" s="66">
        <f t="shared" si="18"/>
        <v>9326037.6400000006</v>
      </c>
      <c r="D267" s="24">
        <f t="shared" si="19"/>
        <v>6217.3584266666667</v>
      </c>
      <c r="E267" s="50">
        <f t="shared" si="16"/>
        <v>1.235147940953471E-3</v>
      </c>
      <c r="F267" s="51"/>
    </row>
    <row r="268" spans="1:6" ht="15.75" customHeight="1" x14ac:dyDescent="0.25">
      <c r="A268" t="str">
        <f t="shared" si="17"/>
        <v>SAMULAK PAULO ARMANDO</v>
      </c>
      <c r="C268" s="66">
        <f t="shared" si="18"/>
        <v>17224740</v>
      </c>
      <c r="D268" s="24">
        <f t="shared" si="19"/>
        <v>11483.16</v>
      </c>
      <c r="E268" s="50">
        <f t="shared" si="16"/>
        <v>2.2812584471253419E-3</v>
      </c>
      <c r="F268" s="51"/>
    </row>
    <row r="269" spans="1:6" ht="15.75" customHeight="1" x14ac:dyDescent="0.25">
      <c r="A269" t="str">
        <f t="shared" si="17"/>
        <v>SANKO ELECTRONICA S.R.L.</v>
      </c>
      <c r="C269" s="66">
        <f t="shared" si="18"/>
        <v>1000037</v>
      </c>
      <c r="D269" s="24">
        <f t="shared" si="19"/>
        <v>666.69133333333332</v>
      </c>
      <c r="E269" s="50">
        <f t="shared" si="16"/>
        <v>1.3244570621605235E-4</v>
      </c>
      <c r="F269" s="51"/>
    </row>
    <row r="270" spans="1:6" ht="15.75" customHeight="1" x14ac:dyDescent="0.25">
      <c r="A270" t="str">
        <f t="shared" si="17"/>
        <v>SAVE SRL</v>
      </c>
      <c r="C270" s="66">
        <f t="shared" si="18"/>
        <v>3196491</v>
      </c>
      <c r="D270" s="24">
        <f t="shared" si="19"/>
        <v>2130.9940000000001</v>
      </c>
      <c r="E270" s="50">
        <f t="shared" si="16"/>
        <v>4.2334584411202333E-4</v>
      </c>
      <c r="F270" s="51"/>
    </row>
    <row r="271" spans="1:6" ht="15.75" customHeight="1" x14ac:dyDescent="0.25">
      <c r="A271" t="str">
        <f t="shared" si="17"/>
        <v>SCANIA ARGENTINA SAU</v>
      </c>
      <c r="C271" s="66">
        <f t="shared" si="18"/>
        <v>5488941</v>
      </c>
      <c r="D271" s="24">
        <f t="shared" si="19"/>
        <v>3659.2939999999999</v>
      </c>
      <c r="E271" s="50">
        <f t="shared" si="16"/>
        <v>7.2695976961176896E-4</v>
      </c>
      <c r="F271" s="51"/>
    </row>
    <row r="272" spans="1:6" ht="15.75" customHeight="1" x14ac:dyDescent="0.25">
      <c r="A272" t="str">
        <f t="shared" si="17"/>
        <v>SEA FOOD MEDIA GROUP LTD</v>
      </c>
      <c r="C272" s="66">
        <f t="shared" si="18"/>
        <v>1074310</v>
      </c>
      <c r="D272" s="24">
        <f t="shared" si="19"/>
        <v>716.20666666666671</v>
      </c>
      <c r="E272" s="50">
        <f t="shared" si="16"/>
        <v>1.4228248219312606E-4</v>
      </c>
      <c r="F272" s="51"/>
    </row>
    <row r="273" spans="1:6" ht="15.75" customHeight="1" x14ac:dyDescent="0.25">
      <c r="A273" t="str">
        <f t="shared" si="17"/>
        <v>SEA FREEDOM SA</v>
      </c>
      <c r="C273" s="66">
        <f t="shared" si="18"/>
        <v>99568</v>
      </c>
      <c r="D273" s="24">
        <f t="shared" si="19"/>
        <v>66.37866666666666</v>
      </c>
      <c r="E273" s="50">
        <f t="shared" si="16"/>
        <v>1.3186866162471888E-5</v>
      </c>
      <c r="F273" s="51"/>
    </row>
    <row r="274" spans="1:6" ht="15.75" customHeight="1" x14ac:dyDescent="0.25">
      <c r="A274" t="str">
        <f t="shared" si="17"/>
        <v>SELEC ELECTRICIDAD Y ELECTRONICA S.R.L</v>
      </c>
      <c r="C274" s="66">
        <f t="shared" si="18"/>
        <v>358644</v>
      </c>
      <c r="D274" s="24">
        <f t="shared" si="19"/>
        <v>239.096</v>
      </c>
      <c r="E274" s="50">
        <f t="shared" si="16"/>
        <v>4.7499100393435326E-5</v>
      </c>
      <c r="F274" s="51"/>
    </row>
    <row r="275" spans="1:6" ht="15.75" customHeight="1" x14ac:dyDescent="0.25">
      <c r="A275" t="str">
        <f t="shared" si="17"/>
        <v>SERRANO JORGE ALBERTO</v>
      </c>
      <c r="C275" s="66">
        <f t="shared" si="18"/>
        <v>799180.80000000005</v>
      </c>
      <c r="D275" s="24">
        <f t="shared" si="19"/>
        <v>532.78719999999998</v>
      </c>
      <c r="E275" s="50">
        <f t="shared" si="16"/>
        <v>1.0584414921678868E-4</v>
      </c>
      <c r="F275" s="51"/>
    </row>
    <row r="276" spans="1:6" ht="15.75" customHeight="1" x14ac:dyDescent="0.25">
      <c r="A276" t="str">
        <f t="shared" si="17"/>
        <v>SERRANO LEONARDO DAVID</v>
      </c>
      <c r="C276" s="66">
        <f t="shared" si="18"/>
        <v>18849700</v>
      </c>
      <c r="D276" s="24">
        <f t="shared" si="19"/>
        <v>12566.466666666667</v>
      </c>
      <c r="E276" s="50">
        <f t="shared" si="16"/>
        <v>2.4964694590907358E-3</v>
      </c>
      <c r="F276" s="51"/>
    </row>
    <row r="277" spans="1:6" ht="15.75" customHeight="1" x14ac:dyDescent="0.25">
      <c r="A277" t="str">
        <f t="shared" si="17"/>
        <v>SERVICIOS PORTUARIOS INTEGRADOS S.A.</v>
      </c>
      <c r="C277" s="66">
        <f t="shared" si="18"/>
        <v>1271520271.2</v>
      </c>
      <c r="D277" s="24">
        <f t="shared" si="19"/>
        <v>847680.18080000009</v>
      </c>
      <c r="E277" s="50">
        <f t="shared" si="16"/>
        <v>0.16840116944384101</v>
      </c>
      <c r="F277" s="51"/>
    </row>
    <row r="278" spans="1:6" ht="15.75" customHeight="1" x14ac:dyDescent="0.25">
      <c r="A278" t="str">
        <f t="shared" si="17"/>
        <v>SETEIN PRODUCTOS INDUSTRIALES S.A.</v>
      </c>
      <c r="C278" s="66">
        <f t="shared" si="18"/>
        <v>2096688</v>
      </c>
      <c r="D278" s="24">
        <f t="shared" si="19"/>
        <v>1397.7919999999999</v>
      </c>
      <c r="E278" s="50">
        <f t="shared" si="16"/>
        <v>2.7768704845392955E-4</v>
      </c>
      <c r="F278" s="51"/>
    </row>
    <row r="279" spans="1:6" ht="15.75" customHeight="1" x14ac:dyDescent="0.25">
      <c r="A279" t="str">
        <f t="shared" si="17"/>
        <v>SEYCO S.A.C.I.F.</v>
      </c>
      <c r="C279" s="66">
        <f t="shared" si="18"/>
        <v>3900986.85</v>
      </c>
      <c r="D279" s="24">
        <f t="shared" si="19"/>
        <v>2600.6579000000002</v>
      </c>
      <c r="E279" s="50">
        <f t="shared" si="16"/>
        <v>5.1664984224362054E-4</v>
      </c>
      <c r="F279" s="51"/>
    </row>
    <row r="280" spans="1:6" ht="15.75" customHeight="1" x14ac:dyDescent="0.25">
      <c r="A280" t="str">
        <f t="shared" si="17"/>
        <v>SGD SAN GREGORIO DISTRIBUCIONES S.A.</v>
      </c>
      <c r="C280" s="66">
        <f t="shared" si="18"/>
        <v>2395826.5499999998</v>
      </c>
      <c r="D280" s="24">
        <f t="shared" si="19"/>
        <v>1597.2176999999999</v>
      </c>
      <c r="E280" s="50">
        <f t="shared" si="16"/>
        <v>3.173051990935518E-4</v>
      </c>
      <c r="F280" s="51"/>
    </row>
    <row r="281" spans="1:6" ht="15.75" customHeight="1" x14ac:dyDescent="0.25">
      <c r="A281" t="str">
        <f t="shared" si="17"/>
        <v>SIDERSA SA</v>
      </c>
      <c r="C281" s="66">
        <f t="shared" si="18"/>
        <v>4988288.3</v>
      </c>
      <c r="D281" s="24">
        <f t="shared" si="19"/>
        <v>3325.525533333333</v>
      </c>
      <c r="E281" s="50">
        <f t="shared" si="16"/>
        <v>6.60652922544637E-4</v>
      </c>
      <c r="F281" s="51"/>
    </row>
    <row r="282" spans="1:6" ht="15.75" customHeight="1" x14ac:dyDescent="0.25">
      <c r="A282" t="str">
        <f t="shared" si="17"/>
        <v>SIEBEN SANTIAGO NICOLAS</v>
      </c>
      <c r="C282" s="66">
        <f t="shared" si="18"/>
        <v>44850000</v>
      </c>
      <c r="D282" s="24">
        <f t="shared" si="19"/>
        <v>29900</v>
      </c>
      <c r="E282" s="50">
        <f t="shared" si="16"/>
        <v>5.9399701448945869E-3</v>
      </c>
      <c r="F282" s="51"/>
    </row>
    <row r="283" spans="1:6" ht="15.75" customHeight="1" x14ac:dyDescent="0.25">
      <c r="A283" t="str">
        <f t="shared" si="17"/>
        <v>SIGEVAL SA</v>
      </c>
      <c r="C283" s="66">
        <f t="shared" si="18"/>
        <v>8115779.6100000003</v>
      </c>
      <c r="D283" s="24">
        <f t="shared" si="19"/>
        <v>5410.5197400000006</v>
      </c>
      <c r="E283" s="50">
        <f t="shared" si="16"/>
        <v>1.0748603921057801E-3</v>
      </c>
      <c r="F283" s="51"/>
    </row>
    <row r="284" spans="1:6" ht="15.75" customHeight="1" x14ac:dyDescent="0.25">
      <c r="A284" t="str">
        <f t="shared" si="17"/>
        <v>SIMMONS DE ARGENTINA SAIC</v>
      </c>
      <c r="C284" s="66">
        <f t="shared" si="18"/>
        <v>1861981.01</v>
      </c>
      <c r="D284" s="24">
        <f t="shared" si="19"/>
        <v>1241.3206733333334</v>
      </c>
      <c r="E284" s="50">
        <f t="shared" si="16"/>
        <v>2.4660226554650325E-4</v>
      </c>
      <c r="F284" s="51"/>
    </row>
    <row r="285" spans="1:6" ht="15.75" customHeight="1" x14ac:dyDescent="0.25">
      <c r="A285" t="str">
        <f t="shared" si="17"/>
        <v>SIMONAZZI HUGO OMAR</v>
      </c>
      <c r="C285" s="66">
        <f t="shared" si="18"/>
        <v>9450100</v>
      </c>
      <c r="D285" s="24">
        <f t="shared" si="19"/>
        <v>6300.0666666666666</v>
      </c>
      <c r="E285" s="50">
        <f t="shared" si="16"/>
        <v>1.2515788598945004E-3</v>
      </c>
      <c r="F285" s="51"/>
    </row>
    <row r="286" spans="1:6" ht="15.75" customHeight="1" x14ac:dyDescent="0.25">
      <c r="A286" t="str">
        <f t="shared" si="17"/>
        <v>SKV GROUP S.L.</v>
      </c>
      <c r="C286" s="66">
        <f t="shared" si="18"/>
        <v>25876207.34</v>
      </c>
      <c r="D286" s="24">
        <f t="shared" si="19"/>
        <v>17250.804893333334</v>
      </c>
      <c r="E286" s="50">
        <f t="shared" si="16"/>
        <v>3.4270657539064034E-3</v>
      </c>
      <c r="F286" s="51"/>
    </row>
    <row r="287" spans="1:6" ht="15.75" customHeight="1" x14ac:dyDescent="0.25">
      <c r="A287" t="str">
        <f t="shared" si="17"/>
        <v>SOLARI JOSE JESUS</v>
      </c>
      <c r="C287" s="66">
        <f t="shared" si="18"/>
        <v>2514500</v>
      </c>
      <c r="D287" s="24">
        <f t="shared" si="19"/>
        <v>1676.3333333333333</v>
      </c>
      <c r="E287" s="50">
        <f t="shared" si="16"/>
        <v>3.3302240645122493E-4</v>
      </c>
      <c r="F287" s="51"/>
    </row>
    <row r="288" spans="1:6" ht="15.75" customHeight="1" x14ac:dyDescent="0.25">
      <c r="A288" t="str">
        <f t="shared" si="17"/>
        <v>SUBLIMADOS MAR DEL PLATA SAS</v>
      </c>
      <c r="C288" s="66">
        <f t="shared" si="18"/>
        <v>428340</v>
      </c>
      <c r="D288" s="24">
        <f t="shared" si="19"/>
        <v>285.56</v>
      </c>
      <c r="E288" s="50">
        <f t="shared" si="16"/>
        <v>5.6729694801876195E-5</v>
      </c>
      <c r="F288" s="51"/>
    </row>
    <row r="289" spans="1:6" ht="15.75" customHeight="1" x14ac:dyDescent="0.25">
      <c r="A289" t="str">
        <f t="shared" si="17"/>
        <v>SUCESION DE ARCAMONE ANA</v>
      </c>
      <c r="C289" s="66">
        <f t="shared" si="18"/>
        <v>8240790</v>
      </c>
      <c r="D289" s="24">
        <f t="shared" si="19"/>
        <v>5493.86</v>
      </c>
      <c r="E289" s="50">
        <f t="shared" si="16"/>
        <v>1.0914168689040325E-3</v>
      </c>
      <c r="F289" s="51"/>
    </row>
    <row r="290" spans="1:6" ht="15.75" customHeight="1" x14ac:dyDescent="0.25">
      <c r="A290" t="str">
        <f t="shared" si="17"/>
        <v>SUCESION DE BUONO FILIPPO</v>
      </c>
      <c r="C290" s="66">
        <f t="shared" si="18"/>
        <v>1551429.59</v>
      </c>
      <c r="D290" s="24">
        <f t="shared" si="19"/>
        <v>1034.2863933333333</v>
      </c>
      <c r="E290" s="50">
        <f t="shared" si="16"/>
        <v>2.0547258520637793E-4</v>
      </c>
      <c r="F290" s="51"/>
    </row>
    <row r="291" spans="1:6" ht="15.75" customHeight="1" x14ac:dyDescent="0.25">
      <c r="A291" t="str">
        <f t="shared" si="17"/>
        <v>SULE FERNANDO JOSE</v>
      </c>
      <c r="C291" s="66">
        <f t="shared" si="18"/>
        <v>16710011.470000001</v>
      </c>
      <c r="D291" s="24">
        <f t="shared" si="19"/>
        <v>11140.007646666667</v>
      </c>
      <c r="E291" s="50">
        <f t="shared" si="16"/>
        <v>2.2130873857892112E-3</v>
      </c>
      <c r="F291" s="51"/>
    </row>
    <row r="292" spans="1:6" ht="15.75" customHeight="1" x14ac:dyDescent="0.25">
      <c r="A292" t="str">
        <f t="shared" si="17"/>
        <v>SZANTO JOSE ALEJANDRO</v>
      </c>
      <c r="C292" s="66">
        <f t="shared" si="18"/>
        <v>380000</v>
      </c>
      <c r="D292" s="24">
        <f t="shared" si="19"/>
        <v>253.33333333333334</v>
      </c>
      <c r="E292" s="50">
        <f t="shared" si="16"/>
        <v>5.0327506244368855E-5</v>
      </c>
      <c r="F292" s="51"/>
    </row>
    <row r="293" spans="1:6" ht="15.75" customHeight="1" x14ac:dyDescent="0.25">
      <c r="A293" t="str">
        <f t="shared" si="17"/>
        <v>TAGLIARINI RUBEN OMAR</v>
      </c>
      <c r="C293" s="66">
        <f t="shared" si="18"/>
        <v>1348666</v>
      </c>
      <c r="D293" s="24">
        <f t="shared" si="19"/>
        <v>899.1106666666667</v>
      </c>
      <c r="E293" s="50">
        <f t="shared" si="16"/>
        <v>1.7861841193833676E-4</v>
      </c>
      <c r="F293" s="51"/>
    </row>
    <row r="294" spans="1:6" ht="15.75" customHeight="1" x14ac:dyDescent="0.25">
      <c r="A294" t="str">
        <f t="shared" si="17"/>
        <v>TALLER CENTRO UNION S.A.</v>
      </c>
      <c r="C294" s="66">
        <f t="shared" si="18"/>
        <v>1330000.04</v>
      </c>
      <c r="D294" s="24">
        <f t="shared" si="19"/>
        <v>886.66669333333334</v>
      </c>
      <c r="E294" s="50">
        <f t="shared" si="16"/>
        <v>1.7614627715292321E-4</v>
      </c>
      <c r="F294" s="51"/>
    </row>
    <row r="295" spans="1:6" ht="15.75" customHeight="1" x14ac:dyDescent="0.25">
      <c r="A295" t="str">
        <f t="shared" si="17"/>
        <v>TALLER MCM S.R.L</v>
      </c>
      <c r="C295" s="66">
        <f t="shared" si="18"/>
        <v>54937761.020000003</v>
      </c>
      <c r="D295" s="24">
        <f t="shared" si="19"/>
        <v>36625.174013333337</v>
      </c>
      <c r="E295" s="50">
        <f t="shared" si="16"/>
        <v>7.2760013441728793E-3</v>
      </c>
      <c r="F295" s="51"/>
    </row>
    <row r="296" spans="1:6" ht="15.75" customHeight="1" x14ac:dyDescent="0.25">
      <c r="A296" t="str">
        <f t="shared" si="17"/>
        <v>TALLONE ALEJANDRO ULISES</v>
      </c>
      <c r="C296" s="66">
        <f t="shared" si="18"/>
        <v>1244198.8899999999</v>
      </c>
      <c r="D296" s="24">
        <f t="shared" si="19"/>
        <v>829.46592666666663</v>
      </c>
      <c r="E296" s="50">
        <f t="shared" si="16"/>
        <v>1.6478270369924157E-4</v>
      </c>
      <c r="F296" s="51"/>
    </row>
    <row r="297" spans="1:6" ht="15.75" customHeight="1" x14ac:dyDescent="0.25">
      <c r="A297" t="str">
        <f t="shared" si="17"/>
        <v>TARNOVSKY NADIA LEONOR</v>
      </c>
      <c r="C297" s="66">
        <f t="shared" si="18"/>
        <v>582010</v>
      </c>
      <c r="D297" s="24">
        <f t="shared" si="19"/>
        <v>388.00666666666666</v>
      </c>
      <c r="E297" s="50">
        <f t="shared" si="16"/>
        <v>7.7081873445487151E-5</v>
      </c>
      <c r="F297" s="51"/>
    </row>
    <row r="298" spans="1:6" ht="15.75" customHeight="1" x14ac:dyDescent="0.25">
      <c r="A298" t="str">
        <f t="shared" si="17"/>
        <v>TECNO LUBE S.A.</v>
      </c>
      <c r="C298" s="66">
        <f t="shared" si="18"/>
        <v>263760</v>
      </c>
      <c r="D298" s="24">
        <f t="shared" si="19"/>
        <v>175.84</v>
      </c>
      <c r="E298" s="50">
        <f t="shared" si="16"/>
        <v>3.4932586965828234E-5</v>
      </c>
      <c r="F298" s="51"/>
    </row>
    <row r="299" spans="1:6" ht="15.75" customHeight="1" x14ac:dyDescent="0.25">
      <c r="A299" t="str">
        <f t="shared" si="17"/>
        <v>TECNOPESCA ARGENTINA SA</v>
      </c>
      <c r="C299" s="66">
        <f t="shared" si="18"/>
        <v>1640756.7</v>
      </c>
      <c r="D299" s="24">
        <f t="shared" si="19"/>
        <v>1093.8378</v>
      </c>
      <c r="E299" s="50">
        <f t="shared" si="16"/>
        <v>2.1730313964405274E-4</v>
      </c>
      <c r="F299" s="51"/>
    </row>
    <row r="300" spans="1:6" ht="15.75" customHeight="1" x14ac:dyDescent="0.25">
      <c r="A300" t="str">
        <f t="shared" si="17"/>
        <v>TECVOL S.R.L.</v>
      </c>
      <c r="C300" s="66">
        <f t="shared" si="18"/>
        <v>18417840</v>
      </c>
      <c r="D300" s="24">
        <f t="shared" si="19"/>
        <v>12278.56</v>
      </c>
      <c r="E300" s="50">
        <f t="shared" si="16"/>
        <v>2.4392735726520695E-3</v>
      </c>
      <c r="F300" s="51"/>
    </row>
    <row r="301" spans="1:6" ht="15.75" customHeight="1" x14ac:dyDescent="0.25">
      <c r="A301" t="str">
        <f t="shared" si="17"/>
        <v>TELECOM ARGENTINA SA</v>
      </c>
      <c r="C301" s="66">
        <f t="shared" si="18"/>
        <v>1541059.93</v>
      </c>
      <c r="D301" s="24">
        <f t="shared" si="19"/>
        <v>1027.3732866666667</v>
      </c>
      <c r="E301" s="50">
        <f t="shared" si="16"/>
        <v>2.040992190790043E-4</v>
      </c>
      <c r="F301" s="51"/>
    </row>
    <row r="302" spans="1:6" ht="15.75" customHeight="1" x14ac:dyDescent="0.25">
      <c r="A302" t="str">
        <f t="shared" si="17"/>
        <v>TELEFONICA MOVILES ARGENTINA SA</v>
      </c>
      <c r="C302" s="66">
        <f t="shared" si="18"/>
        <v>36072.33</v>
      </c>
      <c r="D302" s="24">
        <f t="shared" si="19"/>
        <v>24.048220000000001</v>
      </c>
      <c r="E302" s="50">
        <f t="shared" si="16"/>
        <v>4.7774484561156156E-6</v>
      </c>
      <c r="F302" s="51"/>
    </row>
    <row r="303" spans="1:6" ht="15.75" customHeight="1" x14ac:dyDescent="0.25">
      <c r="A303" t="str">
        <f t="shared" si="17"/>
        <v>TENES S.A.</v>
      </c>
      <c r="C303" s="66">
        <f t="shared" si="18"/>
        <v>69000</v>
      </c>
      <c r="D303" s="24">
        <f t="shared" si="19"/>
        <v>46</v>
      </c>
      <c r="E303" s="50">
        <f t="shared" si="16"/>
        <v>9.1384156075301342E-6</v>
      </c>
      <c r="F303" s="51"/>
    </row>
    <row r="304" spans="1:6" ht="15.75" customHeight="1" x14ac:dyDescent="0.25">
      <c r="A304" t="str">
        <f t="shared" si="17"/>
        <v>TEPEDINO FACUNDO EZEQUIEL</v>
      </c>
      <c r="C304" s="66">
        <f t="shared" si="18"/>
        <v>1103520</v>
      </c>
      <c r="D304" s="24">
        <f t="shared" si="19"/>
        <v>735.68</v>
      </c>
      <c r="E304" s="50">
        <f t="shared" si="16"/>
        <v>1.4615107813364714E-4</v>
      </c>
      <c r="F304" s="51"/>
    </row>
    <row r="305" spans="1:6" ht="15.75" customHeight="1" x14ac:dyDescent="0.25">
      <c r="A305" t="str">
        <f t="shared" si="17"/>
        <v>THEISEN SEBASTIAN</v>
      </c>
      <c r="C305" s="66">
        <f t="shared" si="18"/>
        <v>985000</v>
      </c>
      <c r="D305" s="24">
        <f t="shared" si="19"/>
        <v>656.66666666666663</v>
      </c>
      <c r="E305" s="50">
        <f t="shared" si="16"/>
        <v>1.304541938176403E-4</v>
      </c>
      <c r="F305" s="51"/>
    </row>
    <row r="306" spans="1:6" ht="15.75" customHeight="1" x14ac:dyDescent="0.25">
      <c r="A306" t="str">
        <f t="shared" si="17"/>
        <v>TIRION S.R.L.</v>
      </c>
      <c r="C306" s="66">
        <f t="shared" si="18"/>
        <v>827882</v>
      </c>
      <c r="D306" s="24">
        <f t="shared" si="19"/>
        <v>551.92133333333334</v>
      </c>
      <c r="E306" s="50">
        <f t="shared" si="16"/>
        <v>1.0964535927526467E-4</v>
      </c>
      <c r="F306" s="51"/>
    </row>
    <row r="307" spans="1:6" ht="15.75" customHeight="1" x14ac:dyDescent="0.25">
      <c r="A307" t="str">
        <f t="shared" si="17"/>
        <v>TODO BOMBAS S. R. L.</v>
      </c>
      <c r="C307" s="66">
        <f t="shared" si="18"/>
        <v>1173986.01</v>
      </c>
      <c r="D307" s="24">
        <f t="shared" si="19"/>
        <v>782.65733999999998</v>
      </c>
      <c r="E307" s="50">
        <f t="shared" si="16"/>
        <v>1.5548365328704389E-4</v>
      </c>
      <c r="F307" s="51"/>
    </row>
    <row r="308" spans="1:6" ht="15.75" customHeight="1" x14ac:dyDescent="0.25">
      <c r="A308" t="str">
        <f t="shared" si="17"/>
        <v>TODO PARA LA GASTRONOMIA S.A.</v>
      </c>
      <c r="C308" s="66">
        <f t="shared" si="18"/>
        <v>4941107.93</v>
      </c>
      <c r="D308" s="24">
        <f t="shared" si="19"/>
        <v>3294.0719533333331</v>
      </c>
      <c r="E308" s="50">
        <f t="shared" si="16"/>
        <v>6.5440431631888279E-4</v>
      </c>
      <c r="F308" s="51"/>
    </row>
    <row r="309" spans="1:6" ht="15.75" customHeight="1" x14ac:dyDescent="0.25">
      <c r="A309" t="str">
        <f t="shared" si="17"/>
        <v>TOLOSA S.A.</v>
      </c>
      <c r="C309" s="66">
        <f t="shared" si="18"/>
        <v>135524.99</v>
      </c>
      <c r="D309" s="24">
        <f t="shared" si="19"/>
        <v>90.34999333333333</v>
      </c>
      <c r="E309" s="50">
        <f t="shared" si="16"/>
        <v>1.7949038896034279E-5</v>
      </c>
      <c r="F309" s="51"/>
    </row>
    <row r="310" spans="1:6" ht="15.75" customHeight="1" x14ac:dyDescent="0.25">
      <c r="A310" t="str">
        <f t="shared" si="17"/>
        <v>TORRECILLA OSCAR ALBERTO</v>
      </c>
      <c r="C310" s="66">
        <f t="shared" si="18"/>
        <v>18000000</v>
      </c>
      <c r="D310" s="24">
        <f t="shared" si="19"/>
        <v>12000</v>
      </c>
      <c r="E310" s="50">
        <f t="shared" si="16"/>
        <v>2.3839345063122091E-3</v>
      </c>
      <c r="F310" s="51"/>
    </row>
    <row r="311" spans="1:6" ht="15.75" customHeight="1" x14ac:dyDescent="0.25">
      <c r="A311" t="str">
        <f t="shared" si="17"/>
        <v>TRANSMISIONES LORENZANI S.R.L</v>
      </c>
      <c r="C311" s="66">
        <f t="shared" si="18"/>
        <v>589028</v>
      </c>
      <c r="D311" s="24">
        <f t="shared" si="19"/>
        <v>392.68533333333335</v>
      </c>
      <c r="E311" s="50">
        <f t="shared" si="16"/>
        <v>7.8011343021337106E-5</v>
      </c>
      <c r="F311" s="51"/>
    </row>
    <row r="312" spans="1:6" ht="15.75" customHeight="1" x14ac:dyDescent="0.25">
      <c r="A312" t="str">
        <f t="shared" si="17"/>
        <v>TRANSPORTE FORTUNA DEL MAR SA</v>
      </c>
      <c r="C312" s="66">
        <f t="shared" si="18"/>
        <v>24163700</v>
      </c>
      <c r="D312" s="24">
        <f t="shared" si="19"/>
        <v>16109.133333333333</v>
      </c>
      <c r="E312" s="50">
        <f t="shared" si="16"/>
        <v>3.2002599016764622E-3</v>
      </c>
      <c r="F312" s="51"/>
    </row>
    <row r="313" spans="1:6" ht="15.75" customHeight="1" x14ac:dyDescent="0.25">
      <c r="A313" t="str">
        <f t="shared" si="17"/>
        <v>TRANSPORTES SCORDINA SA</v>
      </c>
      <c r="C313" s="66">
        <f t="shared" si="18"/>
        <v>13210715.300000001</v>
      </c>
      <c r="D313" s="24">
        <f t="shared" si="19"/>
        <v>8807.1435333333338</v>
      </c>
      <c r="E313" s="50">
        <f t="shared" si="16"/>
        <v>1.7496377809298137E-3</v>
      </c>
      <c r="F313" s="51"/>
    </row>
    <row r="314" spans="1:6" ht="15.75" customHeight="1" x14ac:dyDescent="0.25">
      <c r="A314" t="str">
        <f t="shared" si="17"/>
        <v>TREMBLAY S.R.L.</v>
      </c>
      <c r="C314" s="66">
        <f t="shared" si="18"/>
        <v>2834433.37</v>
      </c>
      <c r="D314" s="24">
        <f t="shared" si="19"/>
        <v>1889.6222466666668</v>
      </c>
      <c r="E314" s="50">
        <f t="shared" si="16"/>
        <v>3.7539463981032227E-4</v>
      </c>
      <c r="F314" s="51"/>
    </row>
    <row r="315" spans="1:6" ht="15.75" customHeight="1" x14ac:dyDescent="0.25">
      <c r="A315" t="str">
        <f t="shared" si="17"/>
        <v>TRUCHI RUBEN ANGEL</v>
      </c>
      <c r="C315" s="66">
        <f t="shared" si="18"/>
        <v>-592213.12</v>
      </c>
      <c r="D315" s="24">
        <f t="shared" si="19"/>
        <v>-394.80874666666665</v>
      </c>
      <c r="E315" s="50">
        <f t="shared" si="16"/>
        <v>-7.8433182881045159E-5</v>
      </c>
      <c r="F315" s="51"/>
    </row>
    <row r="316" spans="1:6" ht="15.75" customHeight="1" x14ac:dyDescent="0.25">
      <c r="A316" t="str">
        <f t="shared" si="17"/>
        <v>URIARTE MARCELO OSVALDO</v>
      </c>
      <c r="C316" s="66">
        <f t="shared" si="18"/>
        <v>693801.12</v>
      </c>
      <c r="D316" s="24">
        <f t="shared" si="19"/>
        <v>462.53408000000002</v>
      </c>
      <c r="E316" s="50">
        <f t="shared" si="16"/>
        <v>9.1887579471447642E-5</v>
      </c>
      <c r="F316" s="51"/>
    </row>
    <row r="317" spans="1:6" ht="15.75" customHeight="1" x14ac:dyDescent="0.25">
      <c r="A317" t="str">
        <f t="shared" si="17"/>
        <v>URK SA</v>
      </c>
      <c r="C317" s="66">
        <f t="shared" si="18"/>
        <v>9136958.0500000007</v>
      </c>
      <c r="D317" s="24">
        <f t="shared" si="19"/>
        <v>6091.3053666666674</v>
      </c>
      <c r="E317" s="50">
        <f t="shared" si="16"/>
        <v>1.2101060876734508E-3</v>
      </c>
      <c r="F317" s="51"/>
    </row>
    <row r="318" spans="1:6" ht="15.75" customHeight="1" x14ac:dyDescent="0.25">
      <c r="A318" t="str">
        <f t="shared" si="17"/>
        <v>VAZQUEZ DANIEL NORBERTO</v>
      </c>
      <c r="C318" s="66">
        <f t="shared" si="18"/>
        <v>100473650.04000001</v>
      </c>
      <c r="D318" s="24">
        <f t="shared" si="19"/>
        <v>66982.43336000001</v>
      </c>
      <c r="E318" s="50">
        <f t="shared" si="16"/>
        <v>1.3306811183638505E-2</v>
      </c>
      <c r="F318" s="51"/>
    </row>
    <row r="319" spans="1:6" ht="15.75" customHeight="1" x14ac:dyDescent="0.25">
      <c r="A319" t="str">
        <f t="shared" si="17"/>
        <v>VELASCO GUILLERMO DANIEL</v>
      </c>
      <c r="C319" s="66">
        <f t="shared" si="18"/>
        <v>298320</v>
      </c>
      <c r="D319" s="24">
        <f t="shared" si="19"/>
        <v>198.88</v>
      </c>
      <c r="E319" s="50">
        <f t="shared" si="16"/>
        <v>3.9509741217947674E-5</v>
      </c>
      <c r="F319" s="51"/>
    </row>
    <row r="320" spans="1:6" ht="15.75" customHeight="1" x14ac:dyDescent="0.25">
      <c r="A320" t="str">
        <f t="shared" si="17"/>
        <v>VELASQUEZ IARA</v>
      </c>
      <c r="C320" s="66">
        <f t="shared" si="18"/>
        <v>440000</v>
      </c>
      <c r="D320" s="24">
        <f t="shared" si="19"/>
        <v>293.33333333333331</v>
      </c>
      <c r="E320" s="50">
        <f t="shared" si="16"/>
        <v>5.8273954598742883E-5</v>
      </c>
      <c r="F320" s="51"/>
    </row>
    <row r="321" spans="1:6" ht="15.75" customHeight="1" x14ac:dyDescent="0.25">
      <c r="A321" t="str">
        <f t="shared" si="17"/>
        <v>VERON VICTOR RAUL</v>
      </c>
      <c r="C321" s="66">
        <f t="shared" si="18"/>
        <v>5060704</v>
      </c>
      <c r="D321" s="24">
        <f t="shared" si="19"/>
        <v>3373.8026666666665</v>
      </c>
      <c r="E321" s="50">
        <f t="shared" si="16"/>
        <v>6.7024371621290111E-4</v>
      </c>
      <c r="F321" s="51"/>
    </row>
    <row r="322" spans="1:6" ht="15.75" customHeight="1" x14ac:dyDescent="0.25">
      <c r="A322" t="str">
        <f t="shared" si="17"/>
        <v>VICENTE ALDO OMAR</v>
      </c>
      <c r="C322" s="66">
        <f t="shared" si="18"/>
        <v>1936000</v>
      </c>
      <c r="D322" s="24">
        <f t="shared" si="19"/>
        <v>1290.6666666666667</v>
      </c>
      <c r="E322" s="50">
        <f t="shared" si="16"/>
        <v>2.5640540023446869E-4</v>
      </c>
      <c r="F322" s="51"/>
    </row>
    <row r="323" spans="1:6" ht="15.75" customHeight="1" x14ac:dyDescent="0.25">
      <c r="A323" t="str">
        <f t="shared" si="17"/>
        <v>VIENTOS DE LUNA S.A.</v>
      </c>
      <c r="C323" s="66">
        <f t="shared" si="18"/>
        <v>731886.65</v>
      </c>
      <c r="D323" s="24">
        <f t="shared" si="19"/>
        <v>487.92443333333335</v>
      </c>
      <c r="E323" s="50">
        <f t="shared" si="16"/>
        <v>9.6931657758013689E-5</v>
      </c>
      <c r="F323" s="51"/>
    </row>
    <row r="324" spans="1:6" ht="15.75" customHeight="1" x14ac:dyDescent="0.25">
      <c r="A324" t="str">
        <f t="shared" si="17"/>
        <v>VILLAGRA DAVID ERNESTO</v>
      </c>
      <c r="C324" s="66">
        <f t="shared" si="18"/>
        <v>18600000</v>
      </c>
      <c r="D324" s="24">
        <f t="shared" si="19"/>
        <v>12400</v>
      </c>
      <c r="E324" s="50">
        <f t="shared" si="16"/>
        <v>2.4633989898559493E-3</v>
      </c>
      <c r="F324" s="51"/>
    </row>
    <row r="325" spans="1:6" ht="15.75" customHeight="1" x14ac:dyDescent="0.25">
      <c r="A325" t="str">
        <f t="shared" si="17"/>
        <v>VILLAMAGNA HNOS SRL</v>
      </c>
      <c r="C325" s="66">
        <f t="shared" si="18"/>
        <v>15580852.699999999</v>
      </c>
      <c r="D325" s="24">
        <f t="shared" si="19"/>
        <v>10387.235133333334</v>
      </c>
      <c r="E325" s="50">
        <f t="shared" ref="E325:E330" si="20">+D325/$D$335</f>
        <v>2.0635406882943195E-3</v>
      </c>
      <c r="F325" s="51"/>
    </row>
    <row r="326" spans="1:6" ht="15.75" customHeight="1" x14ac:dyDescent="0.25">
      <c r="A326" t="str">
        <f t="shared" ref="A326:A334" si="21">+B673</f>
        <v>VILLAR MARCELA NOELIA</v>
      </c>
      <c r="C326" s="66">
        <f t="shared" ref="C326:C334" si="22">+K673</f>
        <v>5541441.2400000002</v>
      </c>
      <c r="D326" s="24">
        <f t="shared" ref="D326:D334" si="23">+C326/$D$3</f>
        <v>3694.2941600000004</v>
      </c>
      <c r="E326" s="50">
        <f t="shared" si="20"/>
        <v>7.3391294370763979E-4</v>
      </c>
      <c r="F326" s="51"/>
    </row>
    <row r="327" spans="1:6" ht="15.75" customHeight="1" x14ac:dyDescent="0.25">
      <c r="A327" t="str">
        <f t="shared" si="21"/>
        <v>VIOMAR S.A.I.C.</v>
      </c>
      <c r="C327" s="66">
        <f t="shared" si="22"/>
        <v>166430359.61000001</v>
      </c>
      <c r="D327" s="24">
        <f t="shared" si="23"/>
        <v>110953.57307333335</v>
      </c>
      <c r="E327" s="50">
        <f t="shared" si="20"/>
        <v>2.2042170954012709E-2</v>
      </c>
      <c r="F327" s="51"/>
    </row>
    <row r="328" spans="1:6" ht="15.75" customHeight="1" x14ac:dyDescent="0.25">
      <c r="A328" t="str">
        <f t="shared" si="21"/>
        <v>VISION LOGISTIC</v>
      </c>
      <c r="C328" s="66">
        <f t="shared" si="22"/>
        <v>126960497.7</v>
      </c>
      <c r="D328" s="24">
        <f t="shared" si="23"/>
        <v>84640.3318</v>
      </c>
      <c r="E328" s="50">
        <f t="shared" si="20"/>
        <v>1.6814750633644546E-2</v>
      </c>
      <c r="F328" s="51"/>
    </row>
    <row r="329" spans="1:6" ht="15.75" customHeight="1" x14ac:dyDescent="0.25">
      <c r="A329" t="str">
        <f t="shared" si="21"/>
        <v>WANBARU ICE S.A.</v>
      </c>
      <c r="C329" s="66">
        <f t="shared" si="22"/>
        <v>718274.12</v>
      </c>
      <c r="D329" s="24">
        <f t="shared" si="23"/>
        <v>478.8494133333333</v>
      </c>
      <c r="E329" s="50">
        <f t="shared" si="20"/>
        <v>9.5128803314390893E-5</v>
      </c>
      <c r="F329" s="51"/>
    </row>
    <row r="330" spans="1:6" ht="15.75" customHeight="1" x14ac:dyDescent="0.25">
      <c r="A330" t="str">
        <f t="shared" si="21"/>
        <v>WATER NAVAL S.A.S</v>
      </c>
      <c r="C330" s="66">
        <f t="shared" si="22"/>
        <v>11810467.75</v>
      </c>
      <c r="D330" s="24">
        <f t="shared" si="23"/>
        <v>7873.6451666666662</v>
      </c>
      <c r="E330" s="50">
        <f t="shared" si="20"/>
        <v>1.564187866939584E-3</v>
      </c>
      <c r="F330" s="51"/>
    </row>
    <row r="331" spans="1:6" ht="15.75" customHeight="1" x14ac:dyDescent="0.25">
      <c r="A331" t="str">
        <f t="shared" si="21"/>
        <v>WEMAR S R L</v>
      </c>
      <c r="C331" s="66">
        <f t="shared" si="22"/>
        <v>58266315</v>
      </c>
      <c r="D331" s="24">
        <f t="shared" si="23"/>
        <v>38844.21</v>
      </c>
      <c r="E331" s="50">
        <f t="shared" ref="E331:E334" si="24">+D331/$D$335</f>
        <v>7.7168377157864803E-3</v>
      </c>
      <c r="F331" s="51"/>
    </row>
    <row r="332" spans="1:6" ht="15.75" customHeight="1" x14ac:dyDescent="0.25">
      <c r="A332" t="str">
        <f t="shared" si="21"/>
        <v>XYLEM WATER SOLUTIONS ARGENTINA SRL</v>
      </c>
      <c r="C332" s="66">
        <f t="shared" si="22"/>
        <v>11964832.300000001</v>
      </c>
      <c r="D332" s="24">
        <f t="shared" si="23"/>
        <v>7976.5548666666673</v>
      </c>
      <c r="E332" s="50">
        <f t="shared" si="24"/>
        <v>1.5846320323449374E-3</v>
      </c>
      <c r="F332" s="51"/>
    </row>
    <row r="333" spans="1:6" ht="15.75" customHeight="1" x14ac:dyDescent="0.25">
      <c r="A333" t="str">
        <f t="shared" si="21"/>
        <v>Y.C. ARMO-CAS S. A.</v>
      </c>
      <c r="C333" s="66">
        <f t="shared" si="22"/>
        <v>2512775</v>
      </c>
      <c r="D333" s="24">
        <f t="shared" si="23"/>
        <v>1675.1833333333334</v>
      </c>
      <c r="E333" s="50">
        <f t="shared" si="24"/>
        <v>3.327939460610367E-4</v>
      </c>
      <c r="F333" s="51"/>
    </row>
    <row r="334" spans="1:6" ht="15.75" customHeight="1" x14ac:dyDescent="0.25">
      <c r="A334" t="str">
        <f t="shared" si="21"/>
        <v>YPF S.A.</v>
      </c>
      <c r="C334" s="66">
        <f t="shared" si="22"/>
        <v>1414723230.8800001</v>
      </c>
      <c r="D334" s="24">
        <f t="shared" si="23"/>
        <v>943148.8205866667</v>
      </c>
      <c r="E334" s="50">
        <f t="shared" si="24"/>
        <v>0.18736708483201811</v>
      </c>
      <c r="F334" s="51"/>
    </row>
    <row r="335" spans="1:6" ht="18" customHeight="1" x14ac:dyDescent="0.25">
      <c r="A335" s="41" t="s">
        <v>166</v>
      </c>
      <c r="B335" s="42"/>
      <c r="C335" s="43">
        <f>SUM(C5:C334)</f>
        <v>7550543000.380002</v>
      </c>
      <c r="D335" s="43">
        <f t="shared" ref="D335:E335" si="25">SUM(D5:D334)</f>
        <v>5033695.3335866667</v>
      </c>
      <c r="E335" s="43">
        <f t="shared" si="25"/>
        <v>0.99999999999999989</v>
      </c>
      <c r="F335" s="42"/>
    </row>
    <row r="337" spans="1:11" ht="15" customHeight="1" x14ac:dyDescent="0.25">
      <c r="A337" s="72" t="s">
        <v>167</v>
      </c>
      <c r="B337" s="72"/>
      <c r="C337" s="72"/>
      <c r="D337" s="72"/>
      <c r="E337" s="72"/>
      <c r="F337" s="72"/>
    </row>
    <row r="348" spans="1:11" x14ac:dyDescent="0.25">
      <c r="A348" t="s">
        <v>1112</v>
      </c>
    </row>
    <row r="349" spans="1:11" x14ac:dyDescent="0.25">
      <c r="A349" t="s">
        <v>1113</v>
      </c>
    </row>
    <row r="350" spans="1:11" x14ac:dyDescent="0.25">
      <c r="A350" t="s">
        <v>1114</v>
      </c>
    </row>
    <row r="351" spans="1:11" x14ac:dyDescent="0.25">
      <c r="A351" t="s">
        <v>531</v>
      </c>
      <c r="B351" t="s">
        <v>532</v>
      </c>
      <c r="C351" t="s">
        <v>533</v>
      </c>
      <c r="D351" t="s">
        <v>4</v>
      </c>
      <c r="E351" t="s">
        <v>534</v>
      </c>
      <c r="F351" t="s">
        <v>535</v>
      </c>
      <c r="G351" t="s">
        <v>536</v>
      </c>
      <c r="H351" t="s">
        <v>537</v>
      </c>
      <c r="I351" t="s">
        <v>538</v>
      </c>
      <c r="J351" t="s">
        <v>539</v>
      </c>
      <c r="K351" t="s">
        <v>155</v>
      </c>
    </row>
    <row r="352" spans="1:11" x14ac:dyDescent="0.25">
      <c r="A352" t="s">
        <v>1115</v>
      </c>
      <c r="B352" t="s">
        <v>1116</v>
      </c>
      <c r="C352" t="s">
        <v>540</v>
      </c>
      <c r="D352" t="s">
        <v>1117</v>
      </c>
      <c r="E352">
        <v>0</v>
      </c>
      <c r="F352" t="s">
        <v>1118</v>
      </c>
      <c r="G352">
        <v>1047600.14</v>
      </c>
      <c r="H352">
        <v>0</v>
      </c>
      <c r="I352">
        <v>0</v>
      </c>
      <c r="J352">
        <v>0</v>
      </c>
      <c r="K352">
        <v>1047600.14</v>
      </c>
    </row>
    <row r="353" spans="1:11" x14ac:dyDescent="0.25">
      <c r="A353" t="s">
        <v>182</v>
      </c>
      <c r="B353" t="s">
        <v>183</v>
      </c>
      <c r="C353" t="s">
        <v>540</v>
      </c>
      <c r="D353" t="s">
        <v>543</v>
      </c>
      <c r="E353">
        <v>0</v>
      </c>
      <c r="F353" t="s">
        <v>544</v>
      </c>
      <c r="G353">
        <v>15864136.25</v>
      </c>
      <c r="H353">
        <v>0</v>
      </c>
      <c r="I353">
        <v>0</v>
      </c>
      <c r="J353">
        <v>0</v>
      </c>
      <c r="K353">
        <v>15864136.25</v>
      </c>
    </row>
    <row r="354" spans="1:11" x14ac:dyDescent="0.25">
      <c r="A354" t="s">
        <v>184</v>
      </c>
      <c r="B354" t="s">
        <v>185</v>
      </c>
      <c r="C354" t="s">
        <v>540</v>
      </c>
      <c r="D354" t="s">
        <v>545</v>
      </c>
      <c r="E354">
        <v>0</v>
      </c>
      <c r="F354" t="s">
        <v>546</v>
      </c>
      <c r="G354">
        <v>0</v>
      </c>
      <c r="H354">
        <v>0</v>
      </c>
      <c r="I354">
        <v>0</v>
      </c>
      <c r="J354">
        <v>1.08</v>
      </c>
      <c r="K354">
        <v>1.08</v>
      </c>
    </row>
    <row r="355" spans="1:11" x14ac:dyDescent="0.25">
      <c r="A355" t="s">
        <v>1102</v>
      </c>
      <c r="B355" t="s">
        <v>1103</v>
      </c>
      <c r="C355" t="s">
        <v>540</v>
      </c>
      <c r="D355" t="s">
        <v>710</v>
      </c>
      <c r="E355">
        <v>0</v>
      </c>
      <c r="F355" t="s">
        <v>711</v>
      </c>
      <c r="G355">
        <v>440000</v>
      </c>
      <c r="H355">
        <v>0</v>
      </c>
      <c r="I355">
        <v>0</v>
      </c>
      <c r="J355">
        <v>0</v>
      </c>
      <c r="K355">
        <v>440000</v>
      </c>
    </row>
    <row r="356" spans="1:11" x14ac:dyDescent="0.25">
      <c r="A356" t="s">
        <v>1119</v>
      </c>
      <c r="B356" t="s">
        <v>1120</v>
      </c>
      <c r="C356" t="s">
        <v>540</v>
      </c>
      <c r="D356" t="s">
        <v>925</v>
      </c>
      <c r="E356">
        <v>0</v>
      </c>
      <c r="F356" t="s">
        <v>926</v>
      </c>
      <c r="G356">
        <v>0</v>
      </c>
      <c r="H356">
        <v>0</v>
      </c>
      <c r="I356">
        <v>0</v>
      </c>
      <c r="J356">
        <v>401720</v>
      </c>
      <c r="K356">
        <v>401720</v>
      </c>
    </row>
    <row r="357" spans="1:11" x14ac:dyDescent="0.25">
      <c r="A357" t="s">
        <v>188</v>
      </c>
      <c r="B357" t="s">
        <v>189</v>
      </c>
      <c r="C357" t="s">
        <v>540</v>
      </c>
      <c r="D357" t="s">
        <v>547</v>
      </c>
      <c r="E357">
        <v>0</v>
      </c>
      <c r="F357" t="s">
        <v>548</v>
      </c>
      <c r="G357">
        <v>2036360</v>
      </c>
      <c r="H357">
        <v>87000</v>
      </c>
      <c r="I357">
        <v>0</v>
      </c>
      <c r="J357">
        <v>0</v>
      </c>
      <c r="K357">
        <v>2123360</v>
      </c>
    </row>
    <row r="358" spans="1:11" x14ac:dyDescent="0.25">
      <c r="A358" t="s">
        <v>984</v>
      </c>
      <c r="B358" t="s">
        <v>930</v>
      </c>
      <c r="C358" t="s">
        <v>540</v>
      </c>
      <c r="D358" t="s">
        <v>549</v>
      </c>
      <c r="E358">
        <v>0</v>
      </c>
      <c r="F358" t="s">
        <v>550</v>
      </c>
      <c r="G358">
        <v>2766148.88</v>
      </c>
      <c r="H358">
        <v>2758752.76</v>
      </c>
      <c r="I358">
        <v>0</v>
      </c>
      <c r="J358">
        <v>0</v>
      </c>
      <c r="K358">
        <v>5524901.6399999997</v>
      </c>
    </row>
    <row r="359" spans="1:11" x14ac:dyDescent="0.25">
      <c r="A359" t="s">
        <v>190</v>
      </c>
      <c r="B359" t="s">
        <v>191</v>
      </c>
      <c r="C359" t="s">
        <v>540</v>
      </c>
      <c r="D359" t="s">
        <v>545</v>
      </c>
      <c r="E359">
        <v>0</v>
      </c>
      <c r="F359" t="s">
        <v>546</v>
      </c>
      <c r="G359">
        <v>2364196.62</v>
      </c>
      <c r="H359">
        <v>0</v>
      </c>
      <c r="I359">
        <v>0</v>
      </c>
      <c r="J359">
        <v>0</v>
      </c>
      <c r="K359">
        <v>2364196.62</v>
      </c>
    </row>
    <row r="360" spans="1:11" x14ac:dyDescent="0.25">
      <c r="A360" t="s">
        <v>712</v>
      </c>
      <c r="B360" t="s">
        <v>713</v>
      </c>
      <c r="C360" t="s">
        <v>540</v>
      </c>
      <c r="D360" t="s">
        <v>617</v>
      </c>
      <c r="E360">
        <v>0</v>
      </c>
      <c r="F360" t="s">
        <v>618</v>
      </c>
      <c r="G360">
        <v>5483534</v>
      </c>
      <c r="H360">
        <v>1451854.8</v>
      </c>
      <c r="I360">
        <v>0</v>
      </c>
      <c r="J360">
        <v>0</v>
      </c>
      <c r="K360">
        <v>6935388.7999999998</v>
      </c>
    </row>
    <row r="361" spans="1:11" x14ac:dyDescent="0.25">
      <c r="A361" t="s">
        <v>800</v>
      </c>
      <c r="B361" t="s">
        <v>801</v>
      </c>
      <c r="C361" t="s">
        <v>540</v>
      </c>
      <c r="D361" t="s">
        <v>563</v>
      </c>
      <c r="E361">
        <v>0</v>
      </c>
      <c r="F361" t="s">
        <v>564</v>
      </c>
      <c r="G361">
        <v>9486400</v>
      </c>
      <c r="H361">
        <v>0</v>
      </c>
      <c r="I361">
        <v>0</v>
      </c>
      <c r="J361">
        <v>0</v>
      </c>
      <c r="K361">
        <v>9486400</v>
      </c>
    </row>
    <row r="362" spans="1:11" x14ac:dyDescent="0.25">
      <c r="A362" t="s">
        <v>716</v>
      </c>
      <c r="B362" t="s">
        <v>717</v>
      </c>
      <c r="C362" t="s">
        <v>540</v>
      </c>
      <c r="D362" t="s">
        <v>559</v>
      </c>
      <c r="E362">
        <v>0</v>
      </c>
      <c r="F362" t="s">
        <v>560</v>
      </c>
      <c r="G362">
        <v>72114</v>
      </c>
      <c r="H362">
        <v>0</v>
      </c>
      <c r="I362">
        <v>0</v>
      </c>
      <c r="J362">
        <v>0</v>
      </c>
      <c r="K362">
        <v>72114</v>
      </c>
    </row>
    <row r="363" spans="1:11" x14ac:dyDescent="0.25">
      <c r="A363" t="s">
        <v>485</v>
      </c>
      <c r="B363" t="s">
        <v>486</v>
      </c>
      <c r="C363" t="s">
        <v>540</v>
      </c>
      <c r="D363" t="s">
        <v>551</v>
      </c>
      <c r="E363">
        <v>0</v>
      </c>
      <c r="F363" t="s">
        <v>552</v>
      </c>
      <c r="G363">
        <v>30521.040000000001</v>
      </c>
      <c r="H363">
        <v>2097427.31</v>
      </c>
      <c r="I363">
        <v>0</v>
      </c>
      <c r="J363">
        <v>0</v>
      </c>
      <c r="K363">
        <v>2127948.35</v>
      </c>
    </row>
    <row r="364" spans="1:11" x14ac:dyDescent="0.25">
      <c r="A364" t="s">
        <v>1121</v>
      </c>
      <c r="B364" t="s">
        <v>1122</v>
      </c>
      <c r="C364" t="s">
        <v>540</v>
      </c>
      <c r="D364" t="s">
        <v>671</v>
      </c>
      <c r="E364">
        <v>0</v>
      </c>
      <c r="F364" t="s">
        <v>672</v>
      </c>
      <c r="G364">
        <v>189000.02</v>
      </c>
      <c r="H364">
        <v>0</v>
      </c>
      <c r="I364">
        <v>0</v>
      </c>
      <c r="J364">
        <v>0</v>
      </c>
      <c r="K364">
        <v>189000.02</v>
      </c>
    </row>
    <row r="365" spans="1:11" x14ac:dyDescent="0.25">
      <c r="A365" t="s">
        <v>718</v>
      </c>
      <c r="B365" t="s">
        <v>719</v>
      </c>
      <c r="C365" t="s">
        <v>540</v>
      </c>
      <c r="D365" t="s">
        <v>665</v>
      </c>
      <c r="E365">
        <v>0</v>
      </c>
      <c r="F365" t="s">
        <v>666</v>
      </c>
      <c r="G365">
        <v>2635720</v>
      </c>
      <c r="H365">
        <v>0</v>
      </c>
      <c r="I365">
        <v>0</v>
      </c>
      <c r="J365">
        <v>0</v>
      </c>
      <c r="K365">
        <v>2635720</v>
      </c>
    </row>
    <row r="366" spans="1:11" x14ac:dyDescent="0.25">
      <c r="A366" t="s">
        <v>1123</v>
      </c>
      <c r="B366" t="s">
        <v>1124</v>
      </c>
      <c r="C366" t="s">
        <v>540</v>
      </c>
      <c r="D366" t="s">
        <v>663</v>
      </c>
      <c r="E366">
        <v>0</v>
      </c>
      <c r="F366" t="s">
        <v>664</v>
      </c>
      <c r="G366">
        <v>94462.28</v>
      </c>
      <c r="H366">
        <v>0</v>
      </c>
      <c r="I366">
        <v>0</v>
      </c>
      <c r="J366">
        <v>0</v>
      </c>
      <c r="K366">
        <v>94462.28</v>
      </c>
    </row>
    <row r="367" spans="1:11" x14ac:dyDescent="0.25">
      <c r="A367" t="s">
        <v>985</v>
      </c>
      <c r="B367" t="s">
        <v>931</v>
      </c>
      <c r="C367" t="s">
        <v>540</v>
      </c>
      <c r="D367" t="s">
        <v>677</v>
      </c>
      <c r="E367">
        <v>0</v>
      </c>
      <c r="F367" t="s">
        <v>678</v>
      </c>
      <c r="G367">
        <v>0</v>
      </c>
      <c r="H367">
        <v>0</v>
      </c>
      <c r="I367">
        <v>1717000</v>
      </c>
      <c r="J367">
        <v>0</v>
      </c>
      <c r="K367">
        <v>1717000</v>
      </c>
    </row>
    <row r="368" spans="1:11" x14ac:dyDescent="0.25">
      <c r="A368" t="s">
        <v>839</v>
      </c>
      <c r="B368" t="s">
        <v>840</v>
      </c>
      <c r="C368" t="s">
        <v>540</v>
      </c>
      <c r="D368" t="s">
        <v>563</v>
      </c>
      <c r="E368">
        <v>0</v>
      </c>
      <c r="F368" t="s">
        <v>564</v>
      </c>
      <c r="G368">
        <v>6774259</v>
      </c>
      <c r="H368">
        <v>0</v>
      </c>
      <c r="I368">
        <v>0</v>
      </c>
      <c r="J368">
        <v>0</v>
      </c>
      <c r="K368">
        <v>6774259</v>
      </c>
    </row>
    <row r="369" spans="1:11" x14ac:dyDescent="0.25">
      <c r="A369" t="s">
        <v>986</v>
      </c>
      <c r="B369" t="s">
        <v>932</v>
      </c>
      <c r="C369" t="s">
        <v>540</v>
      </c>
      <c r="D369" t="s">
        <v>559</v>
      </c>
      <c r="E369">
        <v>0</v>
      </c>
      <c r="F369" t="s">
        <v>560</v>
      </c>
      <c r="G369">
        <v>0</v>
      </c>
      <c r="H369">
        <v>3385000</v>
      </c>
      <c r="I369">
        <v>0</v>
      </c>
      <c r="J369">
        <v>0</v>
      </c>
      <c r="K369">
        <v>3385000</v>
      </c>
    </row>
    <row r="370" spans="1:11" x14ac:dyDescent="0.25">
      <c r="A370" t="s">
        <v>1125</v>
      </c>
      <c r="B370" t="s">
        <v>1126</v>
      </c>
      <c r="C370" t="s">
        <v>540</v>
      </c>
      <c r="D370" t="s">
        <v>553</v>
      </c>
      <c r="E370">
        <v>0</v>
      </c>
      <c r="F370" t="s">
        <v>554</v>
      </c>
      <c r="G370">
        <v>477363.36</v>
      </c>
      <c r="H370">
        <v>0</v>
      </c>
      <c r="I370">
        <v>0</v>
      </c>
      <c r="J370">
        <v>0</v>
      </c>
      <c r="K370">
        <v>477363.36</v>
      </c>
    </row>
    <row r="371" spans="1:11" x14ac:dyDescent="0.25">
      <c r="A371" t="s">
        <v>987</v>
      </c>
      <c r="B371" t="s">
        <v>933</v>
      </c>
      <c r="C371" t="s">
        <v>540</v>
      </c>
      <c r="D371" t="s">
        <v>563</v>
      </c>
      <c r="E371">
        <v>0</v>
      </c>
      <c r="F371" t="s">
        <v>564</v>
      </c>
      <c r="G371">
        <v>0</v>
      </c>
      <c r="H371">
        <v>30008000</v>
      </c>
      <c r="I371">
        <v>0</v>
      </c>
      <c r="J371">
        <v>0</v>
      </c>
      <c r="K371">
        <v>30008000</v>
      </c>
    </row>
    <row r="372" spans="1:11" x14ac:dyDescent="0.25">
      <c r="A372" t="s">
        <v>841</v>
      </c>
      <c r="B372" t="s">
        <v>842</v>
      </c>
      <c r="C372" t="s">
        <v>540</v>
      </c>
      <c r="D372" t="s">
        <v>633</v>
      </c>
      <c r="E372">
        <v>0</v>
      </c>
      <c r="F372" t="s">
        <v>634</v>
      </c>
      <c r="G372">
        <v>333960</v>
      </c>
      <c r="H372">
        <v>0</v>
      </c>
      <c r="I372">
        <v>0</v>
      </c>
      <c r="J372">
        <v>0</v>
      </c>
      <c r="K372">
        <v>333960</v>
      </c>
    </row>
    <row r="373" spans="1:11" x14ac:dyDescent="0.25">
      <c r="A373" t="s">
        <v>487</v>
      </c>
      <c r="B373" t="s">
        <v>488</v>
      </c>
      <c r="C373" t="s">
        <v>540</v>
      </c>
      <c r="D373" t="s">
        <v>559</v>
      </c>
      <c r="E373">
        <v>0</v>
      </c>
      <c r="F373" t="s">
        <v>560</v>
      </c>
      <c r="G373">
        <v>0</v>
      </c>
      <c r="H373">
        <v>367356</v>
      </c>
      <c r="I373">
        <v>0</v>
      </c>
      <c r="J373">
        <v>0</v>
      </c>
      <c r="K373">
        <v>367356</v>
      </c>
    </row>
    <row r="374" spans="1:11" x14ac:dyDescent="0.25">
      <c r="A374" t="s">
        <v>843</v>
      </c>
      <c r="B374" t="s">
        <v>844</v>
      </c>
      <c r="C374" t="s">
        <v>540</v>
      </c>
      <c r="D374" t="s">
        <v>575</v>
      </c>
      <c r="E374">
        <v>0</v>
      </c>
      <c r="F374" t="s">
        <v>576</v>
      </c>
      <c r="G374">
        <v>3146000</v>
      </c>
      <c r="H374">
        <v>0</v>
      </c>
      <c r="I374">
        <v>0</v>
      </c>
      <c r="J374">
        <v>0</v>
      </c>
      <c r="K374">
        <v>3146000</v>
      </c>
    </row>
    <row r="375" spans="1:11" x14ac:dyDescent="0.25">
      <c r="A375" t="s">
        <v>988</v>
      </c>
      <c r="B375" t="s">
        <v>989</v>
      </c>
      <c r="C375" t="s">
        <v>540</v>
      </c>
      <c r="D375" t="s">
        <v>561</v>
      </c>
      <c r="E375">
        <v>0</v>
      </c>
      <c r="F375" t="s">
        <v>562</v>
      </c>
      <c r="G375">
        <v>3592786.9</v>
      </c>
      <c r="H375">
        <v>0</v>
      </c>
      <c r="I375">
        <v>0</v>
      </c>
      <c r="J375">
        <v>0</v>
      </c>
      <c r="K375">
        <v>3592786.9</v>
      </c>
    </row>
    <row r="376" spans="1:11" x14ac:dyDescent="0.25">
      <c r="A376" t="s">
        <v>845</v>
      </c>
      <c r="B376" t="s">
        <v>846</v>
      </c>
      <c r="C376" t="s">
        <v>540</v>
      </c>
      <c r="D376" t="s">
        <v>847</v>
      </c>
      <c r="E376">
        <v>0</v>
      </c>
      <c r="F376" t="s">
        <v>848</v>
      </c>
      <c r="G376">
        <v>70000</v>
      </c>
      <c r="H376">
        <v>0</v>
      </c>
      <c r="I376">
        <v>0</v>
      </c>
      <c r="J376">
        <v>0</v>
      </c>
      <c r="K376">
        <v>70000</v>
      </c>
    </row>
    <row r="377" spans="1:11" x14ac:dyDescent="0.25">
      <c r="A377" t="s">
        <v>198</v>
      </c>
      <c r="B377" t="s">
        <v>199</v>
      </c>
      <c r="C377" t="s">
        <v>540</v>
      </c>
      <c r="D377" t="s">
        <v>563</v>
      </c>
      <c r="E377">
        <v>0</v>
      </c>
      <c r="F377" t="s">
        <v>564</v>
      </c>
      <c r="G377">
        <v>0</v>
      </c>
      <c r="H377">
        <v>36651807.200000003</v>
      </c>
      <c r="I377">
        <v>35948940</v>
      </c>
      <c r="J377">
        <v>26176.959999999999</v>
      </c>
      <c r="K377">
        <v>72626924.159999996</v>
      </c>
    </row>
    <row r="378" spans="1:11" x14ac:dyDescent="0.25">
      <c r="A378" t="s">
        <v>1127</v>
      </c>
      <c r="B378" t="s">
        <v>1128</v>
      </c>
      <c r="C378" t="s">
        <v>540</v>
      </c>
      <c r="D378" t="s">
        <v>631</v>
      </c>
      <c r="E378">
        <v>0</v>
      </c>
      <c r="F378" t="s">
        <v>632</v>
      </c>
      <c r="G378">
        <v>590003.34</v>
      </c>
      <c r="H378">
        <v>0</v>
      </c>
      <c r="I378">
        <v>0</v>
      </c>
      <c r="J378">
        <v>0</v>
      </c>
      <c r="K378">
        <v>590003.34</v>
      </c>
    </row>
    <row r="379" spans="1:11" x14ac:dyDescent="0.25">
      <c r="A379" t="s">
        <v>990</v>
      </c>
      <c r="B379" t="s">
        <v>934</v>
      </c>
      <c r="C379" t="s">
        <v>540</v>
      </c>
      <c r="D379" t="s">
        <v>993</v>
      </c>
      <c r="E379">
        <v>0</v>
      </c>
      <c r="F379" t="s">
        <v>994</v>
      </c>
      <c r="G379">
        <v>25000</v>
      </c>
      <c r="H379">
        <v>0</v>
      </c>
      <c r="I379">
        <v>0</v>
      </c>
      <c r="J379">
        <v>0</v>
      </c>
      <c r="K379">
        <v>25000</v>
      </c>
    </row>
    <row r="380" spans="1:11" x14ac:dyDescent="0.25">
      <c r="A380" t="s">
        <v>990</v>
      </c>
      <c r="B380" t="s">
        <v>934</v>
      </c>
      <c r="C380" t="s">
        <v>540</v>
      </c>
      <c r="D380" t="s">
        <v>991</v>
      </c>
      <c r="E380">
        <v>0</v>
      </c>
      <c r="F380" t="s">
        <v>992</v>
      </c>
      <c r="G380">
        <v>680000.01</v>
      </c>
      <c r="H380">
        <v>0</v>
      </c>
      <c r="I380">
        <v>0</v>
      </c>
      <c r="J380">
        <v>0</v>
      </c>
      <c r="K380">
        <v>680000.01</v>
      </c>
    </row>
    <row r="381" spans="1:11" x14ac:dyDescent="0.25">
      <c r="A381" t="s">
        <v>1198</v>
      </c>
      <c r="B381" t="s">
        <v>1199</v>
      </c>
      <c r="C381" t="s">
        <v>540</v>
      </c>
      <c r="D381" t="s">
        <v>563</v>
      </c>
      <c r="E381">
        <v>0</v>
      </c>
      <c r="F381" t="s">
        <v>564</v>
      </c>
      <c r="G381">
        <v>163350</v>
      </c>
      <c r="H381">
        <v>0</v>
      </c>
      <c r="I381">
        <v>0</v>
      </c>
      <c r="J381">
        <v>0</v>
      </c>
      <c r="K381">
        <v>163350</v>
      </c>
    </row>
    <row r="382" spans="1:11" x14ac:dyDescent="0.25">
      <c r="A382" t="s">
        <v>802</v>
      </c>
      <c r="B382" t="s">
        <v>803</v>
      </c>
      <c r="C382" t="s">
        <v>540</v>
      </c>
      <c r="D382" t="s">
        <v>545</v>
      </c>
      <c r="E382">
        <v>0</v>
      </c>
      <c r="F382" t="s">
        <v>546</v>
      </c>
      <c r="G382">
        <v>1194607.97</v>
      </c>
      <c r="H382">
        <v>577273.98</v>
      </c>
      <c r="I382">
        <v>0</v>
      </c>
      <c r="J382">
        <v>0</v>
      </c>
      <c r="K382">
        <v>1771881.95</v>
      </c>
    </row>
    <row r="383" spans="1:11" x14ac:dyDescent="0.25">
      <c r="A383" t="s">
        <v>724</v>
      </c>
      <c r="B383" t="s">
        <v>725</v>
      </c>
      <c r="C383" t="s">
        <v>540</v>
      </c>
      <c r="D383" t="s">
        <v>559</v>
      </c>
      <c r="E383">
        <v>0</v>
      </c>
      <c r="F383" t="s">
        <v>560</v>
      </c>
      <c r="G383">
        <v>68500</v>
      </c>
      <c r="H383">
        <v>0</v>
      </c>
      <c r="I383">
        <v>0</v>
      </c>
      <c r="J383">
        <v>0</v>
      </c>
      <c r="K383">
        <v>68500</v>
      </c>
    </row>
    <row r="384" spans="1:11" x14ac:dyDescent="0.25">
      <c r="A384" t="s">
        <v>200</v>
      </c>
      <c r="B384" t="s">
        <v>201</v>
      </c>
      <c r="C384" t="s">
        <v>540</v>
      </c>
      <c r="D384" t="s">
        <v>559</v>
      </c>
      <c r="E384">
        <v>14135220</v>
      </c>
      <c r="F384" t="s">
        <v>560</v>
      </c>
      <c r="G384">
        <v>0</v>
      </c>
      <c r="H384">
        <v>0</v>
      </c>
      <c r="I384">
        <v>0</v>
      </c>
      <c r="J384">
        <v>0</v>
      </c>
      <c r="K384">
        <v>14135220</v>
      </c>
    </row>
    <row r="385" spans="1:11" x14ac:dyDescent="0.25">
      <c r="A385" t="s">
        <v>726</v>
      </c>
      <c r="B385" t="s">
        <v>727</v>
      </c>
      <c r="C385" t="s">
        <v>540</v>
      </c>
      <c r="D385" t="s">
        <v>681</v>
      </c>
      <c r="E385">
        <v>0</v>
      </c>
      <c r="F385" t="s">
        <v>682</v>
      </c>
      <c r="G385">
        <v>656410.01</v>
      </c>
      <c r="H385">
        <v>0</v>
      </c>
      <c r="I385">
        <v>0</v>
      </c>
      <c r="J385">
        <v>0</v>
      </c>
      <c r="K385">
        <v>656410.01</v>
      </c>
    </row>
    <row r="386" spans="1:11" x14ac:dyDescent="0.25">
      <c r="A386" t="s">
        <v>1200</v>
      </c>
      <c r="B386" t="s">
        <v>1201</v>
      </c>
      <c r="C386" t="s">
        <v>540</v>
      </c>
      <c r="D386" t="s">
        <v>565</v>
      </c>
      <c r="E386">
        <v>0</v>
      </c>
      <c r="F386" t="s">
        <v>566</v>
      </c>
      <c r="G386">
        <v>1706862.55</v>
      </c>
      <c r="H386">
        <v>0</v>
      </c>
      <c r="I386">
        <v>0</v>
      </c>
      <c r="J386">
        <v>0</v>
      </c>
      <c r="K386">
        <v>1706862.55</v>
      </c>
    </row>
    <row r="387" spans="1:11" x14ac:dyDescent="0.25">
      <c r="A387" t="s">
        <v>567</v>
      </c>
      <c r="B387" t="s">
        <v>568</v>
      </c>
      <c r="C387" t="s">
        <v>540</v>
      </c>
      <c r="D387" t="s">
        <v>569</v>
      </c>
      <c r="E387">
        <v>0</v>
      </c>
      <c r="F387" t="s">
        <v>570</v>
      </c>
      <c r="G387">
        <v>1422950.32</v>
      </c>
      <c r="H387">
        <v>0</v>
      </c>
      <c r="I387">
        <v>0</v>
      </c>
      <c r="J387">
        <v>0</v>
      </c>
      <c r="K387">
        <v>1422950.32</v>
      </c>
    </row>
    <row r="388" spans="1:11" x14ac:dyDescent="0.25">
      <c r="A388" t="s">
        <v>202</v>
      </c>
      <c r="B388" t="s">
        <v>203</v>
      </c>
      <c r="C388" t="s">
        <v>540</v>
      </c>
      <c r="D388" t="s">
        <v>571</v>
      </c>
      <c r="E388">
        <v>0</v>
      </c>
      <c r="F388" t="s">
        <v>572</v>
      </c>
      <c r="G388">
        <v>2565200</v>
      </c>
      <c r="H388">
        <v>2687652</v>
      </c>
      <c r="I388">
        <v>0</v>
      </c>
      <c r="J388">
        <v>0</v>
      </c>
      <c r="K388">
        <v>5252852</v>
      </c>
    </row>
    <row r="389" spans="1:11" x14ac:dyDescent="0.25">
      <c r="A389" t="s">
        <v>204</v>
      </c>
      <c r="B389" t="s">
        <v>205</v>
      </c>
      <c r="C389" t="s">
        <v>540</v>
      </c>
      <c r="D389" t="s">
        <v>573</v>
      </c>
      <c r="E389">
        <v>0</v>
      </c>
      <c r="F389" t="s">
        <v>574</v>
      </c>
      <c r="G389">
        <v>1387461.75</v>
      </c>
      <c r="H389">
        <v>0</v>
      </c>
      <c r="I389">
        <v>0</v>
      </c>
      <c r="J389">
        <v>0</v>
      </c>
      <c r="K389">
        <v>1387461.75</v>
      </c>
    </row>
    <row r="390" spans="1:11" x14ac:dyDescent="0.25">
      <c r="A390" t="s">
        <v>1129</v>
      </c>
      <c r="B390" t="s">
        <v>1130</v>
      </c>
      <c r="C390" t="s">
        <v>540</v>
      </c>
      <c r="D390" t="s">
        <v>545</v>
      </c>
      <c r="E390">
        <v>0</v>
      </c>
      <c r="F390" t="s">
        <v>546</v>
      </c>
      <c r="G390">
        <v>169543.86</v>
      </c>
      <c r="H390">
        <v>0</v>
      </c>
      <c r="I390">
        <v>0</v>
      </c>
      <c r="J390">
        <v>0</v>
      </c>
      <c r="K390">
        <v>169543.86</v>
      </c>
    </row>
    <row r="391" spans="1:11" x14ac:dyDescent="0.25">
      <c r="A391" t="s">
        <v>489</v>
      </c>
      <c r="B391" t="s">
        <v>490</v>
      </c>
      <c r="C391" t="s">
        <v>540</v>
      </c>
      <c r="D391" t="s">
        <v>563</v>
      </c>
      <c r="E391">
        <v>0</v>
      </c>
      <c r="F391" t="s">
        <v>564</v>
      </c>
      <c r="G391">
        <v>48331.16</v>
      </c>
      <c r="H391">
        <v>119908.88</v>
      </c>
      <c r="I391">
        <v>0</v>
      </c>
      <c r="J391">
        <v>0</v>
      </c>
      <c r="K391">
        <v>168240.04</v>
      </c>
    </row>
    <row r="392" spans="1:11" x14ac:dyDescent="0.25">
      <c r="A392" t="s">
        <v>995</v>
      </c>
      <c r="B392" t="s">
        <v>935</v>
      </c>
      <c r="C392" t="s">
        <v>540</v>
      </c>
      <c r="D392" t="s">
        <v>695</v>
      </c>
      <c r="E392">
        <v>0</v>
      </c>
      <c r="F392" t="s">
        <v>696</v>
      </c>
      <c r="G392">
        <v>3890927.5</v>
      </c>
      <c r="H392">
        <v>0</v>
      </c>
      <c r="I392">
        <v>0</v>
      </c>
      <c r="J392">
        <v>0</v>
      </c>
      <c r="K392">
        <v>3890927.5</v>
      </c>
    </row>
    <row r="393" spans="1:11" x14ac:dyDescent="0.25">
      <c r="A393" t="s">
        <v>208</v>
      </c>
      <c r="B393" t="s">
        <v>209</v>
      </c>
      <c r="C393" t="s">
        <v>540</v>
      </c>
      <c r="D393" t="s">
        <v>577</v>
      </c>
      <c r="E393">
        <v>0</v>
      </c>
      <c r="F393" t="s">
        <v>578</v>
      </c>
      <c r="G393">
        <v>29271366.800000001</v>
      </c>
      <c r="H393">
        <v>0</v>
      </c>
      <c r="I393">
        <v>0</v>
      </c>
      <c r="J393">
        <v>0</v>
      </c>
      <c r="K393">
        <v>29271366.800000001</v>
      </c>
    </row>
    <row r="394" spans="1:11" x14ac:dyDescent="0.25">
      <c r="A394" t="s">
        <v>851</v>
      </c>
      <c r="B394" t="s">
        <v>852</v>
      </c>
      <c r="C394" t="s">
        <v>540</v>
      </c>
      <c r="D394" t="s">
        <v>553</v>
      </c>
      <c r="E394">
        <v>0</v>
      </c>
      <c r="F394" t="s">
        <v>554</v>
      </c>
      <c r="G394">
        <v>3056699.43</v>
      </c>
      <c r="H394">
        <v>0</v>
      </c>
      <c r="I394">
        <v>0</v>
      </c>
      <c r="J394">
        <v>0</v>
      </c>
      <c r="K394">
        <v>3056699.43</v>
      </c>
    </row>
    <row r="395" spans="1:11" x14ac:dyDescent="0.25">
      <c r="A395" t="s">
        <v>210</v>
      </c>
      <c r="B395" t="s">
        <v>211</v>
      </c>
      <c r="C395" t="s">
        <v>540</v>
      </c>
      <c r="D395" t="s">
        <v>579</v>
      </c>
      <c r="E395">
        <v>0</v>
      </c>
      <c r="F395" t="s">
        <v>580</v>
      </c>
      <c r="G395">
        <v>1834739.94</v>
      </c>
      <c r="H395">
        <v>662089.01</v>
      </c>
      <c r="I395">
        <v>0</v>
      </c>
      <c r="J395">
        <v>0</v>
      </c>
      <c r="K395">
        <v>2496828.9500000002</v>
      </c>
    </row>
    <row r="396" spans="1:11" x14ac:dyDescent="0.25">
      <c r="A396" t="s">
        <v>1133</v>
      </c>
      <c r="B396" t="s">
        <v>1134</v>
      </c>
      <c r="C396" t="s">
        <v>540</v>
      </c>
      <c r="D396" t="s">
        <v>603</v>
      </c>
      <c r="E396">
        <v>0</v>
      </c>
      <c r="F396" t="s">
        <v>604</v>
      </c>
      <c r="G396">
        <v>317683.08</v>
      </c>
      <c r="H396">
        <v>0</v>
      </c>
      <c r="I396">
        <v>0</v>
      </c>
      <c r="J396">
        <v>0</v>
      </c>
      <c r="K396">
        <v>317683.08</v>
      </c>
    </row>
    <row r="397" spans="1:11" x14ac:dyDescent="0.25">
      <c r="A397" t="s">
        <v>212</v>
      </c>
      <c r="B397" t="s">
        <v>213</v>
      </c>
      <c r="C397" t="s">
        <v>540</v>
      </c>
      <c r="D397" t="s">
        <v>545</v>
      </c>
      <c r="E397">
        <v>0</v>
      </c>
      <c r="F397" t="s">
        <v>546</v>
      </c>
      <c r="G397">
        <v>2103137.62</v>
      </c>
      <c r="H397">
        <v>5151973.96</v>
      </c>
      <c r="I397">
        <v>0</v>
      </c>
      <c r="J397">
        <v>0</v>
      </c>
      <c r="K397">
        <v>7255111.5800000001</v>
      </c>
    </row>
    <row r="398" spans="1:11" x14ac:dyDescent="0.25">
      <c r="A398" t="s">
        <v>996</v>
      </c>
      <c r="B398" t="s">
        <v>997</v>
      </c>
      <c r="C398" t="s">
        <v>540</v>
      </c>
      <c r="D398" t="s">
        <v>561</v>
      </c>
      <c r="E398">
        <v>0</v>
      </c>
      <c r="F398" t="s">
        <v>562</v>
      </c>
      <c r="G398">
        <v>5834117.8499999996</v>
      </c>
      <c r="H398">
        <v>0</v>
      </c>
      <c r="I398">
        <v>0</v>
      </c>
      <c r="J398">
        <v>0</v>
      </c>
      <c r="K398">
        <v>5834117.8499999996</v>
      </c>
    </row>
    <row r="399" spans="1:11" x14ac:dyDescent="0.25">
      <c r="A399" t="s">
        <v>1135</v>
      </c>
      <c r="B399" t="s">
        <v>1136</v>
      </c>
      <c r="C399" t="s">
        <v>540</v>
      </c>
      <c r="D399" t="s">
        <v>563</v>
      </c>
      <c r="E399">
        <v>0</v>
      </c>
      <c r="F399" t="s">
        <v>564</v>
      </c>
      <c r="G399">
        <v>14859936</v>
      </c>
      <c r="H399">
        <v>0</v>
      </c>
      <c r="I399">
        <v>0</v>
      </c>
      <c r="J399">
        <v>0</v>
      </c>
      <c r="K399">
        <v>14859936</v>
      </c>
    </row>
    <row r="400" spans="1:11" x14ac:dyDescent="0.25">
      <c r="A400" t="s">
        <v>214</v>
      </c>
      <c r="B400" t="s">
        <v>215</v>
      </c>
      <c r="C400" t="s">
        <v>540</v>
      </c>
      <c r="D400" t="s">
        <v>563</v>
      </c>
      <c r="E400">
        <v>0</v>
      </c>
      <c r="F400" t="s">
        <v>564</v>
      </c>
      <c r="G400">
        <v>0</v>
      </c>
      <c r="H400">
        <v>0</v>
      </c>
      <c r="I400">
        <v>0</v>
      </c>
      <c r="J400">
        <v>-0.01</v>
      </c>
      <c r="K400">
        <v>-0.01</v>
      </c>
    </row>
    <row r="401" spans="1:11" x14ac:dyDescent="0.25">
      <c r="A401" t="s">
        <v>1202</v>
      </c>
      <c r="B401" t="s">
        <v>1203</v>
      </c>
      <c r="C401" t="s">
        <v>540</v>
      </c>
      <c r="D401" t="s">
        <v>1063</v>
      </c>
      <c r="E401">
        <v>0</v>
      </c>
      <c r="F401" t="s">
        <v>1064</v>
      </c>
      <c r="G401">
        <v>0</v>
      </c>
      <c r="H401">
        <v>188397</v>
      </c>
      <c r="I401">
        <v>0</v>
      </c>
      <c r="J401">
        <v>0</v>
      </c>
      <c r="K401">
        <v>188397</v>
      </c>
    </row>
    <row r="402" spans="1:11" x14ac:dyDescent="0.25">
      <c r="A402" t="s">
        <v>1104</v>
      </c>
      <c r="B402" t="s">
        <v>1105</v>
      </c>
      <c r="C402" t="s">
        <v>540</v>
      </c>
      <c r="D402" t="s">
        <v>559</v>
      </c>
      <c r="E402">
        <v>0</v>
      </c>
      <c r="F402" t="s">
        <v>560</v>
      </c>
      <c r="G402">
        <v>2295612</v>
      </c>
      <c r="H402">
        <v>0</v>
      </c>
      <c r="I402">
        <v>0</v>
      </c>
      <c r="J402">
        <v>0</v>
      </c>
      <c r="K402">
        <v>2295612</v>
      </c>
    </row>
    <row r="403" spans="1:11" x14ac:dyDescent="0.25">
      <c r="A403" t="s">
        <v>730</v>
      </c>
      <c r="B403" t="s">
        <v>731</v>
      </c>
      <c r="C403" t="s">
        <v>540</v>
      </c>
      <c r="D403" t="s">
        <v>627</v>
      </c>
      <c r="E403">
        <v>0</v>
      </c>
      <c r="F403" t="s">
        <v>628</v>
      </c>
      <c r="G403">
        <v>38783184.060000002</v>
      </c>
      <c r="H403">
        <v>0</v>
      </c>
      <c r="I403">
        <v>0</v>
      </c>
      <c r="J403">
        <v>0</v>
      </c>
      <c r="K403">
        <v>38783184.060000002</v>
      </c>
    </row>
    <row r="404" spans="1:11" x14ac:dyDescent="0.25">
      <c r="A404" t="s">
        <v>216</v>
      </c>
      <c r="B404" t="s">
        <v>217</v>
      </c>
      <c r="C404" t="s">
        <v>540</v>
      </c>
      <c r="D404" t="s">
        <v>581</v>
      </c>
      <c r="E404">
        <v>0</v>
      </c>
      <c r="F404" t="s">
        <v>582</v>
      </c>
      <c r="G404">
        <v>16802651.32</v>
      </c>
      <c r="H404">
        <v>0</v>
      </c>
      <c r="I404">
        <v>0</v>
      </c>
      <c r="J404">
        <v>0</v>
      </c>
      <c r="K404">
        <v>16802651.32</v>
      </c>
    </row>
    <row r="405" spans="1:11" x14ac:dyDescent="0.25">
      <c r="A405" t="s">
        <v>583</v>
      </c>
      <c r="B405" t="s">
        <v>584</v>
      </c>
      <c r="C405" t="s">
        <v>540</v>
      </c>
      <c r="D405" t="s">
        <v>585</v>
      </c>
      <c r="E405">
        <v>0</v>
      </c>
      <c r="F405" t="s">
        <v>586</v>
      </c>
      <c r="G405">
        <v>2079867.79</v>
      </c>
      <c r="H405">
        <v>178708.53</v>
      </c>
      <c r="I405">
        <v>0</v>
      </c>
      <c r="J405">
        <v>0</v>
      </c>
      <c r="K405">
        <v>2258576.3199999998</v>
      </c>
    </row>
    <row r="406" spans="1:11" x14ac:dyDescent="0.25">
      <c r="A406" t="s">
        <v>998</v>
      </c>
      <c r="B406" t="s">
        <v>999</v>
      </c>
      <c r="C406" t="s">
        <v>540</v>
      </c>
      <c r="D406" t="s">
        <v>565</v>
      </c>
      <c r="E406">
        <v>0</v>
      </c>
      <c r="F406" t="s">
        <v>566</v>
      </c>
      <c r="G406">
        <v>0</v>
      </c>
      <c r="H406">
        <v>93840</v>
      </c>
      <c r="I406">
        <v>0</v>
      </c>
      <c r="J406">
        <v>0</v>
      </c>
      <c r="K406">
        <v>93840</v>
      </c>
    </row>
    <row r="407" spans="1:11" x14ac:dyDescent="0.25">
      <c r="A407" t="s">
        <v>1000</v>
      </c>
      <c r="B407" t="s">
        <v>936</v>
      </c>
      <c r="C407" t="s">
        <v>540</v>
      </c>
      <c r="D407" t="s">
        <v>776</v>
      </c>
      <c r="E407">
        <v>0</v>
      </c>
      <c r="F407" t="s">
        <v>777</v>
      </c>
      <c r="G407">
        <v>0</v>
      </c>
      <c r="H407">
        <v>5263500</v>
      </c>
      <c r="I407">
        <v>0</v>
      </c>
      <c r="J407">
        <v>0</v>
      </c>
      <c r="K407">
        <v>5263500</v>
      </c>
    </row>
    <row r="408" spans="1:11" x14ac:dyDescent="0.25">
      <c r="A408" t="s">
        <v>1001</v>
      </c>
      <c r="B408" t="s">
        <v>937</v>
      </c>
      <c r="C408" t="s">
        <v>540</v>
      </c>
      <c r="D408" t="s">
        <v>653</v>
      </c>
      <c r="E408">
        <v>0</v>
      </c>
      <c r="F408" t="s">
        <v>654</v>
      </c>
      <c r="G408">
        <v>0</v>
      </c>
      <c r="H408">
        <v>6775926.2199999997</v>
      </c>
      <c r="I408">
        <v>0</v>
      </c>
      <c r="J408">
        <v>0</v>
      </c>
      <c r="K408">
        <v>6775926.2199999997</v>
      </c>
    </row>
    <row r="409" spans="1:11" x14ac:dyDescent="0.25">
      <c r="A409" t="s">
        <v>853</v>
      </c>
      <c r="B409" t="s">
        <v>854</v>
      </c>
      <c r="C409" t="s">
        <v>540</v>
      </c>
      <c r="D409" t="s">
        <v>631</v>
      </c>
      <c r="E409">
        <v>0</v>
      </c>
      <c r="F409" t="s">
        <v>632</v>
      </c>
      <c r="G409">
        <v>542744.88</v>
      </c>
      <c r="H409">
        <v>0</v>
      </c>
      <c r="I409">
        <v>0</v>
      </c>
      <c r="J409">
        <v>0</v>
      </c>
      <c r="K409">
        <v>542744.88</v>
      </c>
    </row>
    <row r="410" spans="1:11" x14ac:dyDescent="0.25">
      <c r="A410" t="s">
        <v>218</v>
      </c>
      <c r="B410" t="s">
        <v>219</v>
      </c>
      <c r="C410" t="s">
        <v>540</v>
      </c>
      <c r="D410" t="s">
        <v>563</v>
      </c>
      <c r="E410">
        <v>0</v>
      </c>
      <c r="F410" t="s">
        <v>564</v>
      </c>
      <c r="G410">
        <v>0</v>
      </c>
      <c r="H410">
        <v>0</v>
      </c>
      <c r="I410">
        <v>0</v>
      </c>
      <c r="J410">
        <v>217</v>
      </c>
      <c r="K410">
        <v>217</v>
      </c>
    </row>
    <row r="411" spans="1:11" x14ac:dyDescent="0.25">
      <c r="A411" t="s">
        <v>1106</v>
      </c>
      <c r="B411" t="s">
        <v>1107</v>
      </c>
      <c r="C411" t="s">
        <v>540</v>
      </c>
      <c r="D411" t="s">
        <v>615</v>
      </c>
      <c r="E411">
        <v>0</v>
      </c>
      <c r="F411" t="s">
        <v>616</v>
      </c>
      <c r="G411">
        <v>1231795.43</v>
      </c>
      <c r="H411">
        <v>0</v>
      </c>
      <c r="I411">
        <v>0</v>
      </c>
      <c r="J411">
        <v>0</v>
      </c>
      <c r="K411">
        <v>1231795.43</v>
      </c>
    </row>
    <row r="412" spans="1:11" x14ac:dyDescent="0.25">
      <c r="A412" t="s">
        <v>220</v>
      </c>
      <c r="B412" t="s">
        <v>221</v>
      </c>
      <c r="C412" t="s">
        <v>540</v>
      </c>
      <c r="D412" t="s">
        <v>589</v>
      </c>
      <c r="E412">
        <v>0</v>
      </c>
      <c r="F412" t="s">
        <v>590</v>
      </c>
      <c r="G412">
        <v>0</v>
      </c>
      <c r="H412">
        <v>646227.12</v>
      </c>
      <c r="I412">
        <v>0</v>
      </c>
      <c r="J412">
        <v>0</v>
      </c>
      <c r="K412">
        <v>646227.12</v>
      </c>
    </row>
    <row r="413" spans="1:11" x14ac:dyDescent="0.25">
      <c r="A413" t="s">
        <v>222</v>
      </c>
      <c r="B413" t="s">
        <v>223</v>
      </c>
      <c r="C413" t="s">
        <v>540</v>
      </c>
      <c r="D413" t="s">
        <v>591</v>
      </c>
      <c r="E413">
        <v>0</v>
      </c>
      <c r="F413" t="s">
        <v>592</v>
      </c>
      <c r="G413">
        <v>41163831.090000004</v>
      </c>
      <c r="H413">
        <v>0</v>
      </c>
      <c r="I413">
        <v>0</v>
      </c>
      <c r="J413">
        <v>0</v>
      </c>
      <c r="K413">
        <v>41163831.090000004</v>
      </c>
    </row>
    <row r="414" spans="1:11" x14ac:dyDescent="0.25">
      <c r="A414" t="s">
        <v>1137</v>
      </c>
      <c r="B414" t="s">
        <v>1138</v>
      </c>
      <c r="C414" t="s">
        <v>540</v>
      </c>
      <c r="D414" t="s">
        <v>1090</v>
      </c>
      <c r="E414">
        <v>0</v>
      </c>
      <c r="F414" t="s">
        <v>1091</v>
      </c>
      <c r="G414">
        <v>4522375</v>
      </c>
      <c r="H414">
        <v>0</v>
      </c>
      <c r="I414">
        <v>0</v>
      </c>
      <c r="J414">
        <v>0</v>
      </c>
      <c r="K414">
        <v>4522375</v>
      </c>
    </row>
    <row r="415" spans="1:11" x14ac:dyDescent="0.25">
      <c r="A415" t="s">
        <v>732</v>
      </c>
      <c r="B415" t="s">
        <v>733</v>
      </c>
      <c r="C415" t="s">
        <v>540</v>
      </c>
      <c r="D415" t="s">
        <v>691</v>
      </c>
      <c r="E415">
        <v>0</v>
      </c>
      <c r="F415" t="s">
        <v>692</v>
      </c>
      <c r="G415">
        <v>51062</v>
      </c>
      <c r="H415">
        <v>1817783</v>
      </c>
      <c r="I415">
        <v>0</v>
      </c>
      <c r="J415">
        <v>0</v>
      </c>
      <c r="K415">
        <v>1868845</v>
      </c>
    </row>
    <row r="416" spans="1:11" x14ac:dyDescent="0.25">
      <c r="A416" t="s">
        <v>1139</v>
      </c>
      <c r="B416" t="s">
        <v>1140</v>
      </c>
      <c r="C416" t="s">
        <v>540</v>
      </c>
      <c r="D416" t="s">
        <v>857</v>
      </c>
      <c r="E416">
        <v>0</v>
      </c>
      <c r="F416" t="s">
        <v>858</v>
      </c>
      <c r="G416">
        <v>750000</v>
      </c>
      <c r="H416">
        <v>0</v>
      </c>
      <c r="I416">
        <v>0</v>
      </c>
      <c r="J416">
        <v>0</v>
      </c>
      <c r="K416">
        <v>750000</v>
      </c>
    </row>
    <row r="417" spans="1:11" x14ac:dyDescent="0.25">
      <c r="A417" t="s">
        <v>224</v>
      </c>
      <c r="B417" t="s">
        <v>225</v>
      </c>
      <c r="C417" t="s">
        <v>540</v>
      </c>
      <c r="D417" t="s">
        <v>595</v>
      </c>
      <c r="E417">
        <v>0</v>
      </c>
      <c r="F417" t="s">
        <v>596</v>
      </c>
      <c r="G417">
        <v>47360000</v>
      </c>
      <c r="H417">
        <v>15600000</v>
      </c>
      <c r="I417">
        <v>59850000</v>
      </c>
      <c r="J417">
        <v>0</v>
      </c>
      <c r="K417">
        <v>122810000</v>
      </c>
    </row>
    <row r="418" spans="1:11" x14ac:dyDescent="0.25">
      <c r="A418" t="s">
        <v>226</v>
      </c>
      <c r="B418" t="s">
        <v>227</v>
      </c>
      <c r="C418" t="s">
        <v>540</v>
      </c>
      <c r="D418" t="s">
        <v>597</v>
      </c>
      <c r="E418">
        <v>0</v>
      </c>
      <c r="F418" t="s">
        <v>598</v>
      </c>
      <c r="G418">
        <v>235091426.02000001</v>
      </c>
      <c r="H418">
        <v>0</v>
      </c>
      <c r="I418">
        <v>0</v>
      </c>
      <c r="J418">
        <v>0</v>
      </c>
      <c r="K418">
        <v>235091426.02000001</v>
      </c>
    </row>
    <row r="419" spans="1:11" x14ac:dyDescent="0.25">
      <c r="A419" t="s">
        <v>228</v>
      </c>
      <c r="B419" t="s">
        <v>227</v>
      </c>
      <c r="C419" t="s">
        <v>540</v>
      </c>
      <c r="D419" t="s">
        <v>597</v>
      </c>
      <c r="E419">
        <v>0</v>
      </c>
      <c r="F419" t="s">
        <v>598</v>
      </c>
      <c r="G419">
        <v>80722237.510000005</v>
      </c>
      <c r="H419">
        <v>0</v>
      </c>
      <c r="I419">
        <v>0</v>
      </c>
      <c r="J419">
        <v>0</v>
      </c>
      <c r="K419">
        <v>80722237.510000005</v>
      </c>
    </row>
    <row r="420" spans="1:11" x14ac:dyDescent="0.25">
      <c r="A420" t="s">
        <v>229</v>
      </c>
      <c r="B420" t="s">
        <v>227</v>
      </c>
      <c r="C420" t="s">
        <v>540</v>
      </c>
      <c r="D420" t="s">
        <v>597</v>
      </c>
      <c r="E420">
        <v>0</v>
      </c>
      <c r="F420" t="s">
        <v>598</v>
      </c>
      <c r="G420">
        <v>158830772.77000001</v>
      </c>
      <c r="H420">
        <v>0</v>
      </c>
      <c r="I420">
        <v>0</v>
      </c>
      <c r="J420">
        <v>0</v>
      </c>
      <c r="K420">
        <v>158830772.77000001</v>
      </c>
    </row>
    <row r="421" spans="1:11" x14ac:dyDescent="0.25">
      <c r="A421" t="s">
        <v>734</v>
      </c>
      <c r="B421" t="s">
        <v>735</v>
      </c>
      <c r="C421" t="s">
        <v>540</v>
      </c>
      <c r="D421" t="s">
        <v>599</v>
      </c>
      <c r="E421">
        <v>0</v>
      </c>
      <c r="F421" t="s">
        <v>600</v>
      </c>
      <c r="G421">
        <v>0</v>
      </c>
      <c r="H421">
        <v>0</v>
      </c>
      <c r="I421">
        <v>157300</v>
      </c>
      <c r="J421">
        <v>0</v>
      </c>
      <c r="K421">
        <v>157300</v>
      </c>
    </row>
    <row r="422" spans="1:11" x14ac:dyDescent="0.25">
      <c r="A422" t="s">
        <v>1141</v>
      </c>
      <c r="B422" t="s">
        <v>1142</v>
      </c>
      <c r="C422" t="s">
        <v>540</v>
      </c>
      <c r="D422" t="s">
        <v>589</v>
      </c>
      <c r="E422">
        <v>0</v>
      </c>
      <c r="F422" t="s">
        <v>590</v>
      </c>
      <c r="G422">
        <v>310729.09000000003</v>
      </c>
      <c r="H422">
        <v>0</v>
      </c>
      <c r="I422">
        <v>0</v>
      </c>
      <c r="J422">
        <v>0</v>
      </c>
      <c r="K422">
        <v>310729.09000000003</v>
      </c>
    </row>
    <row r="423" spans="1:11" x14ac:dyDescent="0.25">
      <c r="A423" t="s">
        <v>1002</v>
      </c>
      <c r="B423" t="s">
        <v>1003</v>
      </c>
      <c r="C423" t="s">
        <v>540</v>
      </c>
      <c r="D423" t="s">
        <v>549</v>
      </c>
      <c r="E423">
        <v>0</v>
      </c>
      <c r="F423" t="s">
        <v>550</v>
      </c>
      <c r="G423">
        <v>2650000</v>
      </c>
      <c r="H423">
        <v>0</v>
      </c>
      <c r="I423">
        <v>0</v>
      </c>
      <c r="J423">
        <v>0</v>
      </c>
      <c r="K423">
        <v>2650000</v>
      </c>
    </row>
    <row r="424" spans="1:11" x14ac:dyDescent="0.25">
      <c r="A424" t="s">
        <v>861</v>
      </c>
      <c r="B424" t="s">
        <v>862</v>
      </c>
      <c r="C424" t="s">
        <v>540</v>
      </c>
      <c r="D424" t="s">
        <v>863</v>
      </c>
      <c r="E424">
        <v>0</v>
      </c>
      <c r="F424" t="s">
        <v>864</v>
      </c>
      <c r="G424">
        <v>7246169.25</v>
      </c>
      <c r="H424">
        <v>45653247.75</v>
      </c>
      <c r="I424">
        <v>0</v>
      </c>
      <c r="J424">
        <v>0</v>
      </c>
      <c r="K424">
        <v>52899417</v>
      </c>
    </row>
    <row r="425" spans="1:11" x14ac:dyDescent="0.25">
      <c r="A425" t="s">
        <v>232</v>
      </c>
      <c r="B425" t="s">
        <v>233</v>
      </c>
      <c r="C425" t="s">
        <v>540</v>
      </c>
      <c r="D425" t="s">
        <v>601</v>
      </c>
      <c r="E425">
        <v>0</v>
      </c>
      <c r="F425" t="s">
        <v>602</v>
      </c>
      <c r="G425">
        <v>1489900</v>
      </c>
      <c r="H425">
        <v>0</v>
      </c>
      <c r="I425">
        <v>0</v>
      </c>
      <c r="J425">
        <v>0</v>
      </c>
      <c r="K425">
        <v>1489900</v>
      </c>
    </row>
    <row r="426" spans="1:11" x14ac:dyDescent="0.25">
      <c r="A426" t="s">
        <v>1004</v>
      </c>
      <c r="B426" t="s">
        <v>938</v>
      </c>
      <c r="C426" t="s">
        <v>540</v>
      </c>
      <c r="D426" t="s">
        <v>1005</v>
      </c>
      <c r="E426">
        <v>0</v>
      </c>
      <c r="F426" t="s">
        <v>1006</v>
      </c>
      <c r="G426">
        <v>0</v>
      </c>
      <c r="H426">
        <v>1500400</v>
      </c>
      <c r="I426">
        <v>0</v>
      </c>
      <c r="J426">
        <v>0</v>
      </c>
      <c r="K426">
        <v>1500400</v>
      </c>
    </row>
    <row r="427" spans="1:11" x14ac:dyDescent="0.25">
      <c r="A427" t="s">
        <v>234</v>
      </c>
      <c r="B427" t="s">
        <v>235</v>
      </c>
      <c r="C427" t="s">
        <v>540</v>
      </c>
      <c r="D427" t="s">
        <v>603</v>
      </c>
      <c r="E427">
        <v>0</v>
      </c>
      <c r="F427" t="s">
        <v>604</v>
      </c>
      <c r="G427">
        <v>0</v>
      </c>
      <c r="H427">
        <v>0</v>
      </c>
      <c r="I427">
        <v>0</v>
      </c>
      <c r="J427">
        <v>-204.43</v>
      </c>
      <c r="K427">
        <v>-204.43</v>
      </c>
    </row>
    <row r="428" spans="1:11" x14ac:dyDescent="0.25">
      <c r="A428" t="s">
        <v>1143</v>
      </c>
      <c r="B428" t="s">
        <v>1144</v>
      </c>
      <c r="C428" t="s">
        <v>540</v>
      </c>
      <c r="D428" t="s">
        <v>553</v>
      </c>
      <c r="E428">
        <v>0</v>
      </c>
      <c r="F428" t="s">
        <v>554</v>
      </c>
      <c r="G428">
        <v>3505115.9</v>
      </c>
      <c r="H428">
        <v>0</v>
      </c>
      <c r="I428">
        <v>0</v>
      </c>
      <c r="J428">
        <v>0</v>
      </c>
      <c r="K428">
        <v>3505115.9</v>
      </c>
    </row>
    <row r="429" spans="1:11" x14ac:dyDescent="0.25">
      <c r="A429" t="s">
        <v>1007</v>
      </c>
      <c r="B429" t="s">
        <v>1008</v>
      </c>
      <c r="C429" t="s">
        <v>540</v>
      </c>
      <c r="D429" t="s">
        <v>569</v>
      </c>
      <c r="E429">
        <v>0</v>
      </c>
      <c r="F429" t="s">
        <v>570</v>
      </c>
      <c r="G429">
        <v>204974</v>
      </c>
      <c r="H429">
        <v>0</v>
      </c>
      <c r="I429">
        <v>0</v>
      </c>
      <c r="J429">
        <v>0</v>
      </c>
      <c r="K429">
        <v>204974</v>
      </c>
    </row>
    <row r="430" spans="1:11" x14ac:dyDescent="0.25">
      <c r="A430" t="s">
        <v>236</v>
      </c>
      <c r="B430" t="s">
        <v>237</v>
      </c>
      <c r="C430" t="s">
        <v>540</v>
      </c>
      <c r="D430" t="s">
        <v>553</v>
      </c>
      <c r="E430">
        <v>0</v>
      </c>
      <c r="F430" t="s">
        <v>554</v>
      </c>
      <c r="G430">
        <v>18355916.359999999</v>
      </c>
      <c r="H430">
        <v>0</v>
      </c>
      <c r="I430">
        <v>0</v>
      </c>
      <c r="J430">
        <v>0</v>
      </c>
      <c r="K430">
        <v>18355916.359999999</v>
      </c>
    </row>
    <row r="431" spans="1:11" x14ac:dyDescent="0.25">
      <c r="A431" t="s">
        <v>238</v>
      </c>
      <c r="B431" t="s">
        <v>239</v>
      </c>
      <c r="C431" t="s">
        <v>540</v>
      </c>
      <c r="D431" t="s">
        <v>605</v>
      </c>
      <c r="E431">
        <v>0</v>
      </c>
      <c r="F431" t="s">
        <v>606</v>
      </c>
      <c r="G431">
        <v>493716.31</v>
      </c>
      <c r="H431">
        <v>412922.6</v>
      </c>
      <c r="I431">
        <v>0</v>
      </c>
      <c r="J431">
        <v>0</v>
      </c>
      <c r="K431">
        <v>906638.91</v>
      </c>
    </row>
    <row r="432" spans="1:11" x14ac:dyDescent="0.25">
      <c r="A432" t="s">
        <v>240</v>
      </c>
      <c r="B432" t="s">
        <v>241</v>
      </c>
      <c r="C432" t="s">
        <v>540</v>
      </c>
      <c r="D432" t="s">
        <v>607</v>
      </c>
      <c r="E432">
        <v>0</v>
      </c>
      <c r="F432" t="s">
        <v>608</v>
      </c>
      <c r="G432">
        <v>5461728.3099999996</v>
      </c>
      <c r="H432">
        <v>0</v>
      </c>
      <c r="I432">
        <v>0</v>
      </c>
      <c r="J432">
        <v>0</v>
      </c>
      <c r="K432">
        <v>5461728.3099999996</v>
      </c>
    </row>
    <row r="433" spans="1:11" x14ac:dyDescent="0.25">
      <c r="A433" t="s">
        <v>242</v>
      </c>
      <c r="B433" t="s">
        <v>243</v>
      </c>
      <c r="C433" t="s">
        <v>540</v>
      </c>
      <c r="D433" t="s">
        <v>609</v>
      </c>
      <c r="E433">
        <v>0</v>
      </c>
      <c r="F433" t="s">
        <v>610</v>
      </c>
      <c r="G433">
        <v>615058.30000000005</v>
      </c>
      <c r="H433">
        <v>0</v>
      </c>
      <c r="I433">
        <v>0</v>
      </c>
      <c r="J433">
        <v>0</v>
      </c>
      <c r="K433">
        <v>615058.30000000005</v>
      </c>
    </row>
    <row r="434" spans="1:11" x14ac:dyDescent="0.25">
      <c r="A434" t="s">
        <v>244</v>
      </c>
      <c r="B434" t="s">
        <v>245</v>
      </c>
      <c r="C434" t="s">
        <v>540</v>
      </c>
      <c r="D434" t="s">
        <v>573</v>
      </c>
      <c r="E434">
        <v>0</v>
      </c>
      <c r="F434" t="s">
        <v>574</v>
      </c>
      <c r="G434">
        <v>473507.91</v>
      </c>
      <c r="H434">
        <v>0</v>
      </c>
      <c r="I434">
        <v>0</v>
      </c>
      <c r="J434">
        <v>0</v>
      </c>
      <c r="K434">
        <v>473507.91</v>
      </c>
    </row>
    <row r="435" spans="1:11" x14ac:dyDescent="0.25">
      <c r="A435" t="s">
        <v>493</v>
      </c>
      <c r="B435" t="s">
        <v>494</v>
      </c>
      <c r="C435" t="s">
        <v>540</v>
      </c>
      <c r="D435" t="s">
        <v>611</v>
      </c>
      <c r="E435">
        <v>0</v>
      </c>
      <c r="F435" t="s">
        <v>612</v>
      </c>
      <c r="G435">
        <v>1100706.75</v>
      </c>
      <c r="H435">
        <v>64299.4</v>
      </c>
      <c r="I435">
        <v>0</v>
      </c>
      <c r="J435">
        <v>0</v>
      </c>
      <c r="K435">
        <v>1165006.1499999999</v>
      </c>
    </row>
    <row r="436" spans="1:11" x14ac:dyDescent="0.25">
      <c r="A436" t="s">
        <v>248</v>
      </c>
      <c r="B436" t="s">
        <v>249</v>
      </c>
      <c r="C436" t="s">
        <v>540</v>
      </c>
      <c r="D436" t="s">
        <v>553</v>
      </c>
      <c r="E436">
        <v>0</v>
      </c>
      <c r="F436" t="s">
        <v>554</v>
      </c>
      <c r="G436">
        <v>2691669.11</v>
      </c>
      <c r="H436">
        <v>0</v>
      </c>
      <c r="I436">
        <v>0</v>
      </c>
      <c r="J436">
        <v>0</v>
      </c>
      <c r="K436">
        <v>2691669.11</v>
      </c>
    </row>
    <row r="437" spans="1:11" x14ac:dyDescent="0.25">
      <c r="A437" t="s">
        <v>736</v>
      </c>
      <c r="B437" t="s">
        <v>737</v>
      </c>
      <c r="C437" t="s">
        <v>540</v>
      </c>
      <c r="D437" t="s">
        <v>679</v>
      </c>
      <c r="E437">
        <v>0</v>
      </c>
      <c r="F437" t="s">
        <v>680</v>
      </c>
      <c r="G437">
        <v>97197315.599999994</v>
      </c>
      <c r="H437">
        <v>0</v>
      </c>
      <c r="I437">
        <v>0</v>
      </c>
      <c r="J437">
        <v>0</v>
      </c>
      <c r="K437">
        <v>97197315.599999994</v>
      </c>
    </row>
    <row r="438" spans="1:11" x14ac:dyDescent="0.25">
      <c r="A438" t="s">
        <v>1009</v>
      </c>
      <c r="B438" t="s">
        <v>939</v>
      </c>
      <c r="C438" t="s">
        <v>540</v>
      </c>
      <c r="D438" t="s">
        <v>615</v>
      </c>
      <c r="E438">
        <v>0</v>
      </c>
      <c r="F438" t="s">
        <v>616</v>
      </c>
      <c r="G438">
        <v>2468846.25</v>
      </c>
      <c r="H438">
        <v>0</v>
      </c>
      <c r="I438">
        <v>0</v>
      </c>
      <c r="J438">
        <v>0</v>
      </c>
      <c r="K438">
        <v>2468846.25</v>
      </c>
    </row>
    <row r="439" spans="1:11" x14ac:dyDescent="0.25">
      <c r="A439" t="s">
        <v>613</v>
      </c>
      <c r="B439" t="s">
        <v>614</v>
      </c>
      <c r="C439" t="s">
        <v>540</v>
      </c>
      <c r="D439" t="s">
        <v>615</v>
      </c>
      <c r="E439">
        <v>0</v>
      </c>
      <c r="F439" t="s">
        <v>616</v>
      </c>
      <c r="G439">
        <v>5016000</v>
      </c>
      <c r="H439">
        <v>5082400</v>
      </c>
      <c r="I439">
        <v>0</v>
      </c>
      <c r="J439">
        <v>0</v>
      </c>
      <c r="K439">
        <v>10098400</v>
      </c>
    </row>
    <row r="440" spans="1:11" x14ac:dyDescent="0.25">
      <c r="A440" t="s">
        <v>250</v>
      </c>
      <c r="B440" t="s">
        <v>251</v>
      </c>
      <c r="C440" t="s">
        <v>540</v>
      </c>
      <c r="D440" t="s">
        <v>617</v>
      </c>
      <c r="E440">
        <v>0</v>
      </c>
      <c r="F440" t="s">
        <v>618</v>
      </c>
      <c r="G440">
        <v>7453593.2000000002</v>
      </c>
      <c r="H440">
        <v>58955065.32</v>
      </c>
      <c r="I440">
        <v>22990</v>
      </c>
      <c r="J440">
        <v>0</v>
      </c>
      <c r="K440">
        <v>66431648.520000003</v>
      </c>
    </row>
    <row r="441" spans="1:11" x14ac:dyDescent="0.25">
      <c r="A441" t="s">
        <v>252</v>
      </c>
      <c r="B441" t="s">
        <v>253</v>
      </c>
      <c r="C441" t="s">
        <v>540</v>
      </c>
      <c r="D441" t="s">
        <v>619</v>
      </c>
      <c r="E441">
        <v>0</v>
      </c>
      <c r="F441" t="s">
        <v>620</v>
      </c>
      <c r="G441">
        <v>1120000</v>
      </c>
      <c r="H441">
        <v>1810000</v>
      </c>
      <c r="I441">
        <v>0</v>
      </c>
      <c r="J441">
        <v>0</v>
      </c>
      <c r="K441">
        <v>2930000</v>
      </c>
    </row>
    <row r="442" spans="1:11" x14ac:dyDescent="0.25">
      <c r="A442" t="s">
        <v>738</v>
      </c>
      <c r="B442" t="s">
        <v>739</v>
      </c>
      <c r="C442" t="s">
        <v>540</v>
      </c>
      <c r="D442" t="s">
        <v>740</v>
      </c>
      <c r="E442">
        <v>0</v>
      </c>
      <c r="F442" t="s">
        <v>741</v>
      </c>
      <c r="G442">
        <v>114410.36</v>
      </c>
      <c r="H442">
        <v>1046227.23</v>
      </c>
      <c r="I442">
        <v>0</v>
      </c>
      <c r="J442">
        <v>0</v>
      </c>
      <c r="K442">
        <v>1160637.5900000001</v>
      </c>
    </row>
    <row r="443" spans="1:11" x14ac:dyDescent="0.25">
      <c r="A443" t="s">
        <v>256</v>
      </c>
      <c r="B443" t="s">
        <v>257</v>
      </c>
      <c r="C443" t="s">
        <v>540</v>
      </c>
      <c r="D443" t="s">
        <v>585</v>
      </c>
      <c r="E443">
        <v>0</v>
      </c>
      <c r="F443" t="s">
        <v>586</v>
      </c>
      <c r="G443">
        <v>7907241.0999999996</v>
      </c>
      <c r="H443">
        <v>66066690.909999996</v>
      </c>
      <c r="I443">
        <v>2761123.2</v>
      </c>
      <c r="J443">
        <v>0</v>
      </c>
      <c r="K443">
        <v>76735055.209999993</v>
      </c>
    </row>
    <row r="444" spans="1:11" x14ac:dyDescent="0.25">
      <c r="A444" t="s">
        <v>1010</v>
      </c>
      <c r="B444" t="s">
        <v>940</v>
      </c>
      <c r="C444" t="s">
        <v>540</v>
      </c>
      <c r="D444" t="s">
        <v>1011</v>
      </c>
      <c r="E444">
        <v>0</v>
      </c>
      <c r="F444" t="s">
        <v>1012</v>
      </c>
      <c r="G444">
        <v>0</v>
      </c>
      <c r="H444">
        <v>4392303.99</v>
      </c>
      <c r="I444">
        <v>0</v>
      </c>
      <c r="J444">
        <v>0</v>
      </c>
      <c r="K444">
        <v>4392303.99</v>
      </c>
    </row>
    <row r="445" spans="1:11" x14ac:dyDescent="0.25">
      <c r="A445" t="s">
        <v>258</v>
      </c>
      <c r="B445" t="s">
        <v>259</v>
      </c>
      <c r="C445" t="s">
        <v>540</v>
      </c>
      <c r="D445" t="s">
        <v>563</v>
      </c>
      <c r="E445">
        <v>0</v>
      </c>
      <c r="F445" t="s">
        <v>564</v>
      </c>
      <c r="G445">
        <v>1870000</v>
      </c>
      <c r="H445">
        <v>3300000</v>
      </c>
      <c r="I445">
        <v>0</v>
      </c>
      <c r="J445">
        <v>0</v>
      </c>
      <c r="K445">
        <v>5170000</v>
      </c>
    </row>
    <row r="446" spans="1:11" x14ac:dyDescent="0.25">
      <c r="A446" t="s">
        <v>260</v>
      </c>
      <c r="B446" t="s">
        <v>261</v>
      </c>
      <c r="C446" t="s">
        <v>540</v>
      </c>
      <c r="D446" t="s">
        <v>615</v>
      </c>
      <c r="E446">
        <v>0</v>
      </c>
      <c r="F446" t="s">
        <v>616</v>
      </c>
      <c r="G446">
        <v>8246002.3799999999</v>
      </c>
      <c r="H446">
        <v>5738001.5</v>
      </c>
      <c r="I446">
        <v>0</v>
      </c>
      <c r="J446">
        <v>0</v>
      </c>
      <c r="K446">
        <v>13984003.880000001</v>
      </c>
    </row>
    <row r="447" spans="1:11" x14ac:dyDescent="0.25">
      <c r="A447" t="s">
        <v>1145</v>
      </c>
      <c r="B447" t="s">
        <v>1146</v>
      </c>
      <c r="C447" t="s">
        <v>540</v>
      </c>
      <c r="D447" t="s">
        <v>1147</v>
      </c>
      <c r="E447">
        <v>0</v>
      </c>
      <c r="F447" t="s">
        <v>1148</v>
      </c>
      <c r="G447">
        <v>6840.54</v>
      </c>
      <c r="H447">
        <v>0</v>
      </c>
      <c r="I447">
        <v>0</v>
      </c>
      <c r="J447">
        <v>0</v>
      </c>
      <c r="K447">
        <v>6840.54</v>
      </c>
    </row>
    <row r="448" spans="1:11" x14ac:dyDescent="0.25">
      <c r="A448" t="s">
        <v>1149</v>
      </c>
      <c r="B448" t="s">
        <v>1150</v>
      </c>
      <c r="C448" t="s">
        <v>540</v>
      </c>
      <c r="D448" t="s">
        <v>677</v>
      </c>
      <c r="E448">
        <v>0</v>
      </c>
      <c r="F448" t="s">
        <v>678</v>
      </c>
      <c r="G448">
        <v>147017.70000000001</v>
      </c>
      <c r="H448">
        <v>0</v>
      </c>
      <c r="I448">
        <v>0</v>
      </c>
      <c r="J448">
        <v>0</v>
      </c>
      <c r="K448">
        <v>147017.70000000001</v>
      </c>
    </row>
    <row r="449" spans="1:11" x14ac:dyDescent="0.25">
      <c r="A449" t="s">
        <v>262</v>
      </c>
      <c r="B449" t="s">
        <v>263</v>
      </c>
      <c r="C449" t="s">
        <v>540</v>
      </c>
      <c r="D449" t="s">
        <v>621</v>
      </c>
      <c r="E449">
        <v>0</v>
      </c>
      <c r="F449" t="s">
        <v>622</v>
      </c>
      <c r="G449">
        <v>12000820.16</v>
      </c>
      <c r="H449">
        <v>87976</v>
      </c>
      <c r="I449">
        <v>0</v>
      </c>
      <c r="J449">
        <v>0</v>
      </c>
      <c r="K449">
        <v>12088796.16</v>
      </c>
    </row>
    <row r="450" spans="1:11" x14ac:dyDescent="0.25">
      <c r="A450" t="s">
        <v>808</v>
      </c>
      <c r="B450" t="s">
        <v>809</v>
      </c>
      <c r="C450" t="s">
        <v>540</v>
      </c>
      <c r="D450" t="s">
        <v>659</v>
      </c>
      <c r="E450">
        <v>0</v>
      </c>
      <c r="F450" t="s">
        <v>660</v>
      </c>
      <c r="G450">
        <v>92513172</v>
      </c>
      <c r="H450">
        <v>0</v>
      </c>
      <c r="I450">
        <v>0</v>
      </c>
      <c r="J450">
        <v>0</v>
      </c>
      <c r="K450">
        <v>92513172</v>
      </c>
    </row>
    <row r="451" spans="1:11" x14ac:dyDescent="0.25">
      <c r="A451" t="s">
        <v>264</v>
      </c>
      <c r="B451" t="s">
        <v>265</v>
      </c>
      <c r="C451" t="s">
        <v>540</v>
      </c>
      <c r="D451" t="s">
        <v>623</v>
      </c>
      <c r="E451">
        <v>0</v>
      </c>
      <c r="F451" t="s">
        <v>624</v>
      </c>
      <c r="G451">
        <v>18390539.010000002</v>
      </c>
      <c r="H451">
        <v>0</v>
      </c>
      <c r="I451">
        <v>0</v>
      </c>
      <c r="J451">
        <v>0</v>
      </c>
      <c r="K451">
        <v>18390539.010000002</v>
      </c>
    </row>
    <row r="452" spans="1:11" x14ac:dyDescent="0.25">
      <c r="A452" t="s">
        <v>266</v>
      </c>
      <c r="B452" t="s">
        <v>267</v>
      </c>
      <c r="C452" t="s">
        <v>540</v>
      </c>
      <c r="D452" t="s">
        <v>545</v>
      </c>
      <c r="E452">
        <v>0</v>
      </c>
      <c r="F452" t="s">
        <v>546</v>
      </c>
      <c r="G452">
        <v>2604331.2000000002</v>
      </c>
      <c r="H452">
        <v>186323.73</v>
      </c>
      <c r="I452">
        <v>0</v>
      </c>
      <c r="J452">
        <v>0</v>
      </c>
      <c r="K452">
        <v>2790654.93</v>
      </c>
    </row>
    <row r="453" spans="1:11" x14ac:dyDescent="0.25">
      <c r="A453" t="s">
        <v>1013</v>
      </c>
      <c r="B453" t="s">
        <v>941</v>
      </c>
      <c r="C453" t="s">
        <v>540</v>
      </c>
      <c r="D453" t="s">
        <v>563</v>
      </c>
      <c r="E453">
        <v>0</v>
      </c>
      <c r="F453" t="s">
        <v>564</v>
      </c>
      <c r="G453">
        <v>0</v>
      </c>
      <c r="H453">
        <v>1415700</v>
      </c>
      <c r="I453">
        <v>0</v>
      </c>
      <c r="J453">
        <v>0</v>
      </c>
      <c r="K453">
        <v>1415700</v>
      </c>
    </row>
    <row r="454" spans="1:11" x14ac:dyDescent="0.25">
      <c r="A454" t="s">
        <v>867</v>
      </c>
      <c r="B454" t="s">
        <v>868</v>
      </c>
      <c r="C454" t="s">
        <v>540</v>
      </c>
      <c r="D454" t="s">
        <v>869</v>
      </c>
      <c r="E454">
        <v>0</v>
      </c>
      <c r="F454" t="s">
        <v>870</v>
      </c>
      <c r="G454">
        <v>1685692.29</v>
      </c>
      <c r="H454">
        <v>0</v>
      </c>
      <c r="I454">
        <v>0</v>
      </c>
      <c r="J454">
        <v>0</v>
      </c>
      <c r="K454">
        <v>1685692.29</v>
      </c>
    </row>
    <row r="455" spans="1:11" x14ac:dyDescent="0.25">
      <c r="A455" t="s">
        <v>268</v>
      </c>
      <c r="B455" t="s">
        <v>269</v>
      </c>
      <c r="C455" t="s">
        <v>540</v>
      </c>
      <c r="D455" t="s">
        <v>541</v>
      </c>
      <c r="E455">
        <v>0</v>
      </c>
      <c r="F455" t="s">
        <v>542</v>
      </c>
      <c r="G455">
        <v>775513.2</v>
      </c>
      <c r="H455">
        <v>775513.2</v>
      </c>
      <c r="I455">
        <v>0</v>
      </c>
      <c r="J455">
        <v>0</v>
      </c>
      <c r="K455">
        <v>1551026.4</v>
      </c>
    </row>
    <row r="456" spans="1:11" x14ac:dyDescent="0.25">
      <c r="A456" t="s">
        <v>270</v>
      </c>
      <c r="B456" t="s">
        <v>271</v>
      </c>
      <c r="C456" t="s">
        <v>540</v>
      </c>
      <c r="D456" t="s">
        <v>601</v>
      </c>
      <c r="E456">
        <v>0</v>
      </c>
      <c r="F456" t="s">
        <v>602</v>
      </c>
      <c r="G456">
        <v>0</v>
      </c>
      <c r="H456">
        <v>0</v>
      </c>
      <c r="I456">
        <v>0</v>
      </c>
      <c r="J456">
        <v>290181.01</v>
      </c>
      <c r="K456">
        <v>290181.01</v>
      </c>
    </row>
    <row r="457" spans="1:11" x14ac:dyDescent="0.25">
      <c r="A457" t="s">
        <v>274</v>
      </c>
      <c r="B457" t="s">
        <v>275</v>
      </c>
      <c r="C457" t="s">
        <v>540</v>
      </c>
      <c r="D457" t="s">
        <v>577</v>
      </c>
      <c r="E457">
        <v>0</v>
      </c>
      <c r="F457" t="s">
        <v>578</v>
      </c>
      <c r="G457">
        <v>1615668.23</v>
      </c>
      <c r="H457">
        <v>0</v>
      </c>
      <c r="I457">
        <v>0</v>
      </c>
      <c r="J457">
        <v>0</v>
      </c>
      <c r="K457">
        <v>1615668.23</v>
      </c>
    </row>
    <row r="458" spans="1:11" x14ac:dyDescent="0.25">
      <c r="A458" t="s">
        <v>276</v>
      </c>
      <c r="B458" t="s">
        <v>277</v>
      </c>
      <c r="C458" t="s">
        <v>540</v>
      </c>
      <c r="D458" t="s">
        <v>627</v>
      </c>
      <c r="E458">
        <v>0</v>
      </c>
      <c r="F458" t="s">
        <v>628</v>
      </c>
      <c r="G458">
        <v>124669113.98999999</v>
      </c>
      <c r="H458">
        <v>17658841.07</v>
      </c>
      <c r="I458">
        <v>0</v>
      </c>
      <c r="J458">
        <v>0</v>
      </c>
      <c r="K458">
        <v>142327955.06</v>
      </c>
    </row>
    <row r="459" spans="1:11" x14ac:dyDescent="0.25">
      <c r="A459" t="s">
        <v>810</v>
      </c>
      <c r="B459" t="s">
        <v>811</v>
      </c>
      <c r="C459" t="s">
        <v>540</v>
      </c>
      <c r="D459" t="s">
        <v>589</v>
      </c>
      <c r="E459">
        <v>0</v>
      </c>
      <c r="F459" t="s">
        <v>590</v>
      </c>
      <c r="G459">
        <v>40261.120000000003</v>
      </c>
      <c r="H459">
        <v>0</v>
      </c>
      <c r="I459">
        <v>0</v>
      </c>
      <c r="J459">
        <v>0</v>
      </c>
      <c r="K459">
        <v>40261.120000000003</v>
      </c>
    </row>
    <row r="460" spans="1:11" x14ac:dyDescent="0.25">
      <c r="A460" t="s">
        <v>1151</v>
      </c>
      <c r="B460" t="s">
        <v>1152</v>
      </c>
      <c r="C460" t="s">
        <v>540</v>
      </c>
      <c r="D460" t="s">
        <v>629</v>
      </c>
      <c r="E460">
        <v>0</v>
      </c>
      <c r="F460" t="s">
        <v>630</v>
      </c>
      <c r="G460">
        <v>124480.32000000001</v>
      </c>
      <c r="H460">
        <v>0</v>
      </c>
      <c r="I460">
        <v>0</v>
      </c>
      <c r="J460">
        <v>0</v>
      </c>
      <c r="K460">
        <v>124480.32000000001</v>
      </c>
    </row>
    <row r="461" spans="1:11" x14ac:dyDescent="0.25">
      <c r="A461" t="s">
        <v>278</v>
      </c>
      <c r="B461" t="s">
        <v>279</v>
      </c>
      <c r="C461" t="s">
        <v>540</v>
      </c>
      <c r="D461" t="s">
        <v>629</v>
      </c>
      <c r="E461">
        <v>0</v>
      </c>
      <c r="F461" t="s">
        <v>630</v>
      </c>
      <c r="G461">
        <v>2888281.91</v>
      </c>
      <c r="H461">
        <v>224705.27</v>
      </c>
      <c r="I461">
        <v>0</v>
      </c>
      <c r="J461">
        <v>0</v>
      </c>
      <c r="K461">
        <v>3112987.18</v>
      </c>
    </row>
    <row r="462" spans="1:11" x14ac:dyDescent="0.25">
      <c r="A462" t="s">
        <v>742</v>
      </c>
      <c r="B462" t="s">
        <v>743</v>
      </c>
      <c r="C462" t="s">
        <v>540</v>
      </c>
      <c r="D462" t="s">
        <v>623</v>
      </c>
      <c r="E462">
        <v>0</v>
      </c>
      <c r="F462" t="s">
        <v>624</v>
      </c>
      <c r="G462">
        <v>820657.92</v>
      </c>
      <c r="H462">
        <v>0</v>
      </c>
      <c r="I462">
        <v>0</v>
      </c>
      <c r="J462">
        <v>0</v>
      </c>
      <c r="K462">
        <v>820657.92</v>
      </c>
    </row>
    <row r="463" spans="1:11" x14ac:dyDescent="0.25">
      <c r="A463" t="s">
        <v>1014</v>
      </c>
      <c r="B463" t="s">
        <v>942</v>
      </c>
      <c r="C463" t="s">
        <v>540</v>
      </c>
      <c r="D463" t="s">
        <v>551</v>
      </c>
      <c r="E463">
        <v>0</v>
      </c>
      <c r="F463" t="s">
        <v>552</v>
      </c>
      <c r="G463">
        <v>145393.60000000001</v>
      </c>
      <c r="H463">
        <v>0</v>
      </c>
      <c r="I463">
        <v>0</v>
      </c>
      <c r="J463">
        <v>0</v>
      </c>
      <c r="K463">
        <v>145393.60000000001</v>
      </c>
    </row>
    <row r="464" spans="1:11" x14ac:dyDescent="0.25">
      <c r="A464" t="s">
        <v>1015</v>
      </c>
      <c r="B464" t="s">
        <v>1016</v>
      </c>
      <c r="C464" t="s">
        <v>540</v>
      </c>
      <c r="D464" t="s">
        <v>677</v>
      </c>
      <c r="E464">
        <v>0</v>
      </c>
      <c r="F464" t="s">
        <v>678</v>
      </c>
      <c r="G464">
        <v>0</v>
      </c>
      <c r="H464">
        <v>18200</v>
      </c>
      <c r="I464">
        <v>0</v>
      </c>
      <c r="J464">
        <v>0</v>
      </c>
      <c r="K464">
        <v>18200</v>
      </c>
    </row>
    <row r="465" spans="1:11" x14ac:dyDescent="0.25">
      <c r="A465" t="s">
        <v>280</v>
      </c>
      <c r="B465" t="s">
        <v>281</v>
      </c>
      <c r="C465" t="s">
        <v>540</v>
      </c>
      <c r="D465" t="s">
        <v>559</v>
      </c>
      <c r="E465">
        <v>0</v>
      </c>
      <c r="F465" t="s">
        <v>560</v>
      </c>
      <c r="G465">
        <v>780000</v>
      </c>
      <c r="H465">
        <v>0</v>
      </c>
      <c r="I465">
        <v>0</v>
      </c>
      <c r="J465">
        <v>0</v>
      </c>
      <c r="K465">
        <v>780000</v>
      </c>
    </row>
    <row r="466" spans="1:11" x14ac:dyDescent="0.25">
      <c r="A466" t="s">
        <v>1017</v>
      </c>
      <c r="B466" t="s">
        <v>943</v>
      </c>
      <c r="C466" t="s">
        <v>540</v>
      </c>
      <c r="D466" t="s">
        <v>1018</v>
      </c>
      <c r="E466">
        <v>0</v>
      </c>
      <c r="F466" t="s">
        <v>1019</v>
      </c>
      <c r="G466">
        <v>0</v>
      </c>
      <c r="H466">
        <v>2571368.9900000002</v>
      </c>
      <c r="I466">
        <v>0</v>
      </c>
      <c r="J466">
        <v>0</v>
      </c>
      <c r="K466">
        <v>2571368.9900000002</v>
      </c>
    </row>
    <row r="467" spans="1:11" x14ac:dyDescent="0.25">
      <c r="A467" t="s">
        <v>284</v>
      </c>
      <c r="B467" t="s">
        <v>285</v>
      </c>
      <c r="C467" t="s">
        <v>540</v>
      </c>
      <c r="D467" t="s">
        <v>633</v>
      </c>
      <c r="E467">
        <v>0</v>
      </c>
      <c r="F467" t="s">
        <v>634</v>
      </c>
      <c r="G467">
        <v>0</v>
      </c>
      <c r="H467">
        <v>0</v>
      </c>
      <c r="I467">
        <v>0</v>
      </c>
      <c r="J467">
        <v>0.02</v>
      </c>
      <c r="K467">
        <v>0.02</v>
      </c>
    </row>
    <row r="468" spans="1:11" x14ac:dyDescent="0.25">
      <c r="A468" t="s">
        <v>286</v>
      </c>
      <c r="B468" t="s">
        <v>287</v>
      </c>
      <c r="C468" t="s">
        <v>540</v>
      </c>
      <c r="D468" t="s">
        <v>635</v>
      </c>
      <c r="E468">
        <v>0</v>
      </c>
      <c r="F468" t="s">
        <v>636</v>
      </c>
      <c r="G468">
        <v>562166</v>
      </c>
      <c r="H468">
        <v>0</v>
      </c>
      <c r="I468">
        <v>0</v>
      </c>
      <c r="J468">
        <v>0</v>
      </c>
      <c r="K468">
        <v>562166</v>
      </c>
    </row>
    <row r="469" spans="1:11" x14ac:dyDescent="0.25">
      <c r="A469" t="s">
        <v>288</v>
      </c>
      <c r="B469" t="s">
        <v>289</v>
      </c>
      <c r="C469" t="s">
        <v>540</v>
      </c>
      <c r="D469" t="s">
        <v>619</v>
      </c>
      <c r="E469">
        <v>0</v>
      </c>
      <c r="F469" t="s">
        <v>620</v>
      </c>
      <c r="G469">
        <v>4187326</v>
      </c>
      <c r="H469">
        <v>0</v>
      </c>
      <c r="I469">
        <v>0</v>
      </c>
      <c r="J469">
        <v>0</v>
      </c>
      <c r="K469">
        <v>4187326</v>
      </c>
    </row>
    <row r="470" spans="1:11" x14ac:dyDescent="0.25">
      <c r="A470" t="s">
        <v>290</v>
      </c>
      <c r="B470" t="s">
        <v>291</v>
      </c>
      <c r="C470" t="s">
        <v>540</v>
      </c>
      <c r="D470" t="s">
        <v>623</v>
      </c>
      <c r="E470">
        <v>0</v>
      </c>
      <c r="F470" t="s">
        <v>624</v>
      </c>
      <c r="G470">
        <v>297314.31</v>
      </c>
      <c r="H470">
        <v>3222002.58</v>
      </c>
      <c r="I470">
        <v>0</v>
      </c>
      <c r="J470">
        <v>0</v>
      </c>
      <c r="K470">
        <v>3519316.89</v>
      </c>
    </row>
    <row r="471" spans="1:11" x14ac:dyDescent="0.25">
      <c r="A471" t="s">
        <v>1204</v>
      </c>
      <c r="B471" t="s">
        <v>1205</v>
      </c>
      <c r="C471" t="s">
        <v>540</v>
      </c>
      <c r="D471" t="s">
        <v>559</v>
      </c>
      <c r="E471">
        <v>3300000</v>
      </c>
      <c r="F471" t="s">
        <v>560</v>
      </c>
      <c r="G471">
        <v>0</v>
      </c>
      <c r="H471">
        <v>0</v>
      </c>
      <c r="I471">
        <v>0</v>
      </c>
      <c r="J471">
        <v>0</v>
      </c>
      <c r="K471">
        <v>3300000</v>
      </c>
    </row>
    <row r="472" spans="1:11" x14ac:dyDescent="0.25">
      <c r="A472" t="s">
        <v>746</v>
      </c>
      <c r="B472" t="s">
        <v>747</v>
      </c>
      <c r="C472" t="s">
        <v>540</v>
      </c>
      <c r="D472" t="s">
        <v>589</v>
      </c>
      <c r="E472">
        <v>0</v>
      </c>
      <c r="F472" t="s">
        <v>590</v>
      </c>
      <c r="G472">
        <v>7761869.0899999999</v>
      </c>
      <c r="H472">
        <v>5693093.9299999997</v>
      </c>
      <c r="I472">
        <v>0</v>
      </c>
      <c r="J472">
        <v>0</v>
      </c>
      <c r="K472">
        <v>13454963.02</v>
      </c>
    </row>
    <row r="473" spans="1:11" x14ac:dyDescent="0.25">
      <c r="A473" t="s">
        <v>292</v>
      </c>
      <c r="B473" t="s">
        <v>293</v>
      </c>
      <c r="C473" t="s">
        <v>540</v>
      </c>
      <c r="D473" t="s">
        <v>551</v>
      </c>
      <c r="E473">
        <v>0</v>
      </c>
      <c r="F473" t="s">
        <v>552</v>
      </c>
      <c r="G473">
        <v>1311519.3</v>
      </c>
      <c r="H473">
        <v>4058340</v>
      </c>
      <c r="I473">
        <v>0</v>
      </c>
      <c r="J473">
        <v>0</v>
      </c>
      <c r="K473">
        <v>5369859.2999999998</v>
      </c>
    </row>
    <row r="474" spans="1:11" x14ac:dyDescent="0.25">
      <c r="A474" t="s">
        <v>294</v>
      </c>
      <c r="B474" t="s">
        <v>295</v>
      </c>
      <c r="C474" t="s">
        <v>540</v>
      </c>
      <c r="D474" t="s">
        <v>589</v>
      </c>
      <c r="E474">
        <v>0</v>
      </c>
      <c r="F474" t="s">
        <v>590</v>
      </c>
      <c r="G474">
        <v>0</v>
      </c>
      <c r="H474">
        <v>0</v>
      </c>
      <c r="I474">
        <v>0</v>
      </c>
      <c r="J474">
        <v>-3904.38</v>
      </c>
      <c r="K474">
        <v>-3904.38</v>
      </c>
    </row>
    <row r="475" spans="1:11" x14ac:dyDescent="0.25">
      <c r="A475" t="s">
        <v>1020</v>
      </c>
      <c r="B475" t="s">
        <v>944</v>
      </c>
      <c r="C475" t="s">
        <v>540</v>
      </c>
      <c r="D475" t="s">
        <v>639</v>
      </c>
      <c r="E475">
        <v>0</v>
      </c>
      <c r="F475" t="s">
        <v>640</v>
      </c>
      <c r="G475">
        <v>1099835.79</v>
      </c>
      <c r="H475">
        <v>620488</v>
      </c>
      <c r="I475">
        <v>0</v>
      </c>
      <c r="J475">
        <v>0</v>
      </c>
      <c r="K475">
        <v>1720323.79</v>
      </c>
    </row>
    <row r="476" spans="1:11" x14ac:dyDescent="0.25">
      <c r="A476" t="s">
        <v>1021</v>
      </c>
      <c r="B476" t="s">
        <v>945</v>
      </c>
      <c r="C476" t="s">
        <v>540</v>
      </c>
      <c r="D476" t="s">
        <v>545</v>
      </c>
      <c r="E476">
        <v>0</v>
      </c>
      <c r="F476" t="s">
        <v>546</v>
      </c>
      <c r="G476">
        <v>0</v>
      </c>
      <c r="H476">
        <v>238590.8</v>
      </c>
      <c r="I476">
        <v>0</v>
      </c>
      <c r="J476">
        <v>0</v>
      </c>
      <c r="K476">
        <v>238590.8</v>
      </c>
    </row>
    <row r="477" spans="1:11" x14ac:dyDescent="0.25">
      <c r="A477" t="s">
        <v>300</v>
      </c>
      <c r="B477" t="s">
        <v>301</v>
      </c>
      <c r="C477" t="s">
        <v>540</v>
      </c>
      <c r="D477" t="s">
        <v>641</v>
      </c>
      <c r="E477">
        <v>0</v>
      </c>
      <c r="F477" t="s">
        <v>642</v>
      </c>
      <c r="G477">
        <v>0</v>
      </c>
      <c r="H477">
        <v>0</v>
      </c>
      <c r="I477">
        <v>0</v>
      </c>
      <c r="J477">
        <v>40367.35</v>
      </c>
      <c r="K477">
        <v>40367.35</v>
      </c>
    </row>
    <row r="478" spans="1:11" x14ac:dyDescent="0.25">
      <c r="A478" t="s">
        <v>1022</v>
      </c>
      <c r="B478" t="s">
        <v>946</v>
      </c>
      <c r="C478" t="s">
        <v>540</v>
      </c>
      <c r="D478" t="s">
        <v>589</v>
      </c>
      <c r="E478">
        <v>0</v>
      </c>
      <c r="F478" t="s">
        <v>590</v>
      </c>
      <c r="G478">
        <v>0</v>
      </c>
      <c r="H478">
        <v>128077.24</v>
      </c>
      <c r="I478">
        <v>0</v>
      </c>
      <c r="J478">
        <v>0</v>
      </c>
      <c r="K478">
        <v>128077.24</v>
      </c>
    </row>
    <row r="479" spans="1:11" x14ac:dyDescent="0.25">
      <c r="A479" t="s">
        <v>1023</v>
      </c>
      <c r="B479" t="s">
        <v>947</v>
      </c>
      <c r="C479" t="s">
        <v>540</v>
      </c>
      <c r="D479" t="s">
        <v>1024</v>
      </c>
      <c r="E479">
        <v>0</v>
      </c>
      <c r="F479" t="s">
        <v>1025</v>
      </c>
      <c r="G479">
        <v>0</v>
      </c>
      <c r="H479">
        <v>405000</v>
      </c>
      <c r="I479">
        <v>0</v>
      </c>
      <c r="J479">
        <v>0</v>
      </c>
      <c r="K479">
        <v>405000</v>
      </c>
    </row>
    <row r="480" spans="1:11" x14ac:dyDescent="0.25">
      <c r="A480" t="s">
        <v>1026</v>
      </c>
      <c r="B480" t="s">
        <v>948</v>
      </c>
      <c r="C480" t="s">
        <v>540</v>
      </c>
      <c r="D480" t="s">
        <v>982</v>
      </c>
      <c r="E480">
        <v>0</v>
      </c>
      <c r="F480" t="s">
        <v>983</v>
      </c>
      <c r="G480">
        <v>6948388.7000000002</v>
      </c>
      <c r="H480">
        <v>0</v>
      </c>
      <c r="I480">
        <v>0</v>
      </c>
      <c r="J480">
        <v>0</v>
      </c>
      <c r="K480">
        <v>6948388.7000000002</v>
      </c>
    </row>
    <row r="481" spans="1:11" x14ac:dyDescent="0.25">
      <c r="A481" t="s">
        <v>1027</v>
      </c>
      <c r="B481" t="s">
        <v>949</v>
      </c>
      <c r="C481" t="s">
        <v>540</v>
      </c>
      <c r="D481" t="s">
        <v>857</v>
      </c>
      <c r="E481">
        <v>0</v>
      </c>
      <c r="F481" t="s">
        <v>858</v>
      </c>
      <c r="G481">
        <v>0</v>
      </c>
      <c r="H481">
        <v>2504700</v>
      </c>
      <c r="I481">
        <v>0</v>
      </c>
      <c r="J481">
        <v>0</v>
      </c>
      <c r="K481">
        <v>2504700</v>
      </c>
    </row>
    <row r="482" spans="1:11" x14ac:dyDescent="0.25">
      <c r="A482" t="s">
        <v>302</v>
      </c>
      <c r="B482" t="s">
        <v>303</v>
      </c>
      <c r="C482" t="s">
        <v>540</v>
      </c>
      <c r="D482" t="s">
        <v>577</v>
      </c>
      <c r="E482">
        <v>0</v>
      </c>
      <c r="F482" t="s">
        <v>578</v>
      </c>
      <c r="G482">
        <v>25771874.23</v>
      </c>
      <c r="H482">
        <v>0</v>
      </c>
      <c r="I482">
        <v>0</v>
      </c>
      <c r="J482">
        <v>0</v>
      </c>
      <c r="K482">
        <v>25771874.23</v>
      </c>
    </row>
    <row r="483" spans="1:11" x14ac:dyDescent="0.25">
      <c r="A483" t="s">
        <v>1028</v>
      </c>
      <c r="B483" t="s">
        <v>1029</v>
      </c>
      <c r="C483" t="s">
        <v>540</v>
      </c>
      <c r="D483" t="s">
        <v>617</v>
      </c>
      <c r="E483">
        <v>0</v>
      </c>
      <c r="F483" t="s">
        <v>618</v>
      </c>
      <c r="G483">
        <v>25689460.75</v>
      </c>
      <c r="H483">
        <v>0</v>
      </c>
      <c r="I483">
        <v>0</v>
      </c>
      <c r="J483">
        <v>0</v>
      </c>
      <c r="K483">
        <v>25689460.75</v>
      </c>
    </row>
    <row r="484" spans="1:11" x14ac:dyDescent="0.25">
      <c r="A484" t="s">
        <v>304</v>
      </c>
      <c r="B484" t="s">
        <v>305</v>
      </c>
      <c r="C484" t="s">
        <v>540</v>
      </c>
      <c r="D484" t="s">
        <v>631</v>
      </c>
      <c r="E484">
        <v>0</v>
      </c>
      <c r="F484" t="s">
        <v>632</v>
      </c>
      <c r="G484">
        <v>280838.05</v>
      </c>
      <c r="H484">
        <v>36297.58</v>
      </c>
      <c r="I484">
        <v>0</v>
      </c>
      <c r="J484">
        <v>0</v>
      </c>
      <c r="K484">
        <v>317135.63</v>
      </c>
    </row>
    <row r="485" spans="1:11" x14ac:dyDescent="0.25">
      <c r="A485" t="s">
        <v>306</v>
      </c>
      <c r="B485" t="s">
        <v>307</v>
      </c>
      <c r="C485" t="s">
        <v>540</v>
      </c>
      <c r="D485" t="s">
        <v>621</v>
      </c>
      <c r="E485">
        <v>0</v>
      </c>
      <c r="F485" t="s">
        <v>622</v>
      </c>
      <c r="G485">
        <v>0</v>
      </c>
      <c r="H485">
        <v>0</v>
      </c>
      <c r="I485">
        <v>0</v>
      </c>
      <c r="J485">
        <v>-387219.15</v>
      </c>
      <c r="K485">
        <v>-387219.15</v>
      </c>
    </row>
    <row r="486" spans="1:11" x14ac:dyDescent="0.25">
      <c r="A486" t="s">
        <v>308</v>
      </c>
      <c r="B486" t="s">
        <v>309</v>
      </c>
      <c r="C486" t="s">
        <v>540</v>
      </c>
      <c r="D486" t="s">
        <v>563</v>
      </c>
      <c r="E486">
        <v>0</v>
      </c>
      <c r="F486" t="s">
        <v>564</v>
      </c>
      <c r="G486">
        <v>298920.82</v>
      </c>
      <c r="H486">
        <v>2409787.6</v>
      </c>
      <c r="I486">
        <v>0</v>
      </c>
      <c r="J486">
        <v>0</v>
      </c>
      <c r="K486">
        <v>2708708.42</v>
      </c>
    </row>
    <row r="487" spans="1:11" x14ac:dyDescent="0.25">
      <c r="A487" t="s">
        <v>1153</v>
      </c>
      <c r="B487" t="s">
        <v>1154</v>
      </c>
      <c r="C487" t="s">
        <v>540</v>
      </c>
      <c r="D487" t="s">
        <v>559</v>
      </c>
      <c r="E487">
        <v>0</v>
      </c>
      <c r="F487" t="s">
        <v>560</v>
      </c>
      <c r="G487">
        <v>450000</v>
      </c>
      <c r="H487">
        <v>0</v>
      </c>
      <c r="I487">
        <v>0</v>
      </c>
      <c r="J487">
        <v>0</v>
      </c>
      <c r="K487">
        <v>450000</v>
      </c>
    </row>
    <row r="488" spans="1:11" x14ac:dyDescent="0.25">
      <c r="A488" t="s">
        <v>310</v>
      </c>
      <c r="B488" t="s">
        <v>311</v>
      </c>
      <c r="C488" t="s">
        <v>540</v>
      </c>
      <c r="D488" t="s">
        <v>553</v>
      </c>
      <c r="E488">
        <v>0</v>
      </c>
      <c r="F488" t="s">
        <v>554</v>
      </c>
      <c r="G488">
        <v>435600</v>
      </c>
      <c r="H488">
        <v>0</v>
      </c>
      <c r="I488">
        <v>0</v>
      </c>
      <c r="J488">
        <v>0</v>
      </c>
      <c r="K488">
        <v>435600</v>
      </c>
    </row>
    <row r="489" spans="1:11" x14ac:dyDescent="0.25">
      <c r="A489" t="s">
        <v>1030</v>
      </c>
      <c r="B489" t="s">
        <v>950</v>
      </c>
      <c r="C489" t="s">
        <v>540</v>
      </c>
      <c r="D489" t="s">
        <v>549</v>
      </c>
      <c r="E489">
        <v>0</v>
      </c>
      <c r="F489" t="s">
        <v>550</v>
      </c>
      <c r="G489">
        <v>39595210</v>
      </c>
      <c r="H489">
        <v>0</v>
      </c>
      <c r="I489">
        <v>0</v>
      </c>
      <c r="J489">
        <v>0</v>
      </c>
      <c r="K489">
        <v>39595210</v>
      </c>
    </row>
    <row r="490" spans="1:11" x14ac:dyDescent="0.25">
      <c r="A490" t="s">
        <v>1155</v>
      </c>
      <c r="B490" t="s">
        <v>1156</v>
      </c>
      <c r="C490" t="s">
        <v>540</v>
      </c>
      <c r="D490" t="s">
        <v>639</v>
      </c>
      <c r="E490">
        <v>0</v>
      </c>
      <c r="F490" t="s">
        <v>640</v>
      </c>
      <c r="G490">
        <v>2300000</v>
      </c>
      <c r="H490">
        <v>0</v>
      </c>
      <c r="I490">
        <v>0</v>
      </c>
      <c r="J490">
        <v>0</v>
      </c>
      <c r="K490">
        <v>2300000</v>
      </c>
    </row>
    <row r="491" spans="1:11" x14ac:dyDescent="0.25">
      <c r="A491" t="s">
        <v>1031</v>
      </c>
      <c r="B491" t="s">
        <v>951</v>
      </c>
      <c r="C491" t="s">
        <v>540</v>
      </c>
      <c r="D491" t="s">
        <v>607</v>
      </c>
      <c r="E491">
        <v>0</v>
      </c>
      <c r="F491" t="s">
        <v>608</v>
      </c>
      <c r="G491">
        <v>1775201.03</v>
      </c>
      <c r="H491">
        <v>1224087.73</v>
      </c>
      <c r="I491">
        <v>997501.27</v>
      </c>
      <c r="J491">
        <v>0</v>
      </c>
      <c r="K491">
        <v>3996790.03</v>
      </c>
    </row>
    <row r="492" spans="1:11" x14ac:dyDescent="0.25">
      <c r="A492" t="s">
        <v>812</v>
      </c>
      <c r="B492" t="s">
        <v>813</v>
      </c>
      <c r="C492" t="s">
        <v>540</v>
      </c>
      <c r="D492" t="s">
        <v>545</v>
      </c>
      <c r="E492">
        <v>0</v>
      </c>
      <c r="F492" t="s">
        <v>546</v>
      </c>
      <c r="G492">
        <v>110621.66</v>
      </c>
      <c r="H492">
        <v>0</v>
      </c>
      <c r="I492">
        <v>0</v>
      </c>
      <c r="J492">
        <v>0</v>
      </c>
      <c r="K492">
        <v>110621.66</v>
      </c>
    </row>
    <row r="493" spans="1:11" x14ac:dyDescent="0.25">
      <c r="A493" t="s">
        <v>1032</v>
      </c>
      <c r="B493" t="s">
        <v>952</v>
      </c>
      <c r="C493" t="s">
        <v>540</v>
      </c>
      <c r="D493" t="s">
        <v>1033</v>
      </c>
      <c r="E493">
        <v>0</v>
      </c>
      <c r="F493" t="s">
        <v>1034</v>
      </c>
      <c r="G493">
        <v>311500</v>
      </c>
      <c r="H493">
        <v>0</v>
      </c>
      <c r="I493">
        <v>0</v>
      </c>
      <c r="J493">
        <v>0</v>
      </c>
      <c r="K493">
        <v>311500</v>
      </c>
    </row>
    <row r="494" spans="1:11" x14ac:dyDescent="0.25">
      <c r="A494" t="s">
        <v>314</v>
      </c>
      <c r="B494" t="s">
        <v>315</v>
      </c>
      <c r="C494" t="s">
        <v>540</v>
      </c>
      <c r="D494" t="s">
        <v>647</v>
      </c>
      <c r="E494">
        <v>0</v>
      </c>
      <c r="F494" t="s">
        <v>648</v>
      </c>
      <c r="G494">
        <v>230000.01</v>
      </c>
      <c r="H494">
        <v>1003000</v>
      </c>
      <c r="I494">
        <v>0</v>
      </c>
      <c r="J494">
        <v>0</v>
      </c>
      <c r="K494">
        <v>1233000.01</v>
      </c>
    </row>
    <row r="495" spans="1:11" x14ac:dyDescent="0.25">
      <c r="A495" t="s">
        <v>1206</v>
      </c>
      <c r="B495" t="s">
        <v>1207</v>
      </c>
      <c r="C495" t="s">
        <v>540</v>
      </c>
      <c r="D495" t="s">
        <v>559</v>
      </c>
      <c r="E495">
        <v>3600000</v>
      </c>
      <c r="F495" t="s">
        <v>560</v>
      </c>
      <c r="G495">
        <v>0</v>
      </c>
      <c r="H495">
        <v>0</v>
      </c>
      <c r="I495">
        <v>0</v>
      </c>
      <c r="J495">
        <v>0</v>
      </c>
      <c r="K495">
        <v>3600000</v>
      </c>
    </row>
    <row r="496" spans="1:11" x14ac:dyDescent="0.25">
      <c r="A496" t="s">
        <v>316</v>
      </c>
      <c r="B496" t="s">
        <v>317</v>
      </c>
      <c r="C496" t="s">
        <v>540</v>
      </c>
      <c r="D496" t="s">
        <v>553</v>
      </c>
      <c r="E496">
        <v>0</v>
      </c>
      <c r="F496" t="s">
        <v>554</v>
      </c>
      <c r="G496">
        <v>336156.98</v>
      </c>
      <c r="H496">
        <v>0</v>
      </c>
      <c r="I496">
        <v>0</v>
      </c>
      <c r="J496">
        <v>0</v>
      </c>
      <c r="K496">
        <v>336156.98</v>
      </c>
    </row>
    <row r="497" spans="1:11" x14ac:dyDescent="0.25">
      <c r="A497" t="s">
        <v>1035</v>
      </c>
      <c r="B497" t="s">
        <v>953</v>
      </c>
      <c r="C497" t="s">
        <v>540</v>
      </c>
      <c r="D497" t="s">
        <v>545</v>
      </c>
      <c r="E497">
        <v>0</v>
      </c>
      <c r="F497" t="s">
        <v>546</v>
      </c>
      <c r="G497">
        <v>0</v>
      </c>
      <c r="H497">
        <v>142838.15</v>
      </c>
      <c r="I497">
        <v>0</v>
      </c>
      <c r="J497">
        <v>0</v>
      </c>
      <c r="K497">
        <v>142838.15</v>
      </c>
    </row>
    <row r="498" spans="1:11" x14ac:dyDescent="0.25">
      <c r="A498" t="s">
        <v>318</v>
      </c>
      <c r="B498" t="s">
        <v>319</v>
      </c>
      <c r="C498" t="s">
        <v>540</v>
      </c>
      <c r="D498" t="s">
        <v>649</v>
      </c>
      <c r="E498">
        <v>0</v>
      </c>
      <c r="F498" t="s">
        <v>650</v>
      </c>
      <c r="G498">
        <v>4214510.9400000004</v>
      </c>
      <c r="H498">
        <v>6159807.25</v>
      </c>
      <c r="I498">
        <v>0</v>
      </c>
      <c r="J498">
        <v>0</v>
      </c>
      <c r="K498">
        <v>10374318.189999999</v>
      </c>
    </row>
    <row r="499" spans="1:11" x14ac:dyDescent="0.25">
      <c r="A499" t="s">
        <v>750</v>
      </c>
      <c r="B499" t="s">
        <v>751</v>
      </c>
      <c r="C499" t="s">
        <v>540</v>
      </c>
      <c r="D499" t="s">
        <v>627</v>
      </c>
      <c r="E499">
        <v>0</v>
      </c>
      <c r="F499" t="s">
        <v>628</v>
      </c>
      <c r="G499">
        <v>244703397.30000001</v>
      </c>
      <c r="H499">
        <v>124423307.7</v>
      </c>
      <c r="I499">
        <v>0</v>
      </c>
      <c r="J499">
        <v>0</v>
      </c>
      <c r="K499">
        <v>369126705</v>
      </c>
    </row>
    <row r="500" spans="1:11" x14ac:dyDescent="0.25">
      <c r="A500" t="s">
        <v>651</v>
      </c>
      <c r="B500" t="s">
        <v>1157</v>
      </c>
      <c r="C500" t="s">
        <v>540</v>
      </c>
      <c r="D500" t="s">
        <v>603</v>
      </c>
      <c r="E500">
        <v>0</v>
      </c>
      <c r="F500" t="s">
        <v>604</v>
      </c>
      <c r="G500">
        <v>9813717.3800000008</v>
      </c>
      <c r="H500">
        <v>0</v>
      </c>
      <c r="I500">
        <v>0</v>
      </c>
      <c r="J500">
        <v>0</v>
      </c>
      <c r="K500">
        <v>9813717.3800000008</v>
      </c>
    </row>
    <row r="501" spans="1:11" x14ac:dyDescent="0.25">
      <c r="A501" t="s">
        <v>503</v>
      </c>
      <c r="B501" t="s">
        <v>504</v>
      </c>
      <c r="C501" t="s">
        <v>540</v>
      </c>
      <c r="D501" t="s">
        <v>623</v>
      </c>
      <c r="E501">
        <v>0</v>
      </c>
      <c r="F501" t="s">
        <v>624</v>
      </c>
      <c r="G501">
        <v>10381552.1</v>
      </c>
      <c r="H501">
        <v>0</v>
      </c>
      <c r="I501">
        <v>0</v>
      </c>
      <c r="J501">
        <v>0</v>
      </c>
      <c r="K501">
        <v>10381552.1</v>
      </c>
    </row>
    <row r="502" spans="1:11" x14ac:dyDescent="0.25">
      <c r="A502" t="s">
        <v>320</v>
      </c>
      <c r="B502" t="s">
        <v>321</v>
      </c>
      <c r="C502" t="s">
        <v>540</v>
      </c>
      <c r="D502" t="s">
        <v>553</v>
      </c>
      <c r="E502">
        <v>0</v>
      </c>
      <c r="F502" t="s">
        <v>554</v>
      </c>
      <c r="G502">
        <v>2259244.34</v>
      </c>
      <c r="H502">
        <v>2049440.85</v>
      </c>
      <c r="I502">
        <v>0</v>
      </c>
      <c r="J502">
        <v>0</v>
      </c>
      <c r="K502">
        <v>4308685.1900000004</v>
      </c>
    </row>
    <row r="503" spans="1:11" x14ac:dyDescent="0.25">
      <c r="A503" t="s">
        <v>1036</v>
      </c>
      <c r="B503" t="s">
        <v>954</v>
      </c>
      <c r="C503" t="s">
        <v>540</v>
      </c>
      <c r="D503" t="s">
        <v>1037</v>
      </c>
      <c r="E503">
        <v>0</v>
      </c>
      <c r="F503" t="s">
        <v>1038</v>
      </c>
      <c r="G503">
        <v>5137000</v>
      </c>
      <c r="H503">
        <v>0</v>
      </c>
      <c r="I503">
        <v>0</v>
      </c>
      <c r="J503">
        <v>0</v>
      </c>
      <c r="K503">
        <v>5137000</v>
      </c>
    </row>
    <row r="504" spans="1:11" x14ac:dyDescent="0.25">
      <c r="A504" t="s">
        <v>322</v>
      </c>
      <c r="B504" t="s">
        <v>323</v>
      </c>
      <c r="C504" t="s">
        <v>540</v>
      </c>
      <c r="D504" t="s">
        <v>589</v>
      </c>
      <c r="E504">
        <v>0</v>
      </c>
      <c r="F504" t="s">
        <v>590</v>
      </c>
      <c r="G504">
        <v>2886282.67</v>
      </c>
      <c r="H504">
        <v>3368997.05</v>
      </c>
      <c r="I504">
        <v>0</v>
      </c>
      <c r="J504">
        <v>0</v>
      </c>
      <c r="K504">
        <v>6255279.7199999997</v>
      </c>
    </row>
    <row r="505" spans="1:11" x14ac:dyDescent="0.25">
      <c r="A505" t="s">
        <v>324</v>
      </c>
      <c r="B505" t="s">
        <v>325</v>
      </c>
      <c r="C505" t="s">
        <v>540</v>
      </c>
      <c r="D505" t="s">
        <v>569</v>
      </c>
      <c r="E505">
        <v>0</v>
      </c>
      <c r="F505" t="s">
        <v>570</v>
      </c>
      <c r="G505">
        <v>689708.3</v>
      </c>
      <c r="H505">
        <v>0</v>
      </c>
      <c r="I505">
        <v>0</v>
      </c>
      <c r="J505">
        <v>-258135.9</v>
      </c>
      <c r="K505">
        <v>431572.4</v>
      </c>
    </row>
    <row r="506" spans="1:11" x14ac:dyDescent="0.25">
      <c r="A506" t="s">
        <v>326</v>
      </c>
      <c r="B506" t="s">
        <v>327</v>
      </c>
      <c r="C506" t="s">
        <v>540</v>
      </c>
      <c r="D506" t="s">
        <v>653</v>
      </c>
      <c r="E506">
        <v>0</v>
      </c>
      <c r="F506" t="s">
        <v>654</v>
      </c>
      <c r="G506">
        <v>0</v>
      </c>
      <c r="H506">
        <v>14142961.199999999</v>
      </c>
      <c r="I506">
        <v>0</v>
      </c>
      <c r="J506">
        <v>0</v>
      </c>
      <c r="K506">
        <v>14142961.199999999</v>
      </c>
    </row>
    <row r="507" spans="1:11" x14ac:dyDescent="0.25">
      <c r="A507" t="s">
        <v>328</v>
      </c>
      <c r="B507" t="s">
        <v>329</v>
      </c>
      <c r="C507" t="s">
        <v>540</v>
      </c>
      <c r="D507" t="s">
        <v>655</v>
      </c>
      <c r="E507">
        <v>0</v>
      </c>
      <c r="F507" t="s">
        <v>656</v>
      </c>
      <c r="G507">
        <v>309760</v>
      </c>
      <c r="H507">
        <v>0</v>
      </c>
      <c r="I507">
        <v>0</v>
      </c>
      <c r="J507">
        <v>0</v>
      </c>
      <c r="K507">
        <v>309760</v>
      </c>
    </row>
    <row r="508" spans="1:11" x14ac:dyDescent="0.25">
      <c r="A508" t="s">
        <v>1158</v>
      </c>
      <c r="B508" t="s">
        <v>1159</v>
      </c>
      <c r="C508" t="s">
        <v>540</v>
      </c>
      <c r="D508" t="s">
        <v>559</v>
      </c>
      <c r="E508">
        <v>0</v>
      </c>
      <c r="F508" t="s">
        <v>560</v>
      </c>
      <c r="G508">
        <v>14999999.99</v>
      </c>
      <c r="H508">
        <v>0</v>
      </c>
      <c r="I508">
        <v>0</v>
      </c>
      <c r="J508">
        <v>0</v>
      </c>
      <c r="K508">
        <v>14999999.99</v>
      </c>
    </row>
    <row r="509" spans="1:11" x14ac:dyDescent="0.25">
      <c r="A509" t="s">
        <v>1039</v>
      </c>
      <c r="B509" t="s">
        <v>955</v>
      </c>
      <c r="C509" t="s">
        <v>540</v>
      </c>
      <c r="D509" t="s">
        <v>693</v>
      </c>
      <c r="E509">
        <v>0</v>
      </c>
      <c r="F509" t="s">
        <v>694</v>
      </c>
      <c r="G509">
        <v>0</v>
      </c>
      <c r="H509">
        <v>63472</v>
      </c>
      <c r="I509">
        <v>0</v>
      </c>
      <c r="J509">
        <v>0</v>
      </c>
      <c r="K509">
        <v>63472</v>
      </c>
    </row>
    <row r="510" spans="1:11" x14ac:dyDescent="0.25">
      <c r="A510" t="s">
        <v>873</v>
      </c>
      <c r="B510" t="s">
        <v>874</v>
      </c>
      <c r="C510" t="s">
        <v>540</v>
      </c>
      <c r="D510" t="s">
        <v>545</v>
      </c>
      <c r="E510">
        <v>0</v>
      </c>
      <c r="F510" t="s">
        <v>546</v>
      </c>
      <c r="G510">
        <v>17011.39</v>
      </c>
      <c r="H510">
        <v>1095627.3799999999</v>
      </c>
      <c r="I510">
        <v>0</v>
      </c>
      <c r="J510">
        <v>0</v>
      </c>
      <c r="K510">
        <v>1112638.77</v>
      </c>
    </row>
    <row r="511" spans="1:11" x14ac:dyDescent="0.25">
      <c r="A511" t="s">
        <v>1208</v>
      </c>
      <c r="B511" t="s">
        <v>1209</v>
      </c>
      <c r="C511" t="s">
        <v>540</v>
      </c>
      <c r="D511" t="s">
        <v>1131</v>
      </c>
      <c r="E511">
        <v>1366662.33</v>
      </c>
      <c r="F511" t="s">
        <v>1132</v>
      </c>
      <c r="G511">
        <v>0</v>
      </c>
      <c r="H511">
        <v>0</v>
      </c>
      <c r="I511">
        <v>0</v>
      </c>
      <c r="J511">
        <v>0</v>
      </c>
      <c r="K511">
        <v>1366662.33</v>
      </c>
    </row>
    <row r="512" spans="1:11" x14ac:dyDescent="0.25">
      <c r="A512" t="s">
        <v>1160</v>
      </c>
      <c r="B512" t="s">
        <v>1161</v>
      </c>
      <c r="C512" t="s">
        <v>540</v>
      </c>
      <c r="D512" t="s">
        <v>559</v>
      </c>
      <c r="E512">
        <v>0</v>
      </c>
      <c r="F512" t="s">
        <v>560</v>
      </c>
      <c r="G512">
        <v>0</v>
      </c>
      <c r="H512">
        <v>3317916.8</v>
      </c>
      <c r="I512">
        <v>0</v>
      </c>
      <c r="J512">
        <v>0</v>
      </c>
      <c r="K512">
        <v>3317916.8</v>
      </c>
    </row>
    <row r="513" spans="1:11" x14ac:dyDescent="0.25">
      <c r="A513" t="s">
        <v>330</v>
      </c>
      <c r="B513" t="s">
        <v>331</v>
      </c>
      <c r="C513" t="s">
        <v>540</v>
      </c>
      <c r="D513" t="s">
        <v>603</v>
      </c>
      <c r="E513">
        <v>0</v>
      </c>
      <c r="F513" t="s">
        <v>604</v>
      </c>
      <c r="G513">
        <v>0</v>
      </c>
      <c r="H513">
        <v>0</v>
      </c>
      <c r="I513">
        <v>0</v>
      </c>
      <c r="J513">
        <v>88538261.290000007</v>
      </c>
      <c r="K513">
        <v>88538261.290000007</v>
      </c>
    </row>
    <row r="514" spans="1:11" x14ac:dyDescent="0.25">
      <c r="A514" t="s">
        <v>875</v>
      </c>
      <c r="B514" t="s">
        <v>876</v>
      </c>
      <c r="C514" t="s">
        <v>540</v>
      </c>
      <c r="D514" t="s">
        <v>589</v>
      </c>
      <c r="E514">
        <v>0</v>
      </c>
      <c r="F514" t="s">
        <v>590</v>
      </c>
      <c r="G514">
        <v>208570.12</v>
      </c>
      <c r="H514">
        <v>0</v>
      </c>
      <c r="I514">
        <v>0</v>
      </c>
      <c r="J514">
        <v>0</v>
      </c>
      <c r="K514">
        <v>208570.12</v>
      </c>
    </row>
    <row r="515" spans="1:11" x14ac:dyDescent="0.25">
      <c r="A515" t="s">
        <v>1040</v>
      </c>
      <c r="B515" t="s">
        <v>1041</v>
      </c>
      <c r="C515" t="s">
        <v>540</v>
      </c>
      <c r="D515" t="s">
        <v>553</v>
      </c>
      <c r="E515">
        <v>0</v>
      </c>
      <c r="F515" t="s">
        <v>554</v>
      </c>
      <c r="G515">
        <v>0</v>
      </c>
      <c r="H515">
        <v>3138494.79</v>
      </c>
      <c r="I515">
        <v>0</v>
      </c>
      <c r="J515">
        <v>0</v>
      </c>
      <c r="K515">
        <v>3138494.79</v>
      </c>
    </row>
    <row r="516" spans="1:11" x14ac:dyDescent="0.25">
      <c r="A516" t="s">
        <v>332</v>
      </c>
      <c r="B516" t="s">
        <v>333</v>
      </c>
      <c r="C516" t="s">
        <v>540</v>
      </c>
      <c r="D516" t="s">
        <v>603</v>
      </c>
      <c r="E516">
        <v>0</v>
      </c>
      <c r="F516" t="s">
        <v>604</v>
      </c>
      <c r="G516">
        <v>0</v>
      </c>
      <c r="H516">
        <v>0</v>
      </c>
      <c r="I516">
        <v>0</v>
      </c>
      <c r="J516">
        <v>5896891</v>
      </c>
      <c r="K516">
        <v>5896891</v>
      </c>
    </row>
    <row r="517" spans="1:11" x14ac:dyDescent="0.25">
      <c r="A517" t="s">
        <v>1162</v>
      </c>
      <c r="B517" t="s">
        <v>1163</v>
      </c>
      <c r="C517" t="s">
        <v>540</v>
      </c>
      <c r="D517" t="s">
        <v>784</v>
      </c>
      <c r="E517">
        <v>0</v>
      </c>
      <c r="F517" t="s">
        <v>785</v>
      </c>
      <c r="G517">
        <v>13884750</v>
      </c>
      <c r="H517">
        <v>0</v>
      </c>
      <c r="I517">
        <v>0</v>
      </c>
      <c r="J517">
        <v>0</v>
      </c>
      <c r="K517">
        <v>13884750</v>
      </c>
    </row>
    <row r="518" spans="1:11" x14ac:dyDescent="0.25">
      <c r="A518" t="s">
        <v>877</v>
      </c>
      <c r="B518" t="s">
        <v>878</v>
      </c>
      <c r="C518" t="s">
        <v>540</v>
      </c>
      <c r="D518" t="s">
        <v>681</v>
      </c>
      <c r="E518">
        <v>0</v>
      </c>
      <c r="F518" t="s">
        <v>682</v>
      </c>
      <c r="G518">
        <v>280757.86</v>
      </c>
      <c r="H518">
        <v>84431.97</v>
      </c>
      <c r="I518">
        <v>0</v>
      </c>
      <c r="J518">
        <v>0</v>
      </c>
      <c r="K518">
        <v>365189.83</v>
      </c>
    </row>
    <row r="519" spans="1:11" x14ac:dyDescent="0.25">
      <c r="A519" t="s">
        <v>336</v>
      </c>
      <c r="B519" t="s">
        <v>337</v>
      </c>
      <c r="C519" t="s">
        <v>540</v>
      </c>
      <c r="D519" t="s">
        <v>553</v>
      </c>
      <c r="E519">
        <v>0</v>
      </c>
      <c r="F519" t="s">
        <v>554</v>
      </c>
      <c r="G519">
        <v>0</v>
      </c>
      <c r="H519">
        <v>0</v>
      </c>
      <c r="I519">
        <v>0</v>
      </c>
      <c r="J519">
        <v>-0.01</v>
      </c>
      <c r="K519">
        <v>-0.01</v>
      </c>
    </row>
    <row r="520" spans="1:11" x14ac:dyDescent="0.25">
      <c r="A520" t="s">
        <v>338</v>
      </c>
      <c r="B520" t="s">
        <v>339</v>
      </c>
      <c r="C520" t="s">
        <v>540</v>
      </c>
      <c r="D520" t="s">
        <v>601</v>
      </c>
      <c r="E520">
        <v>0</v>
      </c>
      <c r="F520" t="s">
        <v>602</v>
      </c>
      <c r="G520">
        <v>46454001.520000003</v>
      </c>
      <c r="H520">
        <v>10450548.970000001</v>
      </c>
      <c r="I520">
        <v>0</v>
      </c>
      <c r="J520">
        <v>0</v>
      </c>
      <c r="K520">
        <v>56904550.490000002</v>
      </c>
    </row>
    <row r="521" spans="1:11" x14ac:dyDescent="0.25">
      <c r="A521" t="s">
        <v>1042</v>
      </c>
      <c r="B521" t="s">
        <v>1043</v>
      </c>
      <c r="C521" t="s">
        <v>540</v>
      </c>
      <c r="D521" t="s">
        <v>611</v>
      </c>
      <c r="E521">
        <v>0</v>
      </c>
      <c r="F521" t="s">
        <v>612</v>
      </c>
      <c r="G521">
        <v>132389.69</v>
      </c>
      <c r="H521">
        <v>0</v>
      </c>
      <c r="I521">
        <v>0</v>
      </c>
      <c r="J521">
        <v>0</v>
      </c>
      <c r="K521">
        <v>132389.69</v>
      </c>
    </row>
    <row r="522" spans="1:11" x14ac:dyDescent="0.25">
      <c r="A522" t="s">
        <v>340</v>
      </c>
      <c r="B522" t="s">
        <v>341</v>
      </c>
      <c r="C522" t="s">
        <v>540</v>
      </c>
      <c r="D522" t="s">
        <v>553</v>
      </c>
      <c r="E522">
        <v>0</v>
      </c>
      <c r="F522" t="s">
        <v>554</v>
      </c>
      <c r="G522">
        <v>6012343.3700000001</v>
      </c>
      <c r="H522">
        <v>0</v>
      </c>
      <c r="I522">
        <v>0</v>
      </c>
      <c r="J522">
        <v>0</v>
      </c>
      <c r="K522">
        <v>6012343.3700000001</v>
      </c>
    </row>
    <row r="523" spans="1:11" x14ac:dyDescent="0.25">
      <c r="A523" t="s">
        <v>881</v>
      </c>
      <c r="B523" t="s">
        <v>882</v>
      </c>
      <c r="C523" t="s">
        <v>540</v>
      </c>
      <c r="D523" t="s">
        <v>639</v>
      </c>
      <c r="E523">
        <v>0</v>
      </c>
      <c r="F523" t="s">
        <v>640</v>
      </c>
      <c r="G523">
        <v>836110</v>
      </c>
      <c r="H523">
        <v>610929</v>
      </c>
      <c r="I523">
        <v>0</v>
      </c>
      <c r="J523">
        <v>0</v>
      </c>
      <c r="K523">
        <v>1447039</v>
      </c>
    </row>
    <row r="524" spans="1:11" x14ac:dyDescent="0.25">
      <c r="A524" t="s">
        <v>342</v>
      </c>
      <c r="B524" t="s">
        <v>343</v>
      </c>
      <c r="C524" t="s">
        <v>540</v>
      </c>
      <c r="D524" t="s">
        <v>663</v>
      </c>
      <c r="E524">
        <v>0</v>
      </c>
      <c r="F524" t="s">
        <v>664</v>
      </c>
      <c r="G524">
        <v>118814037.51000001</v>
      </c>
      <c r="H524">
        <v>31539276.66</v>
      </c>
      <c r="I524">
        <v>0</v>
      </c>
      <c r="J524">
        <v>0</v>
      </c>
      <c r="K524">
        <v>150353314.16999999</v>
      </c>
    </row>
    <row r="525" spans="1:11" x14ac:dyDescent="0.25">
      <c r="A525" t="s">
        <v>1164</v>
      </c>
      <c r="B525" t="s">
        <v>1165</v>
      </c>
      <c r="C525" t="s">
        <v>540</v>
      </c>
      <c r="D525" t="s">
        <v>603</v>
      </c>
      <c r="E525">
        <v>0</v>
      </c>
      <c r="F525" t="s">
        <v>604</v>
      </c>
      <c r="G525">
        <v>390000.01</v>
      </c>
      <c r="H525">
        <v>0</v>
      </c>
      <c r="I525">
        <v>0</v>
      </c>
      <c r="J525">
        <v>0</v>
      </c>
      <c r="K525">
        <v>390000.01</v>
      </c>
    </row>
    <row r="526" spans="1:11" x14ac:dyDescent="0.25">
      <c r="A526" t="s">
        <v>344</v>
      </c>
      <c r="B526" t="s">
        <v>345</v>
      </c>
      <c r="C526" t="s">
        <v>540</v>
      </c>
      <c r="D526" t="s">
        <v>603</v>
      </c>
      <c r="E526">
        <v>0</v>
      </c>
      <c r="F526" t="s">
        <v>604</v>
      </c>
      <c r="G526">
        <v>0</v>
      </c>
      <c r="H526">
        <v>0</v>
      </c>
      <c r="I526">
        <v>0</v>
      </c>
      <c r="J526">
        <v>335045.59999999998</v>
      </c>
      <c r="K526">
        <v>335045.59999999998</v>
      </c>
    </row>
    <row r="527" spans="1:11" x14ac:dyDescent="0.25">
      <c r="A527" t="s">
        <v>346</v>
      </c>
      <c r="B527" t="s">
        <v>347</v>
      </c>
      <c r="C527" t="s">
        <v>540</v>
      </c>
      <c r="D527" t="s">
        <v>603</v>
      </c>
      <c r="E527">
        <v>0</v>
      </c>
      <c r="F527" t="s">
        <v>604</v>
      </c>
      <c r="G527">
        <v>0</v>
      </c>
      <c r="H527">
        <v>0</v>
      </c>
      <c r="I527">
        <v>0</v>
      </c>
      <c r="J527">
        <v>1782642.4</v>
      </c>
      <c r="K527">
        <v>1782642.4</v>
      </c>
    </row>
    <row r="528" spans="1:11" x14ac:dyDescent="0.25">
      <c r="A528" t="s">
        <v>1044</v>
      </c>
      <c r="B528" t="s">
        <v>956</v>
      </c>
      <c r="C528" t="s">
        <v>540</v>
      </c>
      <c r="D528" t="s">
        <v>631</v>
      </c>
      <c r="E528">
        <v>0</v>
      </c>
      <c r="F528" t="s">
        <v>632</v>
      </c>
      <c r="G528">
        <v>0</v>
      </c>
      <c r="H528">
        <v>10635900</v>
      </c>
      <c r="I528">
        <v>0</v>
      </c>
      <c r="J528">
        <v>0</v>
      </c>
      <c r="K528">
        <v>10635900</v>
      </c>
    </row>
    <row r="529" spans="1:11" x14ac:dyDescent="0.25">
      <c r="A529" t="s">
        <v>348</v>
      </c>
      <c r="B529" t="s">
        <v>349</v>
      </c>
      <c r="C529" t="s">
        <v>540</v>
      </c>
      <c r="D529" t="s">
        <v>665</v>
      </c>
      <c r="E529">
        <v>0</v>
      </c>
      <c r="F529" t="s">
        <v>666</v>
      </c>
      <c r="G529">
        <v>0</v>
      </c>
      <c r="H529">
        <v>3400000</v>
      </c>
      <c r="I529">
        <v>0</v>
      </c>
      <c r="J529">
        <v>0</v>
      </c>
      <c r="K529">
        <v>3400000</v>
      </c>
    </row>
    <row r="530" spans="1:11" x14ac:dyDescent="0.25">
      <c r="A530" t="s">
        <v>350</v>
      </c>
      <c r="B530" t="s">
        <v>351</v>
      </c>
      <c r="C530" t="s">
        <v>540</v>
      </c>
      <c r="D530" t="s">
        <v>551</v>
      </c>
      <c r="E530">
        <v>0</v>
      </c>
      <c r="F530" t="s">
        <v>552</v>
      </c>
      <c r="G530">
        <v>279005</v>
      </c>
      <c r="H530">
        <v>0</v>
      </c>
      <c r="I530">
        <v>0</v>
      </c>
      <c r="J530">
        <v>0</v>
      </c>
      <c r="K530">
        <v>279005</v>
      </c>
    </row>
    <row r="531" spans="1:11" x14ac:dyDescent="0.25">
      <c r="A531" t="s">
        <v>756</v>
      </c>
      <c r="B531" t="s">
        <v>757</v>
      </c>
      <c r="C531" t="s">
        <v>540</v>
      </c>
      <c r="D531" t="s">
        <v>758</v>
      </c>
      <c r="E531">
        <v>0</v>
      </c>
      <c r="F531" t="s">
        <v>759</v>
      </c>
      <c r="G531">
        <v>382617.81</v>
      </c>
      <c r="H531">
        <v>677994.65</v>
      </c>
      <c r="I531">
        <v>0</v>
      </c>
      <c r="J531">
        <v>0</v>
      </c>
      <c r="K531">
        <v>1060612.46</v>
      </c>
    </row>
    <row r="532" spans="1:11" x14ac:dyDescent="0.25">
      <c r="A532" t="s">
        <v>1166</v>
      </c>
      <c r="B532" t="s">
        <v>1167</v>
      </c>
      <c r="C532" t="s">
        <v>540</v>
      </c>
      <c r="D532" t="s">
        <v>589</v>
      </c>
      <c r="E532">
        <v>0</v>
      </c>
      <c r="F532" t="s">
        <v>590</v>
      </c>
      <c r="G532">
        <v>443400.01</v>
      </c>
      <c r="H532">
        <v>0</v>
      </c>
      <c r="I532">
        <v>0</v>
      </c>
      <c r="J532">
        <v>0</v>
      </c>
      <c r="K532">
        <v>443400.01</v>
      </c>
    </row>
    <row r="533" spans="1:11" x14ac:dyDescent="0.25">
      <c r="A533" t="s">
        <v>816</v>
      </c>
      <c r="B533" t="s">
        <v>817</v>
      </c>
      <c r="C533" t="s">
        <v>540</v>
      </c>
      <c r="D533" t="s">
        <v>559</v>
      </c>
      <c r="E533">
        <v>0</v>
      </c>
      <c r="F533" t="s">
        <v>560</v>
      </c>
      <c r="G533">
        <v>83341.11</v>
      </c>
      <c r="H533">
        <v>0</v>
      </c>
      <c r="I533">
        <v>0</v>
      </c>
      <c r="J533">
        <v>0</v>
      </c>
      <c r="K533">
        <v>83341.11</v>
      </c>
    </row>
    <row r="534" spans="1:11" x14ac:dyDescent="0.25">
      <c r="A534" t="s">
        <v>1045</v>
      </c>
      <c r="B534" t="s">
        <v>1046</v>
      </c>
      <c r="C534" t="s">
        <v>540</v>
      </c>
      <c r="D534" t="s">
        <v>631</v>
      </c>
      <c r="E534">
        <v>0</v>
      </c>
      <c r="F534" t="s">
        <v>632</v>
      </c>
      <c r="G534">
        <v>1756600</v>
      </c>
      <c r="H534">
        <v>0</v>
      </c>
      <c r="I534">
        <v>0</v>
      </c>
      <c r="J534">
        <v>0</v>
      </c>
      <c r="K534">
        <v>1756600</v>
      </c>
    </row>
    <row r="535" spans="1:11" x14ac:dyDescent="0.25">
      <c r="A535" t="s">
        <v>1047</v>
      </c>
      <c r="B535" t="s">
        <v>957</v>
      </c>
      <c r="C535" t="s">
        <v>540</v>
      </c>
      <c r="D535" t="s">
        <v>563</v>
      </c>
      <c r="E535">
        <v>0</v>
      </c>
      <c r="F535" t="s">
        <v>564</v>
      </c>
      <c r="G535">
        <v>0</v>
      </c>
      <c r="H535">
        <v>22506000</v>
      </c>
      <c r="I535">
        <v>0</v>
      </c>
      <c r="J535">
        <v>0</v>
      </c>
      <c r="K535">
        <v>22506000</v>
      </c>
    </row>
    <row r="536" spans="1:11" x14ac:dyDescent="0.25">
      <c r="A536" t="s">
        <v>1048</v>
      </c>
      <c r="B536" t="s">
        <v>1049</v>
      </c>
      <c r="C536" t="s">
        <v>540</v>
      </c>
      <c r="D536" t="s">
        <v>982</v>
      </c>
      <c r="E536">
        <v>0</v>
      </c>
      <c r="F536" t="s">
        <v>983</v>
      </c>
      <c r="G536">
        <v>87120</v>
      </c>
      <c r="H536">
        <v>0</v>
      </c>
      <c r="I536">
        <v>0</v>
      </c>
      <c r="J536">
        <v>0</v>
      </c>
      <c r="K536">
        <v>87120</v>
      </c>
    </row>
    <row r="537" spans="1:11" x14ac:dyDescent="0.25">
      <c r="A537" t="s">
        <v>352</v>
      </c>
      <c r="B537" t="s">
        <v>353</v>
      </c>
      <c r="C537" t="s">
        <v>540</v>
      </c>
      <c r="D537" t="s">
        <v>633</v>
      </c>
      <c r="E537">
        <v>0</v>
      </c>
      <c r="F537" t="s">
        <v>634</v>
      </c>
      <c r="G537">
        <v>4849600</v>
      </c>
      <c r="H537">
        <v>3617200</v>
      </c>
      <c r="I537">
        <v>0</v>
      </c>
      <c r="J537">
        <v>0</v>
      </c>
      <c r="K537">
        <v>8466800</v>
      </c>
    </row>
    <row r="538" spans="1:11" x14ac:dyDescent="0.25">
      <c r="A538" t="s">
        <v>818</v>
      </c>
      <c r="B538" t="s">
        <v>819</v>
      </c>
      <c r="C538" t="s">
        <v>540</v>
      </c>
      <c r="D538" t="s">
        <v>565</v>
      </c>
      <c r="E538">
        <v>0</v>
      </c>
      <c r="F538" t="s">
        <v>566</v>
      </c>
      <c r="G538">
        <v>1603955</v>
      </c>
      <c r="H538">
        <v>42840</v>
      </c>
      <c r="I538">
        <v>0</v>
      </c>
      <c r="J538">
        <v>0</v>
      </c>
      <c r="K538">
        <v>1646795</v>
      </c>
    </row>
    <row r="539" spans="1:11" x14ac:dyDescent="0.25">
      <c r="A539" t="s">
        <v>1168</v>
      </c>
      <c r="B539" t="s">
        <v>1169</v>
      </c>
      <c r="C539" t="s">
        <v>540</v>
      </c>
      <c r="D539" t="s">
        <v>1170</v>
      </c>
      <c r="E539">
        <v>0</v>
      </c>
      <c r="F539" t="s">
        <v>1171</v>
      </c>
      <c r="G539">
        <v>5424290.8499999996</v>
      </c>
      <c r="H539">
        <v>0</v>
      </c>
      <c r="I539">
        <v>0</v>
      </c>
      <c r="J539">
        <v>0</v>
      </c>
      <c r="K539">
        <v>5424290.8499999996</v>
      </c>
    </row>
    <row r="540" spans="1:11" x14ac:dyDescent="0.25">
      <c r="A540" t="s">
        <v>1050</v>
      </c>
      <c r="B540" t="s">
        <v>1051</v>
      </c>
      <c r="C540" t="s">
        <v>540</v>
      </c>
      <c r="D540" t="s">
        <v>553</v>
      </c>
      <c r="E540">
        <v>0</v>
      </c>
      <c r="F540" t="s">
        <v>554</v>
      </c>
      <c r="G540">
        <v>374765.85</v>
      </c>
      <c r="H540">
        <v>0</v>
      </c>
      <c r="I540">
        <v>0</v>
      </c>
      <c r="J540">
        <v>0</v>
      </c>
      <c r="K540">
        <v>374765.85</v>
      </c>
    </row>
    <row r="541" spans="1:11" x14ac:dyDescent="0.25">
      <c r="A541" t="s">
        <v>354</v>
      </c>
      <c r="B541" t="s">
        <v>355</v>
      </c>
      <c r="C541" t="s">
        <v>540</v>
      </c>
      <c r="D541" t="s">
        <v>635</v>
      </c>
      <c r="E541">
        <v>0</v>
      </c>
      <c r="F541" t="s">
        <v>636</v>
      </c>
      <c r="G541">
        <v>1642877.5</v>
      </c>
      <c r="H541">
        <v>4528301.76</v>
      </c>
      <c r="I541">
        <v>0</v>
      </c>
      <c r="J541">
        <v>0</v>
      </c>
      <c r="K541">
        <v>6171179.2599999998</v>
      </c>
    </row>
    <row r="542" spans="1:11" x14ac:dyDescent="0.25">
      <c r="A542" t="s">
        <v>356</v>
      </c>
      <c r="B542" t="s">
        <v>357</v>
      </c>
      <c r="C542" t="s">
        <v>540</v>
      </c>
      <c r="D542" t="s">
        <v>667</v>
      </c>
      <c r="E542">
        <v>0</v>
      </c>
      <c r="F542" t="s">
        <v>668</v>
      </c>
      <c r="G542">
        <v>6789168.9100000001</v>
      </c>
      <c r="H542">
        <v>15428204.699999999</v>
      </c>
      <c r="I542">
        <v>3317700.94</v>
      </c>
      <c r="J542">
        <v>0</v>
      </c>
      <c r="K542">
        <v>25535074.550000001</v>
      </c>
    </row>
    <row r="543" spans="1:11" x14ac:dyDescent="0.25">
      <c r="A543" t="s">
        <v>358</v>
      </c>
      <c r="B543" t="s">
        <v>359</v>
      </c>
      <c r="C543" t="s">
        <v>540</v>
      </c>
      <c r="D543" t="s">
        <v>565</v>
      </c>
      <c r="E543">
        <v>0</v>
      </c>
      <c r="F543" t="s">
        <v>566</v>
      </c>
      <c r="G543">
        <v>1093788.02</v>
      </c>
      <c r="H543">
        <v>0</v>
      </c>
      <c r="I543">
        <v>0</v>
      </c>
      <c r="J543">
        <v>0</v>
      </c>
      <c r="K543">
        <v>1093788.02</v>
      </c>
    </row>
    <row r="544" spans="1:11" x14ac:dyDescent="0.25">
      <c r="A544" t="s">
        <v>1052</v>
      </c>
      <c r="B544" t="s">
        <v>958</v>
      </c>
      <c r="C544" t="s">
        <v>540</v>
      </c>
      <c r="D544" t="s">
        <v>710</v>
      </c>
      <c r="E544">
        <v>0</v>
      </c>
      <c r="F544" t="s">
        <v>711</v>
      </c>
      <c r="G544">
        <v>1400000</v>
      </c>
      <c r="H544">
        <v>0</v>
      </c>
      <c r="I544">
        <v>0</v>
      </c>
      <c r="J544">
        <v>0</v>
      </c>
      <c r="K544">
        <v>1400000</v>
      </c>
    </row>
    <row r="545" spans="1:11" x14ac:dyDescent="0.25">
      <c r="A545" t="s">
        <v>1053</v>
      </c>
      <c r="B545" t="s">
        <v>959</v>
      </c>
      <c r="C545" t="s">
        <v>540</v>
      </c>
      <c r="D545" t="s">
        <v>1054</v>
      </c>
      <c r="E545">
        <v>0</v>
      </c>
      <c r="F545" t="s">
        <v>1055</v>
      </c>
      <c r="G545">
        <v>0</v>
      </c>
      <c r="H545">
        <v>216400</v>
      </c>
      <c r="I545">
        <v>0</v>
      </c>
      <c r="J545">
        <v>0</v>
      </c>
      <c r="K545">
        <v>216400</v>
      </c>
    </row>
    <row r="546" spans="1:11" x14ac:dyDescent="0.25">
      <c r="A546" t="s">
        <v>360</v>
      </c>
      <c r="B546" t="s">
        <v>361</v>
      </c>
      <c r="C546" t="s">
        <v>540</v>
      </c>
      <c r="D546" t="s">
        <v>543</v>
      </c>
      <c r="E546">
        <v>0</v>
      </c>
      <c r="F546" t="s">
        <v>544</v>
      </c>
      <c r="G546">
        <v>0</v>
      </c>
      <c r="H546">
        <v>12259373.41</v>
      </c>
      <c r="I546">
        <v>0</v>
      </c>
      <c r="J546">
        <v>0</v>
      </c>
      <c r="K546">
        <v>12259373.41</v>
      </c>
    </row>
    <row r="547" spans="1:11" x14ac:dyDescent="0.25">
      <c r="A547" t="s">
        <v>362</v>
      </c>
      <c r="B547" t="s">
        <v>363</v>
      </c>
      <c r="C547" t="s">
        <v>540</v>
      </c>
      <c r="D547" t="s">
        <v>669</v>
      </c>
      <c r="E547">
        <v>0</v>
      </c>
      <c r="F547" t="s">
        <v>670</v>
      </c>
      <c r="G547">
        <v>0</v>
      </c>
      <c r="H547">
        <v>21742490.010000002</v>
      </c>
      <c r="I547">
        <v>62338222.939999998</v>
      </c>
      <c r="J547">
        <v>26959864.800000001</v>
      </c>
      <c r="K547">
        <v>111040577.75</v>
      </c>
    </row>
    <row r="548" spans="1:11" x14ac:dyDescent="0.25">
      <c r="A548" t="s">
        <v>364</v>
      </c>
      <c r="B548" t="s">
        <v>365</v>
      </c>
      <c r="C548" t="s">
        <v>540</v>
      </c>
      <c r="D548" t="s">
        <v>553</v>
      </c>
      <c r="E548">
        <v>0</v>
      </c>
      <c r="F548" t="s">
        <v>554</v>
      </c>
      <c r="G548">
        <v>537704.43999999994</v>
      </c>
      <c r="H548">
        <v>0</v>
      </c>
      <c r="I548">
        <v>0</v>
      </c>
      <c r="J548">
        <v>0</v>
      </c>
      <c r="K548">
        <v>537704.43999999994</v>
      </c>
    </row>
    <row r="549" spans="1:11" x14ac:dyDescent="0.25">
      <c r="A549" t="s">
        <v>1056</v>
      </c>
      <c r="B549" t="s">
        <v>960</v>
      </c>
      <c r="C549" t="s">
        <v>540</v>
      </c>
      <c r="D549" t="s">
        <v>559</v>
      </c>
      <c r="E549">
        <v>0</v>
      </c>
      <c r="F549" t="s">
        <v>560</v>
      </c>
      <c r="G549">
        <v>6036690</v>
      </c>
      <c r="H549">
        <v>0</v>
      </c>
      <c r="I549">
        <v>0</v>
      </c>
      <c r="J549">
        <v>0</v>
      </c>
      <c r="K549">
        <v>6036690</v>
      </c>
    </row>
    <row r="550" spans="1:11" x14ac:dyDescent="0.25">
      <c r="A550" t="s">
        <v>366</v>
      </c>
      <c r="B550" t="s">
        <v>367</v>
      </c>
      <c r="C550" t="s">
        <v>540</v>
      </c>
      <c r="D550" t="s">
        <v>621</v>
      </c>
      <c r="E550">
        <v>0</v>
      </c>
      <c r="F550" t="s">
        <v>622</v>
      </c>
      <c r="G550">
        <v>0</v>
      </c>
      <c r="H550">
        <v>66914436.200000003</v>
      </c>
      <c r="I550">
        <v>65690391</v>
      </c>
      <c r="J550">
        <v>0</v>
      </c>
      <c r="K550">
        <v>132604827.2</v>
      </c>
    </row>
    <row r="551" spans="1:11" x14ac:dyDescent="0.25">
      <c r="A551" t="s">
        <v>762</v>
      </c>
      <c r="B551" t="s">
        <v>763</v>
      </c>
      <c r="C551" t="s">
        <v>540</v>
      </c>
      <c r="D551" t="s">
        <v>601</v>
      </c>
      <c r="E551">
        <v>0</v>
      </c>
      <c r="F551" t="s">
        <v>602</v>
      </c>
      <c r="G551">
        <v>0</v>
      </c>
      <c r="H551">
        <v>0</v>
      </c>
      <c r="I551">
        <v>30696237</v>
      </c>
      <c r="J551">
        <v>0</v>
      </c>
      <c r="K551">
        <v>30696237</v>
      </c>
    </row>
    <row r="552" spans="1:11" x14ac:dyDescent="0.25">
      <c r="A552" t="s">
        <v>764</v>
      </c>
      <c r="B552" t="s">
        <v>765</v>
      </c>
      <c r="C552" t="s">
        <v>540</v>
      </c>
      <c r="D552" t="s">
        <v>710</v>
      </c>
      <c r="E552">
        <v>0</v>
      </c>
      <c r="F552" t="s">
        <v>711</v>
      </c>
      <c r="G552">
        <v>2365000</v>
      </c>
      <c r="H552">
        <v>0</v>
      </c>
      <c r="I552">
        <v>0</v>
      </c>
      <c r="J552">
        <v>0</v>
      </c>
      <c r="K552">
        <v>2365000</v>
      </c>
    </row>
    <row r="553" spans="1:11" x14ac:dyDescent="0.25">
      <c r="A553" t="s">
        <v>368</v>
      </c>
      <c r="B553" t="s">
        <v>369</v>
      </c>
      <c r="C553" t="s">
        <v>540</v>
      </c>
      <c r="D553" t="s">
        <v>635</v>
      </c>
      <c r="E553">
        <v>0</v>
      </c>
      <c r="F553" t="s">
        <v>636</v>
      </c>
      <c r="G553">
        <v>393169.69</v>
      </c>
      <c r="H553">
        <v>0</v>
      </c>
      <c r="I553">
        <v>0</v>
      </c>
      <c r="J553">
        <v>0</v>
      </c>
      <c r="K553">
        <v>393169.69</v>
      </c>
    </row>
    <row r="554" spans="1:11" x14ac:dyDescent="0.25">
      <c r="A554" t="s">
        <v>820</v>
      </c>
      <c r="B554" t="s">
        <v>821</v>
      </c>
      <c r="C554" t="s">
        <v>540</v>
      </c>
      <c r="D554" t="s">
        <v>593</v>
      </c>
      <c r="E554">
        <v>0</v>
      </c>
      <c r="F554" t="s">
        <v>594</v>
      </c>
      <c r="G554">
        <v>0</v>
      </c>
      <c r="H554">
        <v>2039334</v>
      </c>
      <c r="I554">
        <v>0</v>
      </c>
      <c r="J554">
        <v>0</v>
      </c>
      <c r="K554">
        <v>2039334</v>
      </c>
    </row>
    <row r="555" spans="1:11" x14ac:dyDescent="0.25">
      <c r="A555" t="s">
        <v>505</v>
      </c>
      <c r="B555" t="s">
        <v>506</v>
      </c>
      <c r="C555" t="s">
        <v>540</v>
      </c>
      <c r="D555" t="s">
        <v>671</v>
      </c>
      <c r="E555">
        <v>0</v>
      </c>
      <c r="F555" t="s">
        <v>672</v>
      </c>
      <c r="G555">
        <v>2121275.2000000002</v>
      </c>
      <c r="H555">
        <v>0</v>
      </c>
      <c r="I555">
        <v>0</v>
      </c>
      <c r="J555">
        <v>0</v>
      </c>
      <c r="K555">
        <v>2121275.2000000002</v>
      </c>
    </row>
    <row r="556" spans="1:11" x14ac:dyDescent="0.25">
      <c r="A556" t="s">
        <v>891</v>
      </c>
      <c r="B556" t="s">
        <v>892</v>
      </c>
      <c r="C556" t="s">
        <v>540</v>
      </c>
      <c r="D556" t="s">
        <v>615</v>
      </c>
      <c r="E556">
        <v>0</v>
      </c>
      <c r="F556" t="s">
        <v>616</v>
      </c>
      <c r="G556">
        <v>8711011.5999999996</v>
      </c>
      <c r="H556">
        <v>29134233.32</v>
      </c>
      <c r="I556">
        <v>0</v>
      </c>
      <c r="J556">
        <v>0</v>
      </c>
      <c r="K556">
        <v>37845244.920000002</v>
      </c>
    </row>
    <row r="557" spans="1:11" x14ac:dyDescent="0.25">
      <c r="A557" t="s">
        <v>372</v>
      </c>
      <c r="B557" t="s">
        <v>373</v>
      </c>
      <c r="C557" t="s">
        <v>540</v>
      </c>
      <c r="D557" t="s">
        <v>589</v>
      </c>
      <c r="E557">
        <v>0</v>
      </c>
      <c r="F557" t="s">
        <v>590</v>
      </c>
      <c r="G557">
        <v>0</v>
      </c>
      <c r="H557">
        <v>7178478.25</v>
      </c>
      <c r="I557">
        <v>37622239.600000001</v>
      </c>
      <c r="J557">
        <v>0</v>
      </c>
      <c r="K557">
        <v>44800717.850000001</v>
      </c>
    </row>
    <row r="558" spans="1:11" x14ac:dyDescent="0.25">
      <c r="A558" t="s">
        <v>1172</v>
      </c>
      <c r="B558" t="s">
        <v>1173</v>
      </c>
      <c r="C558" t="s">
        <v>540</v>
      </c>
      <c r="D558" t="s">
        <v>603</v>
      </c>
      <c r="E558">
        <v>0</v>
      </c>
      <c r="F558" t="s">
        <v>604</v>
      </c>
      <c r="G558">
        <v>260000</v>
      </c>
      <c r="H558">
        <v>0</v>
      </c>
      <c r="I558">
        <v>0</v>
      </c>
      <c r="J558">
        <v>0</v>
      </c>
      <c r="K558">
        <v>260000</v>
      </c>
    </row>
    <row r="559" spans="1:11" x14ac:dyDescent="0.25">
      <c r="A559" t="s">
        <v>376</v>
      </c>
      <c r="B559" t="s">
        <v>377</v>
      </c>
      <c r="C559" t="s">
        <v>540</v>
      </c>
      <c r="D559" t="s">
        <v>575</v>
      </c>
      <c r="E559">
        <v>0</v>
      </c>
      <c r="F559" t="s">
        <v>576</v>
      </c>
      <c r="G559">
        <v>11200000</v>
      </c>
      <c r="H559">
        <v>0</v>
      </c>
      <c r="I559">
        <v>0</v>
      </c>
      <c r="J559">
        <v>0</v>
      </c>
      <c r="K559">
        <v>11200000</v>
      </c>
    </row>
    <row r="560" spans="1:11" x14ac:dyDescent="0.25">
      <c r="A560" t="s">
        <v>378</v>
      </c>
      <c r="B560" t="s">
        <v>379</v>
      </c>
      <c r="C560" t="s">
        <v>540</v>
      </c>
      <c r="D560" t="s">
        <v>563</v>
      </c>
      <c r="E560">
        <v>0</v>
      </c>
      <c r="F560" t="s">
        <v>564</v>
      </c>
      <c r="G560">
        <v>0</v>
      </c>
      <c r="H560">
        <v>0</v>
      </c>
      <c r="I560">
        <v>0</v>
      </c>
      <c r="J560">
        <v>58760</v>
      </c>
      <c r="K560">
        <v>58760</v>
      </c>
    </row>
    <row r="561" spans="1:11" x14ac:dyDescent="0.25">
      <c r="A561" t="s">
        <v>380</v>
      </c>
      <c r="B561" t="s">
        <v>381</v>
      </c>
      <c r="C561" t="s">
        <v>540</v>
      </c>
      <c r="D561" t="s">
        <v>617</v>
      </c>
      <c r="E561">
        <v>0</v>
      </c>
      <c r="F561" t="s">
        <v>618</v>
      </c>
      <c r="G561">
        <v>0</v>
      </c>
      <c r="H561">
        <v>0</v>
      </c>
      <c r="I561">
        <v>0</v>
      </c>
      <c r="J561">
        <v>0.01</v>
      </c>
      <c r="K561">
        <v>0.01</v>
      </c>
    </row>
    <row r="562" spans="1:11" x14ac:dyDescent="0.25">
      <c r="A562" t="s">
        <v>507</v>
      </c>
      <c r="B562" t="s">
        <v>508</v>
      </c>
      <c r="C562" t="s">
        <v>540</v>
      </c>
      <c r="D562" t="s">
        <v>551</v>
      </c>
      <c r="E562">
        <v>0</v>
      </c>
      <c r="F562" t="s">
        <v>552</v>
      </c>
      <c r="G562">
        <v>71298.94</v>
      </c>
      <c r="H562">
        <v>0</v>
      </c>
      <c r="I562">
        <v>0</v>
      </c>
      <c r="J562">
        <v>0</v>
      </c>
      <c r="K562">
        <v>71298.94</v>
      </c>
    </row>
    <row r="563" spans="1:11" x14ac:dyDescent="0.25">
      <c r="A563" t="s">
        <v>382</v>
      </c>
      <c r="B563" t="s">
        <v>383</v>
      </c>
      <c r="C563" t="s">
        <v>540</v>
      </c>
      <c r="D563" t="s">
        <v>577</v>
      </c>
      <c r="E563">
        <v>0</v>
      </c>
      <c r="F563" t="s">
        <v>578</v>
      </c>
      <c r="G563">
        <v>21242962.050000001</v>
      </c>
      <c r="H563">
        <v>19004407.969999999</v>
      </c>
      <c r="I563">
        <v>0</v>
      </c>
      <c r="J563">
        <v>0</v>
      </c>
      <c r="K563">
        <v>40247370.020000003</v>
      </c>
    </row>
    <row r="564" spans="1:11" x14ac:dyDescent="0.25">
      <c r="A564" t="s">
        <v>1057</v>
      </c>
      <c r="B564" t="s">
        <v>961</v>
      </c>
      <c r="C564" t="s">
        <v>540</v>
      </c>
      <c r="D564" t="s">
        <v>653</v>
      </c>
      <c r="E564">
        <v>0</v>
      </c>
      <c r="F564" t="s">
        <v>654</v>
      </c>
      <c r="G564">
        <v>0</v>
      </c>
      <c r="H564">
        <v>833250.81</v>
      </c>
      <c r="I564">
        <v>0</v>
      </c>
      <c r="J564">
        <v>0</v>
      </c>
      <c r="K564">
        <v>833250.81</v>
      </c>
    </row>
    <row r="565" spans="1:11" x14ac:dyDescent="0.25">
      <c r="A565" t="s">
        <v>384</v>
      </c>
      <c r="B565" t="s">
        <v>385</v>
      </c>
      <c r="C565" t="s">
        <v>540</v>
      </c>
      <c r="D565" t="s">
        <v>673</v>
      </c>
      <c r="E565">
        <v>0</v>
      </c>
      <c r="F565" t="s">
        <v>674</v>
      </c>
      <c r="G565">
        <v>62551882.549999997</v>
      </c>
      <c r="H565">
        <v>0</v>
      </c>
      <c r="I565">
        <v>0</v>
      </c>
      <c r="J565">
        <v>0</v>
      </c>
      <c r="K565">
        <v>62551882.549999997</v>
      </c>
    </row>
    <row r="566" spans="1:11" x14ac:dyDescent="0.25">
      <c r="A566" t="s">
        <v>766</v>
      </c>
      <c r="B566" t="s">
        <v>767</v>
      </c>
      <c r="C566" t="s">
        <v>540</v>
      </c>
      <c r="D566" t="s">
        <v>545</v>
      </c>
      <c r="E566">
        <v>0</v>
      </c>
      <c r="F566" t="s">
        <v>546</v>
      </c>
      <c r="G566">
        <v>0</v>
      </c>
      <c r="H566">
        <v>460000.26</v>
      </c>
      <c r="I566">
        <v>0</v>
      </c>
      <c r="J566">
        <v>0</v>
      </c>
      <c r="K566">
        <v>460000.26</v>
      </c>
    </row>
    <row r="567" spans="1:11" x14ac:dyDescent="0.25">
      <c r="A567" t="s">
        <v>822</v>
      </c>
      <c r="B567" t="s">
        <v>823</v>
      </c>
      <c r="C567" t="s">
        <v>540</v>
      </c>
      <c r="D567" t="s">
        <v>639</v>
      </c>
      <c r="E567">
        <v>0</v>
      </c>
      <c r="F567" t="s">
        <v>640</v>
      </c>
      <c r="G567">
        <v>323634.28000000003</v>
      </c>
      <c r="H567">
        <v>0</v>
      </c>
      <c r="I567">
        <v>0</v>
      </c>
      <c r="J567">
        <v>0</v>
      </c>
      <c r="K567">
        <v>323634.28000000003</v>
      </c>
    </row>
    <row r="568" spans="1:11" x14ac:dyDescent="0.25">
      <c r="A568" t="s">
        <v>386</v>
      </c>
      <c r="B568" t="s">
        <v>387</v>
      </c>
      <c r="C568" t="s">
        <v>540</v>
      </c>
      <c r="D568" t="s">
        <v>659</v>
      </c>
      <c r="E568">
        <v>0</v>
      </c>
      <c r="F568" t="s">
        <v>660</v>
      </c>
      <c r="G568">
        <v>6629590</v>
      </c>
      <c r="H568">
        <v>0</v>
      </c>
      <c r="I568">
        <v>0</v>
      </c>
      <c r="J568">
        <v>0</v>
      </c>
      <c r="K568">
        <v>6629590</v>
      </c>
    </row>
    <row r="569" spans="1:11" x14ac:dyDescent="0.25">
      <c r="A569" t="s">
        <v>388</v>
      </c>
      <c r="B569" t="s">
        <v>389</v>
      </c>
      <c r="C569" t="s">
        <v>540</v>
      </c>
      <c r="D569" t="s">
        <v>603</v>
      </c>
      <c r="E569">
        <v>0</v>
      </c>
      <c r="F569" t="s">
        <v>604</v>
      </c>
      <c r="G569">
        <v>0</v>
      </c>
      <c r="H569">
        <v>0</v>
      </c>
      <c r="I569">
        <v>0</v>
      </c>
      <c r="J569">
        <v>13351649.470000001</v>
      </c>
      <c r="K569">
        <v>13351649.470000001</v>
      </c>
    </row>
    <row r="570" spans="1:11" x14ac:dyDescent="0.25">
      <c r="A570" t="s">
        <v>390</v>
      </c>
      <c r="B570" t="s">
        <v>391</v>
      </c>
      <c r="C570" t="s">
        <v>540</v>
      </c>
      <c r="D570" t="s">
        <v>553</v>
      </c>
      <c r="E570">
        <v>0</v>
      </c>
      <c r="F570" t="s">
        <v>554</v>
      </c>
      <c r="G570">
        <v>1964125</v>
      </c>
      <c r="H570">
        <v>0</v>
      </c>
      <c r="I570">
        <v>0</v>
      </c>
      <c r="J570">
        <v>0</v>
      </c>
      <c r="K570">
        <v>1964125</v>
      </c>
    </row>
    <row r="571" spans="1:11" x14ac:dyDescent="0.25">
      <c r="A571" t="s">
        <v>1174</v>
      </c>
      <c r="B571" t="s">
        <v>1175</v>
      </c>
      <c r="C571" t="s">
        <v>540</v>
      </c>
      <c r="D571" t="s">
        <v>1176</v>
      </c>
      <c r="E571">
        <v>0</v>
      </c>
      <c r="F571" t="s">
        <v>1177</v>
      </c>
      <c r="G571">
        <v>3617900</v>
      </c>
      <c r="H571">
        <v>0</v>
      </c>
      <c r="I571">
        <v>0</v>
      </c>
      <c r="J571">
        <v>0</v>
      </c>
      <c r="K571">
        <v>3617900</v>
      </c>
    </row>
    <row r="572" spans="1:11" x14ac:dyDescent="0.25">
      <c r="A572" t="s">
        <v>392</v>
      </c>
      <c r="B572" t="s">
        <v>393</v>
      </c>
      <c r="C572" t="s">
        <v>540</v>
      </c>
      <c r="D572" t="s">
        <v>601</v>
      </c>
      <c r="E572">
        <v>0</v>
      </c>
      <c r="F572" t="s">
        <v>602</v>
      </c>
      <c r="G572">
        <v>30110729.640000001</v>
      </c>
      <c r="H572">
        <v>31951037.129999999</v>
      </c>
      <c r="I572">
        <v>0</v>
      </c>
      <c r="J572">
        <v>0</v>
      </c>
      <c r="K572">
        <v>62061766.770000003</v>
      </c>
    </row>
    <row r="573" spans="1:11" x14ac:dyDescent="0.25">
      <c r="A573" t="s">
        <v>1210</v>
      </c>
      <c r="B573" t="s">
        <v>1211</v>
      </c>
      <c r="C573" t="s">
        <v>540</v>
      </c>
      <c r="D573" t="s">
        <v>559</v>
      </c>
      <c r="E573">
        <v>1360000</v>
      </c>
      <c r="F573" t="s">
        <v>560</v>
      </c>
      <c r="G573">
        <v>0</v>
      </c>
      <c r="H573">
        <v>0</v>
      </c>
      <c r="I573">
        <v>0</v>
      </c>
      <c r="J573">
        <v>0</v>
      </c>
      <c r="K573">
        <v>1360000</v>
      </c>
    </row>
    <row r="574" spans="1:11" x14ac:dyDescent="0.25">
      <c r="A574" t="s">
        <v>1058</v>
      </c>
      <c r="B574" t="s">
        <v>1059</v>
      </c>
      <c r="C574" t="s">
        <v>540</v>
      </c>
      <c r="D574" t="s">
        <v>1060</v>
      </c>
      <c r="E574">
        <v>0</v>
      </c>
      <c r="F574" t="s">
        <v>1061</v>
      </c>
      <c r="G574">
        <v>0</v>
      </c>
      <c r="H574">
        <v>2905452</v>
      </c>
      <c r="I574">
        <v>0</v>
      </c>
      <c r="J574">
        <v>0</v>
      </c>
      <c r="K574">
        <v>2905452</v>
      </c>
    </row>
    <row r="575" spans="1:11" x14ac:dyDescent="0.25">
      <c r="A575" t="s">
        <v>1062</v>
      </c>
      <c r="B575" t="s">
        <v>962</v>
      </c>
      <c r="C575" t="s">
        <v>540</v>
      </c>
      <c r="D575" t="s">
        <v>1063</v>
      </c>
      <c r="E575">
        <v>0</v>
      </c>
      <c r="F575" t="s">
        <v>1064</v>
      </c>
      <c r="G575">
        <v>72964774.719999999</v>
      </c>
      <c r="H575">
        <v>958770</v>
      </c>
      <c r="I575">
        <v>0</v>
      </c>
      <c r="J575">
        <v>0</v>
      </c>
      <c r="K575">
        <v>73923544.719999999</v>
      </c>
    </row>
    <row r="576" spans="1:11" x14ac:dyDescent="0.25">
      <c r="A576" t="s">
        <v>394</v>
      </c>
      <c r="B576" t="s">
        <v>395</v>
      </c>
      <c r="C576" t="s">
        <v>540</v>
      </c>
      <c r="D576" t="s">
        <v>629</v>
      </c>
      <c r="E576">
        <v>0</v>
      </c>
      <c r="F576" t="s">
        <v>630</v>
      </c>
      <c r="G576">
        <v>6412853.2000000002</v>
      </c>
      <c r="H576">
        <v>9117282.4499999993</v>
      </c>
      <c r="I576">
        <v>11896463.92</v>
      </c>
      <c r="J576">
        <v>0</v>
      </c>
      <c r="K576">
        <v>27426599.57</v>
      </c>
    </row>
    <row r="577" spans="1:11" x14ac:dyDescent="0.25">
      <c r="A577" t="s">
        <v>396</v>
      </c>
      <c r="B577" t="s">
        <v>397</v>
      </c>
      <c r="C577" t="s">
        <v>540</v>
      </c>
      <c r="D577" t="s">
        <v>677</v>
      </c>
      <c r="E577">
        <v>0</v>
      </c>
      <c r="F577" t="s">
        <v>678</v>
      </c>
      <c r="G577">
        <v>49486842.469999999</v>
      </c>
      <c r="H577">
        <v>2710022.43</v>
      </c>
      <c r="I577">
        <v>0</v>
      </c>
      <c r="J577">
        <v>0</v>
      </c>
      <c r="K577">
        <v>52196864.899999999</v>
      </c>
    </row>
    <row r="578" spans="1:11" x14ac:dyDescent="0.25">
      <c r="A578" t="s">
        <v>768</v>
      </c>
      <c r="B578" t="s">
        <v>769</v>
      </c>
      <c r="C578" t="s">
        <v>540</v>
      </c>
      <c r="D578" t="s">
        <v>609</v>
      </c>
      <c r="E578">
        <v>0</v>
      </c>
      <c r="F578" t="s">
        <v>610</v>
      </c>
      <c r="G578">
        <v>0</v>
      </c>
      <c r="H578">
        <v>396543.96</v>
      </c>
      <c r="I578">
        <v>0</v>
      </c>
      <c r="J578">
        <v>0</v>
      </c>
      <c r="K578">
        <v>396543.96</v>
      </c>
    </row>
    <row r="579" spans="1:11" x14ac:dyDescent="0.25">
      <c r="A579" t="s">
        <v>1178</v>
      </c>
      <c r="B579" t="s">
        <v>1179</v>
      </c>
      <c r="C579" t="s">
        <v>540</v>
      </c>
      <c r="D579" t="s">
        <v>1131</v>
      </c>
      <c r="E579">
        <v>0</v>
      </c>
      <c r="F579" t="s">
        <v>1132</v>
      </c>
      <c r="G579">
        <v>0</v>
      </c>
      <c r="H579">
        <v>1482250</v>
      </c>
      <c r="I579">
        <v>6648950</v>
      </c>
      <c r="J579">
        <v>0</v>
      </c>
      <c r="K579">
        <v>8131200</v>
      </c>
    </row>
    <row r="580" spans="1:11" x14ac:dyDescent="0.25">
      <c r="A580" t="s">
        <v>398</v>
      </c>
      <c r="B580" t="s">
        <v>399</v>
      </c>
      <c r="C580" t="s">
        <v>540</v>
      </c>
      <c r="D580" t="s">
        <v>559</v>
      </c>
      <c r="E580">
        <v>0</v>
      </c>
      <c r="F580" t="s">
        <v>560</v>
      </c>
      <c r="G580">
        <v>0</v>
      </c>
      <c r="H580">
        <v>0</v>
      </c>
      <c r="I580">
        <v>0</v>
      </c>
      <c r="J580">
        <v>-2698.26</v>
      </c>
      <c r="K580">
        <v>-2698.26</v>
      </c>
    </row>
    <row r="581" spans="1:11" x14ac:dyDescent="0.25">
      <c r="A581" t="s">
        <v>770</v>
      </c>
      <c r="B581" t="s">
        <v>771</v>
      </c>
      <c r="C581" t="s">
        <v>540</v>
      </c>
      <c r="D581" t="s">
        <v>772</v>
      </c>
      <c r="E581">
        <v>0</v>
      </c>
      <c r="F581" t="s">
        <v>773</v>
      </c>
      <c r="G581">
        <v>11157917.859999999</v>
      </c>
      <c r="H581">
        <v>0</v>
      </c>
      <c r="I581">
        <v>0</v>
      </c>
      <c r="J581">
        <v>0</v>
      </c>
      <c r="K581">
        <v>11157917.859999999</v>
      </c>
    </row>
    <row r="582" spans="1:11" x14ac:dyDescent="0.25">
      <c r="A582" t="s">
        <v>1065</v>
      </c>
      <c r="B582" t="s">
        <v>963</v>
      </c>
      <c r="C582" t="s">
        <v>540</v>
      </c>
      <c r="D582" t="s">
        <v>563</v>
      </c>
      <c r="E582">
        <v>0</v>
      </c>
      <c r="F582" t="s">
        <v>564</v>
      </c>
      <c r="G582">
        <v>2554290.64</v>
      </c>
      <c r="H582">
        <v>0</v>
      </c>
      <c r="I582">
        <v>0</v>
      </c>
      <c r="J582">
        <v>0</v>
      </c>
      <c r="K582">
        <v>2554290.64</v>
      </c>
    </row>
    <row r="583" spans="1:11" x14ac:dyDescent="0.25">
      <c r="A583" t="s">
        <v>897</v>
      </c>
      <c r="B583" t="s">
        <v>898</v>
      </c>
      <c r="C583" t="s">
        <v>540</v>
      </c>
      <c r="D583" t="s">
        <v>899</v>
      </c>
      <c r="E583">
        <v>0</v>
      </c>
      <c r="F583" t="s">
        <v>900</v>
      </c>
      <c r="G583">
        <v>0</v>
      </c>
      <c r="H583">
        <v>16552800</v>
      </c>
      <c r="I583">
        <v>0</v>
      </c>
      <c r="J583">
        <v>0</v>
      </c>
      <c r="K583">
        <v>16552800</v>
      </c>
    </row>
    <row r="584" spans="1:11" x14ac:dyDescent="0.25">
      <c r="A584" t="s">
        <v>1066</v>
      </c>
      <c r="B584" t="s">
        <v>964</v>
      </c>
      <c r="C584" t="s">
        <v>540</v>
      </c>
      <c r="D584" t="s">
        <v>577</v>
      </c>
      <c r="E584">
        <v>0</v>
      </c>
      <c r="F584" t="s">
        <v>578</v>
      </c>
      <c r="G584">
        <v>3702786.16</v>
      </c>
      <c r="H584">
        <v>4080069.2</v>
      </c>
      <c r="I584">
        <v>0</v>
      </c>
      <c r="J584">
        <v>0</v>
      </c>
      <c r="K584">
        <v>7782855.3600000003</v>
      </c>
    </row>
    <row r="585" spans="1:11" x14ac:dyDescent="0.25">
      <c r="A585" t="s">
        <v>1108</v>
      </c>
      <c r="B585" t="s">
        <v>1109</v>
      </c>
      <c r="C585" t="s">
        <v>540</v>
      </c>
      <c r="D585" t="s">
        <v>541</v>
      </c>
      <c r="E585">
        <v>0</v>
      </c>
      <c r="F585" t="s">
        <v>542</v>
      </c>
      <c r="G585">
        <v>71899.990000000005</v>
      </c>
      <c r="H585">
        <v>0</v>
      </c>
      <c r="I585">
        <v>0</v>
      </c>
      <c r="J585">
        <v>0</v>
      </c>
      <c r="K585">
        <v>71899.990000000005</v>
      </c>
    </row>
    <row r="586" spans="1:11" x14ac:dyDescent="0.25">
      <c r="A586" t="s">
        <v>824</v>
      </c>
      <c r="B586" t="s">
        <v>825</v>
      </c>
      <c r="C586" t="s">
        <v>540</v>
      </c>
      <c r="D586" t="s">
        <v>563</v>
      </c>
      <c r="E586">
        <v>0</v>
      </c>
      <c r="F586" t="s">
        <v>564</v>
      </c>
      <c r="G586">
        <v>25632784.57</v>
      </c>
      <c r="H586">
        <v>0</v>
      </c>
      <c r="I586">
        <v>0</v>
      </c>
      <c r="J586">
        <v>0</v>
      </c>
      <c r="K586">
        <v>25632784.57</v>
      </c>
    </row>
    <row r="587" spans="1:11" x14ac:dyDescent="0.25">
      <c r="A587" t="s">
        <v>400</v>
      </c>
      <c r="B587" t="s">
        <v>401</v>
      </c>
      <c r="C587" t="s">
        <v>540</v>
      </c>
      <c r="D587" t="s">
        <v>679</v>
      </c>
      <c r="E587">
        <v>0</v>
      </c>
      <c r="F587" t="s">
        <v>680</v>
      </c>
      <c r="G587">
        <v>2578800</v>
      </c>
      <c r="H587">
        <v>8768703.5</v>
      </c>
      <c r="I587">
        <v>0</v>
      </c>
      <c r="J587">
        <v>0</v>
      </c>
      <c r="K587">
        <v>11347503.5</v>
      </c>
    </row>
    <row r="588" spans="1:11" x14ac:dyDescent="0.25">
      <c r="A588" t="s">
        <v>903</v>
      </c>
      <c r="B588" t="s">
        <v>904</v>
      </c>
      <c r="C588" t="s">
        <v>540</v>
      </c>
      <c r="D588" t="s">
        <v>603</v>
      </c>
      <c r="E588">
        <v>0</v>
      </c>
      <c r="F588" t="s">
        <v>604</v>
      </c>
      <c r="G588">
        <v>221581187.47</v>
      </c>
      <c r="H588">
        <v>59890226.509999998</v>
      </c>
      <c r="I588">
        <v>0</v>
      </c>
      <c r="J588">
        <v>0</v>
      </c>
      <c r="K588">
        <v>281471413.98000002</v>
      </c>
    </row>
    <row r="589" spans="1:11" x14ac:dyDescent="0.25">
      <c r="A589" t="s">
        <v>1212</v>
      </c>
      <c r="B589" t="s">
        <v>1213</v>
      </c>
      <c r="C589" t="s">
        <v>540</v>
      </c>
      <c r="D589" t="s">
        <v>1185</v>
      </c>
      <c r="E589">
        <v>0</v>
      </c>
      <c r="F589" t="s">
        <v>1186</v>
      </c>
      <c r="G589">
        <v>1000000</v>
      </c>
      <c r="H589">
        <v>0</v>
      </c>
      <c r="I589">
        <v>0</v>
      </c>
      <c r="J589">
        <v>0</v>
      </c>
      <c r="K589">
        <v>1000000</v>
      </c>
    </row>
    <row r="590" spans="1:11" x14ac:dyDescent="0.25">
      <c r="A590" t="s">
        <v>905</v>
      </c>
      <c r="B590" t="s">
        <v>906</v>
      </c>
      <c r="C590" t="s">
        <v>540</v>
      </c>
      <c r="D590" t="s">
        <v>559</v>
      </c>
      <c r="E590">
        <v>0</v>
      </c>
      <c r="F590" t="s">
        <v>560</v>
      </c>
      <c r="G590">
        <v>540000</v>
      </c>
      <c r="H590">
        <v>0</v>
      </c>
      <c r="I590">
        <v>0</v>
      </c>
      <c r="J590">
        <v>0</v>
      </c>
      <c r="K590">
        <v>540000</v>
      </c>
    </row>
    <row r="591" spans="1:11" x14ac:dyDescent="0.25">
      <c r="A591" t="s">
        <v>402</v>
      </c>
      <c r="B591" t="s">
        <v>403</v>
      </c>
      <c r="C591" t="s">
        <v>540</v>
      </c>
      <c r="D591" t="s">
        <v>681</v>
      </c>
      <c r="E591">
        <v>0</v>
      </c>
      <c r="F591" t="s">
        <v>682</v>
      </c>
      <c r="G591">
        <v>3864468.06</v>
      </c>
      <c r="H591">
        <v>9682578.75</v>
      </c>
      <c r="I591">
        <v>2211279.84</v>
      </c>
      <c r="J591">
        <v>0</v>
      </c>
      <c r="K591">
        <v>15758326.65</v>
      </c>
    </row>
    <row r="592" spans="1:11" x14ac:dyDescent="0.25">
      <c r="A592" t="s">
        <v>404</v>
      </c>
      <c r="B592" t="s">
        <v>405</v>
      </c>
      <c r="C592" t="s">
        <v>540</v>
      </c>
      <c r="D592" t="s">
        <v>615</v>
      </c>
      <c r="E592">
        <v>0</v>
      </c>
      <c r="F592" t="s">
        <v>616</v>
      </c>
      <c r="G592">
        <v>1660379.87</v>
      </c>
      <c r="H592">
        <v>0</v>
      </c>
      <c r="I592">
        <v>0</v>
      </c>
      <c r="J592">
        <v>0</v>
      </c>
      <c r="K592">
        <v>1660379.87</v>
      </c>
    </row>
    <row r="593" spans="1:11" x14ac:dyDescent="0.25">
      <c r="A593" t="s">
        <v>1067</v>
      </c>
      <c r="B593" t="s">
        <v>1068</v>
      </c>
      <c r="C593" t="s">
        <v>540</v>
      </c>
      <c r="D593" t="s">
        <v>555</v>
      </c>
      <c r="E593">
        <v>0</v>
      </c>
      <c r="F593" t="s">
        <v>556</v>
      </c>
      <c r="G593">
        <v>140000</v>
      </c>
      <c r="H593">
        <v>0</v>
      </c>
      <c r="I593">
        <v>0</v>
      </c>
      <c r="J593">
        <v>0</v>
      </c>
      <c r="K593">
        <v>140000</v>
      </c>
    </row>
    <row r="594" spans="1:11" x14ac:dyDescent="0.25">
      <c r="A594" t="s">
        <v>1069</v>
      </c>
      <c r="B594" t="s">
        <v>965</v>
      </c>
      <c r="C594" t="s">
        <v>540</v>
      </c>
      <c r="D594" t="s">
        <v>565</v>
      </c>
      <c r="E594">
        <v>0</v>
      </c>
      <c r="F594" t="s">
        <v>566</v>
      </c>
      <c r="G594">
        <v>45450000</v>
      </c>
      <c r="H594">
        <v>46350000</v>
      </c>
      <c r="I594">
        <v>0</v>
      </c>
      <c r="J594">
        <v>0</v>
      </c>
      <c r="K594">
        <v>91800000</v>
      </c>
    </row>
    <row r="595" spans="1:11" x14ac:dyDescent="0.25">
      <c r="A595" t="s">
        <v>907</v>
      </c>
      <c r="B595" t="s">
        <v>908</v>
      </c>
      <c r="C595" t="s">
        <v>540</v>
      </c>
      <c r="D595" t="s">
        <v>909</v>
      </c>
      <c r="E595">
        <v>0</v>
      </c>
      <c r="F595" t="s">
        <v>910</v>
      </c>
      <c r="G595">
        <v>11720994.890000001</v>
      </c>
      <c r="H595">
        <v>0</v>
      </c>
      <c r="I595">
        <v>0</v>
      </c>
      <c r="J595">
        <v>0</v>
      </c>
      <c r="K595">
        <v>11720994.890000001</v>
      </c>
    </row>
    <row r="596" spans="1:11" x14ac:dyDescent="0.25">
      <c r="A596" t="s">
        <v>406</v>
      </c>
      <c r="B596" t="s">
        <v>407</v>
      </c>
      <c r="C596" t="s">
        <v>540</v>
      </c>
      <c r="D596" t="s">
        <v>681</v>
      </c>
      <c r="E596">
        <v>0</v>
      </c>
      <c r="F596" t="s">
        <v>682</v>
      </c>
      <c r="G596">
        <v>2440854.88</v>
      </c>
      <c r="H596">
        <v>0</v>
      </c>
      <c r="I596">
        <v>0</v>
      </c>
      <c r="J596">
        <v>0</v>
      </c>
      <c r="K596">
        <v>2440854.88</v>
      </c>
    </row>
    <row r="597" spans="1:11" x14ac:dyDescent="0.25">
      <c r="A597" t="s">
        <v>778</v>
      </c>
      <c r="B597" t="s">
        <v>779</v>
      </c>
      <c r="C597" t="s">
        <v>540</v>
      </c>
      <c r="D597" t="s">
        <v>780</v>
      </c>
      <c r="E597">
        <v>0</v>
      </c>
      <c r="F597" t="s">
        <v>781</v>
      </c>
      <c r="G597">
        <v>1408240.08</v>
      </c>
      <c r="H597">
        <v>0</v>
      </c>
      <c r="I597">
        <v>0</v>
      </c>
      <c r="J597">
        <v>0</v>
      </c>
      <c r="K597">
        <v>1408240.08</v>
      </c>
    </row>
    <row r="598" spans="1:11" x14ac:dyDescent="0.25">
      <c r="A598" t="s">
        <v>408</v>
      </c>
      <c r="B598" t="s">
        <v>409</v>
      </c>
      <c r="C598" t="s">
        <v>540</v>
      </c>
      <c r="D598" t="s">
        <v>677</v>
      </c>
      <c r="E598">
        <v>0</v>
      </c>
      <c r="F598" t="s">
        <v>678</v>
      </c>
      <c r="G598">
        <v>0</v>
      </c>
      <c r="H598">
        <v>16000000</v>
      </c>
      <c r="I598">
        <v>0</v>
      </c>
      <c r="J598">
        <v>0</v>
      </c>
      <c r="K598">
        <v>16000000</v>
      </c>
    </row>
    <row r="599" spans="1:11" x14ac:dyDescent="0.25">
      <c r="A599" t="s">
        <v>826</v>
      </c>
      <c r="B599" t="s">
        <v>827</v>
      </c>
      <c r="C599" t="s">
        <v>540</v>
      </c>
      <c r="D599" t="s">
        <v>671</v>
      </c>
      <c r="E599">
        <v>0</v>
      </c>
      <c r="F599" t="s">
        <v>672</v>
      </c>
      <c r="G599">
        <v>1386325.19</v>
      </c>
      <c r="H599">
        <v>377140.43</v>
      </c>
      <c r="I599">
        <v>0</v>
      </c>
      <c r="J599">
        <v>0</v>
      </c>
      <c r="K599">
        <v>1763465.62</v>
      </c>
    </row>
    <row r="600" spans="1:11" x14ac:dyDescent="0.25">
      <c r="A600" t="s">
        <v>511</v>
      </c>
      <c r="B600" t="s">
        <v>512</v>
      </c>
      <c r="C600" t="s">
        <v>540</v>
      </c>
      <c r="D600" t="s">
        <v>631</v>
      </c>
      <c r="E600">
        <v>0</v>
      </c>
      <c r="F600" t="s">
        <v>632</v>
      </c>
      <c r="G600">
        <v>179080</v>
      </c>
      <c r="H600">
        <v>104060</v>
      </c>
      <c r="I600">
        <v>0</v>
      </c>
      <c r="J600">
        <v>0</v>
      </c>
      <c r="K600">
        <v>283140</v>
      </c>
    </row>
    <row r="601" spans="1:11" x14ac:dyDescent="0.25">
      <c r="A601" t="s">
        <v>911</v>
      </c>
      <c r="B601" t="s">
        <v>912</v>
      </c>
      <c r="C601" t="s">
        <v>540</v>
      </c>
      <c r="D601" t="s">
        <v>553</v>
      </c>
      <c r="E601">
        <v>0</v>
      </c>
      <c r="F601" t="s">
        <v>554</v>
      </c>
      <c r="G601">
        <v>5034421.4000000004</v>
      </c>
      <c r="H601">
        <v>0</v>
      </c>
      <c r="I601">
        <v>0</v>
      </c>
      <c r="J601">
        <v>0</v>
      </c>
      <c r="K601">
        <v>5034421.4000000004</v>
      </c>
    </row>
    <row r="602" spans="1:11" x14ac:dyDescent="0.25">
      <c r="A602" t="s">
        <v>410</v>
      </c>
      <c r="B602" t="s">
        <v>411</v>
      </c>
      <c r="C602" t="s">
        <v>540</v>
      </c>
      <c r="D602" t="s">
        <v>559</v>
      </c>
      <c r="E602">
        <v>0</v>
      </c>
      <c r="F602" t="s">
        <v>560</v>
      </c>
      <c r="G602">
        <v>0</v>
      </c>
      <c r="H602">
        <v>11778503</v>
      </c>
      <c r="I602">
        <v>4015869</v>
      </c>
      <c r="J602">
        <v>0</v>
      </c>
      <c r="K602">
        <v>15794372</v>
      </c>
    </row>
    <row r="603" spans="1:11" x14ac:dyDescent="0.25">
      <c r="A603" t="s">
        <v>828</v>
      </c>
      <c r="B603" t="s">
        <v>829</v>
      </c>
      <c r="C603" t="s">
        <v>540</v>
      </c>
      <c r="D603" t="s">
        <v>561</v>
      </c>
      <c r="E603">
        <v>0</v>
      </c>
      <c r="F603" t="s">
        <v>562</v>
      </c>
      <c r="G603">
        <v>0</v>
      </c>
      <c r="H603">
        <v>3440000</v>
      </c>
      <c r="I603">
        <v>0</v>
      </c>
      <c r="J603">
        <v>0</v>
      </c>
      <c r="K603">
        <v>3440000</v>
      </c>
    </row>
    <row r="604" spans="1:11" x14ac:dyDescent="0.25">
      <c r="A604" t="s">
        <v>412</v>
      </c>
      <c r="B604" t="s">
        <v>413</v>
      </c>
      <c r="C604" t="s">
        <v>540</v>
      </c>
      <c r="D604" t="s">
        <v>677</v>
      </c>
      <c r="E604">
        <v>0</v>
      </c>
      <c r="F604" t="s">
        <v>678</v>
      </c>
      <c r="G604">
        <v>4797192.21</v>
      </c>
      <c r="H604">
        <v>6548543.04</v>
      </c>
      <c r="I604">
        <v>0</v>
      </c>
      <c r="J604">
        <v>0</v>
      </c>
      <c r="K604">
        <v>11345735.25</v>
      </c>
    </row>
    <row r="605" spans="1:11" x14ac:dyDescent="0.25">
      <c r="A605" t="s">
        <v>414</v>
      </c>
      <c r="B605" t="s">
        <v>415</v>
      </c>
      <c r="C605" t="s">
        <v>540</v>
      </c>
      <c r="D605" t="s">
        <v>553</v>
      </c>
      <c r="E605">
        <v>0</v>
      </c>
      <c r="F605" t="s">
        <v>554</v>
      </c>
      <c r="G605">
        <v>11810019</v>
      </c>
      <c r="H605">
        <v>0</v>
      </c>
      <c r="I605">
        <v>0</v>
      </c>
      <c r="J605">
        <v>0</v>
      </c>
      <c r="K605">
        <v>11810019</v>
      </c>
    </row>
    <row r="606" spans="1:11" x14ac:dyDescent="0.25">
      <c r="A606" t="s">
        <v>1214</v>
      </c>
      <c r="B606" t="s">
        <v>1215</v>
      </c>
      <c r="C606" t="s">
        <v>540</v>
      </c>
      <c r="D606" t="s">
        <v>559</v>
      </c>
      <c r="E606">
        <v>3600000</v>
      </c>
      <c r="F606" t="s">
        <v>560</v>
      </c>
      <c r="G606">
        <v>0</v>
      </c>
      <c r="H606">
        <v>0</v>
      </c>
      <c r="I606">
        <v>0</v>
      </c>
      <c r="J606">
        <v>0</v>
      </c>
      <c r="K606">
        <v>3600000</v>
      </c>
    </row>
    <row r="607" spans="1:11" x14ac:dyDescent="0.25">
      <c r="A607" t="s">
        <v>416</v>
      </c>
      <c r="B607" t="s">
        <v>417</v>
      </c>
      <c r="C607" t="s">
        <v>540</v>
      </c>
      <c r="D607" t="s">
        <v>585</v>
      </c>
      <c r="E607">
        <v>0</v>
      </c>
      <c r="F607" t="s">
        <v>586</v>
      </c>
      <c r="G607">
        <v>6964433.2999999998</v>
      </c>
      <c r="H607">
        <v>0</v>
      </c>
      <c r="I607">
        <v>0</v>
      </c>
      <c r="J607">
        <v>0</v>
      </c>
      <c r="K607">
        <v>6964433.2999999998</v>
      </c>
    </row>
    <row r="608" spans="1:11" x14ac:dyDescent="0.25">
      <c r="A608" t="s">
        <v>830</v>
      </c>
      <c r="B608" t="s">
        <v>831</v>
      </c>
      <c r="C608" t="s">
        <v>540</v>
      </c>
      <c r="D608" t="s">
        <v>605</v>
      </c>
      <c r="E608">
        <v>0</v>
      </c>
      <c r="F608" t="s">
        <v>606</v>
      </c>
      <c r="G608">
        <v>1654554</v>
      </c>
      <c r="H608">
        <v>1948951.84</v>
      </c>
      <c r="I608">
        <v>0</v>
      </c>
      <c r="J608">
        <v>0</v>
      </c>
      <c r="K608">
        <v>3603505.84</v>
      </c>
    </row>
    <row r="609" spans="1:11" x14ac:dyDescent="0.25">
      <c r="A609" t="s">
        <v>418</v>
      </c>
      <c r="B609" t="s">
        <v>419</v>
      </c>
      <c r="C609" t="s">
        <v>540</v>
      </c>
      <c r="D609" t="s">
        <v>643</v>
      </c>
      <c r="E609">
        <v>0</v>
      </c>
      <c r="F609" t="s">
        <v>644</v>
      </c>
      <c r="G609">
        <v>1040086</v>
      </c>
      <c r="H609">
        <v>1528126.32</v>
      </c>
      <c r="I609">
        <v>0</v>
      </c>
      <c r="J609">
        <v>0</v>
      </c>
      <c r="K609">
        <v>2568212.3199999998</v>
      </c>
    </row>
    <row r="610" spans="1:11" x14ac:dyDescent="0.25">
      <c r="A610" t="s">
        <v>1070</v>
      </c>
      <c r="B610" t="s">
        <v>966</v>
      </c>
      <c r="C610" t="s">
        <v>540</v>
      </c>
      <c r="D610" t="s">
        <v>545</v>
      </c>
      <c r="E610">
        <v>0</v>
      </c>
      <c r="F610" t="s">
        <v>546</v>
      </c>
      <c r="G610">
        <v>433043.37</v>
      </c>
      <c r="H610">
        <v>223018.68</v>
      </c>
      <c r="I610">
        <v>0</v>
      </c>
      <c r="J610">
        <v>0</v>
      </c>
      <c r="K610">
        <v>656062.05000000005</v>
      </c>
    </row>
    <row r="611" spans="1:11" x14ac:dyDescent="0.25">
      <c r="A611" t="s">
        <v>422</v>
      </c>
      <c r="B611" t="s">
        <v>423</v>
      </c>
      <c r="C611" t="s">
        <v>540</v>
      </c>
      <c r="D611" t="s">
        <v>553</v>
      </c>
      <c r="E611">
        <v>0</v>
      </c>
      <c r="F611" t="s">
        <v>554</v>
      </c>
      <c r="G611">
        <v>243100</v>
      </c>
      <c r="H611">
        <v>0</v>
      </c>
      <c r="I611">
        <v>0</v>
      </c>
      <c r="J611">
        <v>0</v>
      </c>
      <c r="K611">
        <v>243100</v>
      </c>
    </row>
    <row r="612" spans="1:11" x14ac:dyDescent="0.25">
      <c r="A612" t="s">
        <v>186</v>
      </c>
      <c r="B612" t="s">
        <v>1180</v>
      </c>
      <c r="C612" t="s">
        <v>540</v>
      </c>
      <c r="D612" t="s">
        <v>545</v>
      </c>
      <c r="E612">
        <v>0</v>
      </c>
      <c r="F612" t="s">
        <v>546</v>
      </c>
      <c r="G612">
        <v>-830979.6</v>
      </c>
      <c r="H612">
        <v>3268210</v>
      </c>
      <c r="I612">
        <v>0</v>
      </c>
      <c r="J612">
        <v>0</v>
      </c>
      <c r="K612">
        <v>2437230.4</v>
      </c>
    </row>
    <row r="613" spans="1:11" x14ac:dyDescent="0.25">
      <c r="A613" t="s">
        <v>1071</v>
      </c>
      <c r="B613" t="s">
        <v>1072</v>
      </c>
      <c r="C613" t="s">
        <v>540</v>
      </c>
      <c r="D613" t="s">
        <v>579</v>
      </c>
      <c r="E613">
        <v>0</v>
      </c>
      <c r="F613" t="s">
        <v>580</v>
      </c>
      <c r="G613">
        <v>3166818.73</v>
      </c>
      <c r="H613">
        <v>0</v>
      </c>
      <c r="I613">
        <v>0</v>
      </c>
      <c r="J613">
        <v>0</v>
      </c>
      <c r="K613">
        <v>3166818.73</v>
      </c>
    </row>
    <row r="614" spans="1:11" x14ac:dyDescent="0.25">
      <c r="A614" t="s">
        <v>1073</v>
      </c>
      <c r="B614" t="s">
        <v>967</v>
      </c>
      <c r="C614" t="s">
        <v>540</v>
      </c>
      <c r="D614" t="s">
        <v>563</v>
      </c>
      <c r="E614">
        <v>0</v>
      </c>
      <c r="F614" t="s">
        <v>564</v>
      </c>
      <c r="G614">
        <v>9326037.6400000006</v>
      </c>
      <c r="H614">
        <v>0</v>
      </c>
      <c r="I614">
        <v>0</v>
      </c>
      <c r="J614">
        <v>0</v>
      </c>
      <c r="K614">
        <v>9326037.6400000006</v>
      </c>
    </row>
    <row r="615" spans="1:11" x14ac:dyDescent="0.25">
      <c r="A615" t="s">
        <v>424</v>
      </c>
      <c r="B615" t="s">
        <v>425</v>
      </c>
      <c r="C615" t="s">
        <v>540</v>
      </c>
      <c r="D615" t="s">
        <v>617</v>
      </c>
      <c r="E615">
        <v>0</v>
      </c>
      <c r="F615" t="s">
        <v>618</v>
      </c>
      <c r="G615">
        <v>8985600</v>
      </c>
      <c r="H615">
        <v>8239140</v>
      </c>
      <c r="I615">
        <v>0</v>
      </c>
      <c r="J615">
        <v>0</v>
      </c>
      <c r="K615">
        <v>17224740</v>
      </c>
    </row>
    <row r="616" spans="1:11" x14ac:dyDescent="0.25">
      <c r="A616" t="s">
        <v>426</v>
      </c>
      <c r="B616" t="s">
        <v>427</v>
      </c>
      <c r="C616" t="s">
        <v>540</v>
      </c>
      <c r="D616" t="s">
        <v>659</v>
      </c>
      <c r="E616">
        <v>0</v>
      </c>
      <c r="F616" t="s">
        <v>660</v>
      </c>
      <c r="G616">
        <v>980087</v>
      </c>
      <c r="H616">
        <v>0</v>
      </c>
      <c r="I616">
        <v>0</v>
      </c>
      <c r="J616">
        <v>19950</v>
      </c>
      <c r="K616">
        <v>1000037</v>
      </c>
    </row>
    <row r="617" spans="1:11" x14ac:dyDescent="0.25">
      <c r="A617" t="s">
        <v>428</v>
      </c>
      <c r="B617" t="s">
        <v>429</v>
      </c>
      <c r="C617" t="s">
        <v>540</v>
      </c>
      <c r="D617" t="s">
        <v>691</v>
      </c>
      <c r="E617">
        <v>0</v>
      </c>
      <c r="F617" t="s">
        <v>692</v>
      </c>
      <c r="G617">
        <v>1607096</v>
      </c>
      <c r="H617">
        <v>1589395</v>
      </c>
      <c r="I617">
        <v>0</v>
      </c>
      <c r="J617">
        <v>0</v>
      </c>
      <c r="K617">
        <v>3196491</v>
      </c>
    </row>
    <row r="618" spans="1:11" x14ac:dyDescent="0.25">
      <c r="A618" t="s">
        <v>430</v>
      </c>
      <c r="B618" t="s">
        <v>431</v>
      </c>
      <c r="C618" t="s">
        <v>540</v>
      </c>
      <c r="D618" t="s">
        <v>551</v>
      </c>
      <c r="E618">
        <v>0</v>
      </c>
      <c r="F618" t="s">
        <v>552</v>
      </c>
      <c r="G618">
        <v>0</v>
      </c>
      <c r="H618">
        <v>5488941</v>
      </c>
      <c r="I618">
        <v>0</v>
      </c>
      <c r="J618">
        <v>0</v>
      </c>
      <c r="K618">
        <v>5488941</v>
      </c>
    </row>
    <row r="619" spans="1:11" x14ac:dyDescent="0.25">
      <c r="A619" t="s">
        <v>432</v>
      </c>
      <c r="B619" t="s">
        <v>433</v>
      </c>
      <c r="C619" t="s">
        <v>540</v>
      </c>
      <c r="D619" t="s">
        <v>603</v>
      </c>
      <c r="E619">
        <v>0</v>
      </c>
      <c r="F619" t="s">
        <v>604</v>
      </c>
      <c r="G619">
        <v>0</v>
      </c>
      <c r="H619">
        <v>0</v>
      </c>
      <c r="I619">
        <v>0</v>
      </c>
      <c r="J619">
        <v>1074310</v>
      </c>
      <c r="K619">
        <v>1074310</v>
      </c>
    </row>
    <row r="620" spans="1:11" x14ac:dyDescent="0.25">
      <c r="A620" t="s">
        <v>1216</v>
      </c>
      <c r="B620" t="s">
        <v>1217</v>
      </c>
      <c r="C620" t="s">
        <v>540</v>
      </c>
      <c r="D620" t="s">
        <v>563</v>
      </c>
      <c r="E620">
        <v>0</v>
      </c>
      <c r="F620" t="s">
        <v>564</v>
      </c>
      <c r="G620">
        <v>99568</v>
      </c>
      <c r="H620">
        <v>0</v>
      </c>
      <c r="I620">
        <v>0</v>
      </c>
      <c r="J620">
        <v>0</v>
      </c>
      <c r="K620">
        <v>99568</v>
      </c>
    </row>
    <row r="621" spans="1:11" x14ac:dyDescent="0.25">
      <c r="A621" t="s">
        <v>1074</v>
      </c>
      <c r="B621" t="s">
        <v>1075</v>
      </c>
      <c r="C621" t="s">
        <v>540</v>
      </c>
      <c r="D621" t="s">
        <v>1076</v>
      </c>
      <c r="E621">
        <v>0</v>
      </c>
      <c r="F621" t="s">
        <v>1077</v>
      </c>
      <c r="G621">
        <v>358644</v>
      </c>
      <c r="H621">
        <v>0</v>
      </c>
      <c r="I621">
        <v>0</v>
      </c>
      <c r="J621">
        <v>0</v>
      </c>
      <c r="K621">
        <v>358644</v>
      </c>
    </row>
    <row r="622" spans="1:11" x14ac:dyDescent="0.25">
      <c r="A622" t="s">
        <v>1110</v>
      </c>
      <c r="B622" t="s">
        <v>1111</v>
      </c>
      <c r="C622" t="s">
        <v>540</v>
      </c>
      <c r="D622" t="s">
        <v>553</v>
      </c>
      <c r="E622">
        <v>0</v>
      </c>
      <c r="F622" t="s">
        <v>554</v>
      </c>
      <c r="G622">
        <v>799180.80000000005</v>
      </c>
      <c r="H622">
        <v>0</v>
      </c>
      <c r="I622">
        <v>0</v>
      </c>
      <c r="J622">
        <v>0</v>
      </c>
      <c r="K622">
        <v>799180.80000000005</v>
      </c>
    </row>
    <row r="623" spans="1:11" x14ac:dyDescent="0.25">
      <c r="A623" t="s">
        <v>788</v>
      </c>
      <c r="B623" t="s">
        <v>789</v>
      </c>
      <c r="C623" t="s">
        <v>540</v>
      </c>
      <c r="D623" t="s">
        <v>559</v>
      </c>
      <c r="E623">
        <v>0</v>
      </c>
      <c r="F623" t="s">
        <v>560</v>
      </c>
      <c r="G623">
        <v>13368400</v>
      </c>
      <c r="H623">
        <v>5481300</v>
      </c>
      <c r="I623">
        <v>0</v>
      </c>
      <c r="J623">
        <v>0</v>
      </c>
      <c r="K623">
        <v>18849700</v>
      </c>
    </row>
    <row r="624" spans="1:11" x14ac:dyDescent="0.25">
      <c r="A624" t="s">
        <v>1078</v>
      </c>
      <c r="B624" t="s">
        <v>968</v>
      </c>
      <c r="C624" t="s">
        <v>540</v>
      </c>
      <c r="D624" t="s">
        <v>1076</v>
      </c>
      <c r="E624">
        <v>0</v>
      </c>
      <c r="F624" t="s">
        <v>1077</v>
      </c>
      <c r="G624">
        <v>302474011.19999999</v>
      </c>
      <c r="H624">
        <v>969046260</v>
      </c>
      <c r="I624">
        <v>0</v>
      </c>
      <c r="J624">
        <v>0</v>
      </c>
      <c r="K624">
        <v>1271520271.2</v>
      </c>
    </row>
    <row r="625" spans="1:11" x14ac:dyDescent="0.25">
      <c r="A625" t="s">
        <v>515</v>
      </c>
      <c r="B625" t="s">
        <v>516</v>
      </c>
      <c r="C625" t="s">
        <v>540</v>
      </c>
      <c r="D625" t="s">
        <v>693</v>
      </c>
      <c r="E625">
        <v>0</v>
      </c>
      <c r="F625" t="s">
        <v>694</v>
      </c>
      <c r="G625">
        <v>2096688</v>
      </c>
      <c r="H625">
        <v>0</v>
      </c>
      <c r="I625">
        <v>0</v>
      </c>
      <c r="J625">
        <v>0</v>
      </c>
      <c r="K625">
        <v>2096688</v>
      </c>
    </row>
    <row r="626" spans="1:11" x14ac:dyDescent="0.25">
      <c r="A626" t="s">
        <v>434</v>
      </c>
      <c r="B626" t="s">
        <v>435</v>
      </c>
      <c r="C626" t="s">
        <v>540</v>
      </c>
      <c r="D626" t="s">
        <v>623</v>
      </c>
      <c r="E626">
        <v>0</v>
      </c>
      <c r="F626" t="s">
        <v>624</v>
      </c>
      <c r="G626">
        <v>3900986.85</v>
      </c>
      <c r="H626">
        <v>0</v>
      </c>
      <c r="I626">
        <v>0</v>
      </c>
      <c r="J626">
        <v>0</v>
      </c>
      <c r="K626">
        <v>3900986.85</v>
      </c>
    </row>
    <row r="627" spans="1:11" x14ac:dyDescent="0.25">
      <c r="A627" t="s">
        <v>1079</v>
      </c>
      <c r="B627" t="s">
        <v>969</v>
      </c>
      <c r="C627" t="s">
        <v>540</v>
      </c>
      <c r="D627" t="s">
        <v>702</v>
      </c>
      <c r="E627">
        <v>0</v>
      </c>
      <c r="F627" t="s">
        <v>703</v>
      </c>
      <c r="G627">
        <v>0</v>
      </c>
      <c r="H627">
        <v>2395826.5499999998</v>
      </c>
      <c r="I627">
        <v>0</v>
      </c>
      <c r="J627">
        <v>0</v>
      </c>
      <c r="K627">
        <v>2395826.5499999998</v>
      </c>
    </row>
    <row r="628" spans="1:11" x14ac:dyDescent="0.25">
      <c r="A628" t="s">
        <v>1181</v>
      </c>
      <c r="B628" t="s">
        <v>1182</v>
      </c>
      <c r="C628" t="s">
        <v>540</v>
      </c>
      <c r="D628" t="s">
        <v>623</v>
      </c>
      <c r="E628">
        <v>0</v>
      </c>
      <c r="F628" t="s">
        <v>624</v>
      </c>
      <c r="G628">
        <v>4988288.3</v>
      </c>
      <c r="H628">
        <v>0</v>
      </c>
      <c r="I628">
        <v>0</v>
      </c>
      <c r="J628">
        <v>0</v>
      </c>
      <c r="K628">
        <v>4988288.3</v>
      </c>
    </row>
    <row r="629" spans="1:11" x14ac:dyDescent="0.25">
      <c r="A629" t="s">
        <v>436</v>
      </c>
      <c r="B629" t="s">
        <v>437</v>
      </c>
      <c r="C629" t="s">
        <v>540</v>
      </c>
      <c r="D629" t="s">
        <v>561</v>
      </c>
      <c r="E629">
        <v>0</v>
      </c>
      <c r="F629" t="s">
        <v>562</v>
      </c>
      <c r="G629">
        <v>5000000</v>
      </c>
      <c r="H629">
        <v>39850000</v>
      </c>
      <c r="I629">
        <v>0</v>
      </c>
      <c r="J629">
        <v>0</v>
      </c>
      <c r="K629">
        <v>44850000</v>
      </c>
    </row>
    <row r="630" spans="1:11" x14ac:dyDescent="0.25">
      <c r="A630" t="s">
        <v>438</v>
      </c>
      <c r="B630" t="s">
        <v>439</v>
      </c>
      <c r="C630" t="s">
        <v>540</v>
      </c>
      <c r="D630" t="s">
        <v>603</v>
      </c>
      <c r="E630">
        <v>0</v>
      </c>
      <c r="F630" t="s">
        <v>604</v>
      </c>
      <c r="G630">
        <v>0</v>
      </c>
      <c r="H630">
        <v>0</v>
      </c>
      <c r="I630">
        <v>0</v>
      </c>
      <c r="J630">
        <v>8115779.6100000003</v>
      </c>
      <c r="K630">
        <v>8115779.6100000003</v>
      </c>
    </row>
    <row r="631" spans="1:11" x14ac:dyDescent="0.25">
      <c r="A631" t="s">
        <v>1183</v>
      </c>
      <c r="B631" t="s">
        <v>1184</v>
      </c>
      <c r="C631" t="s">
        <v>540</v>
      </c>
      <c r="D631" t="s">
        <v>603</v>
      </c>
      <c r="E631">
        <v>0</v>
      </c>
      <c r="F631" t="s">
        <v>604</v>
      </c>
      <c r="G631">
        <v>1861981.01</v>
      </c>
      <c r="H631">
        <v>0</v>
      </c>
      <c r="I631">
        <v>0</v>
      </c>
      <c r="J631">
        <v>0</v>
      </c>
      <c r="K631">
        <v>1861981.01</v>
      </c>
    </row>
    <row r="632" spans="1:11" x14ac:dyDescent="0.25">
      <c r="A632" t="s">
        <v>440</v>
      </c>
      <c r="B632" t="s">
        <v>441</v>
      </c>
      <c r="C632" t="s">
        <v>540</v>
      </c>
      <c r="D632" t="s">
        <v>601</v>
      </c>
      <c r="E632">
        <v>0</v>
      </c>
      <c r="F632" t="s">
        <v>602</v>
      </c>
      <c r="G632">
        <v>0</v>
      </c>
      <c r="H632">
        <v>9450100</v>
      </c>
      <c r="I632">
        <v>0</v>
      </c>
      <c r="J632">
        <v>0</v>
      </c>
      <c r="K632">
        <v>9450100</v>
      </c>
    </row>
    <row r="633" spans="1:11" x14ac:dyDescent="0.25">
      <c r="A633" t="s">
        <v>444</v>
      </c>
      <c r="B633" t="s">
        <v>445</v>
      </c>
      <c r="C633" t="s">
        <v>540</v>
      </c>
      <c r="D633" t="s">
        <v>603</v>
      </c>
      <c r="E633">
        <v>0</v>
      </c>
      <c r="F633" t="s">
        <v>604</v>
      </c>
      <c r="G633">
        <v>0</v>
      </c>
      <c r="H633">
        <v>0</v>
      </c>
      <c r="I633">
        <v>0</v>
      </c>
      <c r="J633">
        <v>25876207.34</v>
      </c>
      <c r="K633">
        <v>25876207.34</v>
      </c>
    </row>
    <row r="634" spans="1:11" x14ac:dyDescent="0.25">
      <c r="A634" t="s">
        <v>519</v>
      </c>
      <c r="B634" t="s">
        <v>520</v>
      </c>
      <c r="C634" t="s">
        <v>540</v>
      </c>
      <c r="D634" t="s">
        <v>695</v>
      </c>
      <c r="E634">
        <v>0</v>
      </c>
      <c r="F634" t="s">
        <v>696</v>
      </c>
      <c r="G634">
        <v>0</v>
      </c>
      <c r="H634">
        <v>2514500</v>
      </c>
      <c r="I634">
        <v>0</v>
      </c>
      <c r="J634">
        <v>0</v>
      </c>
      <c r="K634">
        <v>2514500</v>
      </c>
    </row>
    <row r="635" spans="1:11" x14ac:dyDescent="0.25">
      <c r="A635" t="s">
        <v>915</v>
      </c>
      <c r="B635" t="s">
        <v>916</v>
      </c>
      <c r="C635" t="s">
        <v>540</v>
      </c>
      <c r="D635" t="s">
        <v>585</v>
      </c>
      <c r="E635">
        <v>0</v>
      </c>
      <c r="F635" t="s">
        <v>586</v>
      </c>
      <c r="G635">
        <v>428340</v>
      </c>
      <c r="H635">
        <v>0</v>
      </c>
      <c r="I635">
        <v>0</v>
      </c>
      <c r="J635">
        <v>0</v>
      </c>
      <c r="K635">
        <v>428340</v>
      </c>
    </row>
    <row r="636" spans="1:11" x14ac:dyDescent="0.25">
      <c r="A636" t="s">
        <v>196</v>
      </c>
      <c r="B636" t="s">
        <v>970</v>
      </c>
      <c r="C636" t="s">
        <v>540</v>
      </c>
      <c r="D636" t="s">
        <v>557</v>
      </c>
      <c r="E636">
        <v>0</v>
      </c>
      <c r="F636" t="s">
        <v>558</v>
      </c>
      <c r="G636">
        <v>5065000</v>
      </c>
      <c r="H636">
        <v>3175790</v>
      </c>
      <c r="I636">
        <v>0</v>
      </c>
      <c r="J636">
        <v>0</v>
      </c>
      <c r="K636">
        <v>8240790</v>
      </c>
    </row>
    <row r="637" spans="1:11" x14ac:dyDescent="0.25">
      <c r="A637" t="s">
        <v>448</v>
      </c>
      <c r="B637" t="s">
        <v>449</v>
      </c>
      <c r="C637" t="s">
        <v>540</v>
      </c>
      <c r="D637" t="s">
        <v>611</v>
      </c>
      <c r="E637">
        <v>0</v>
      </c>
      <c r="F637" t="s">
        <v>612</v>
      </c>
      <c r="G637">
        <v>296400.06</v>
      </c>
      <c r="H637">
        <v>1255029.53</v>
      </c>
      <c r="I637">
        <v>0</v>
      </c>
      <c r="J637">
        <v>0</v>
      </c>
      <c r="K637">
        <v>1551429.59</v>
      </c>
    </row>
    <row r="638" spans="1:11" x14ac:dyDescent="0.25">
      <c r="A638" t="s">
        <v>832</v>
      </c>
      <c r="B638" t="s">
        <v>833</v>
      </c>
      <c r="C638" t="s">
        <v>540</v>
      </c>
      <c r="D638" t="s">
        <v>708</v>
      </c>
      <c r="E638">
        <v>0</v>
      </c>
      <c r="F638" t="s">
        <v>709</v>
      </c>
      <c r="G638">
        <v>0</v>
      </c>
      <c r="H638">
        <v>3871274</v>
      </c>
      <c r="I638">
        <v>12838737.470000001</v>
      </c>
      <c r="J638">
        <v>0</v>
      </c>
      <c r="K638">
        <v>16710011.470000001</v>
      </c>
    </row>
    <row r="639" spans="1:11" x14ac:dyDescent="0.25">
      <c r="A639" t="s">
        <v>1080</v>
      </c>
      <c r="B639" t="s">
        <v>1081</v>
      </c>
      <c r="C639" t="s">
        <v>540</v>
      </c>
      <c r="D639" t="s">
        <v>857</v>
      </c>
      <c r="E639">
        <v>0</v>
      </c>
      <c r="F639" t="s">
        <v>858</v>
      </c>
      <c r="G639">
        <v>0</v>
      </c>
      <c r="H639">
        <v>380000</v>
      </c>
      <c r="I639">
        <v>0</v>
      </c>
      <c r="J639">
        <v>0</v>
      </c>
      <c r="K639">
        <v>380000</v>
      </c>
    </row>
    <row r="640" spans="1:11" x14ac:dyDescent="0.25">
      <c r="A640" t="s">
        <v>450</v>
      </c>
      <c r="B640" t="s">
        <v>451</v>
      </c>
      <c r="C640" t="s">
        <v>540</v>
      </c>
      <c r="D640" t="s">
        <v>671</v>
      </c>
      <c r="E640">
        <v>0</v>
      </c>
      <c r="F640" t="s">
        <v>697</v>
      </c>
      <c r="G640">
        <v>1348666</v>
      </c>
      <c r="H640">
        <v>0</v>
      </c>
      <c r="I640">
        <v>0</v>
      </c>
      <c r="J640">
        <v>0</v>
      </c>
      <c r="K640">
        <v>1348666</v>
      </c>
    </row>
    <row r="641" spans="1:11" x14ac:dyDescent="0.25">
      <c r="A641" t="s">
        <v>1187</v>
      </c>
      <c r="B641" t="s">
        <v>1188</v>
      </c>
      <c r="C641" t="s">
        <v>540</v>
      </c>
      <c r="D641" t="s">
        <v>563</v>
      </c>
      <c r="E641">
        <v>0</v>
      </c>
      <c r="F641" t="s">
        <v>564</v>
      </c>
      <c r="G641">
        <v>0</v>
      </c>
      <c r="H641">
        <v>290000</v>
      </c>
      <c r="I641">
        <v>0</v>
      </c>
      <c r="J641">
        <v>1040000.04</v>
      </c>
      <c r="K641">
        <v>1330000.04</v>
      </c>
    </row>
    <row r="642" spans="1:11" x14ac:dyDescent="0.25">
      <c r="A642" t="s">
        <v>452</v>
      </c>
      <c r="B642" t="s">
        <v>453</v>
      </c>
      <c r="C642" t="s">
        <v>540</v>
      </c>
      <c r="D642" t="s">
        <v>653</v>
      </c>
      <c r="E642">
        <v>0</v>
      </c>
      <c r="F642" t="s">
        <v>654</v>
      </c>
      <c r="G642">
        <v>27262000</v>
      </c>
      <c r="H642">
        <v>23067211.02</v>
      </c>
      <c r="I642">
        <v>4608550</v>
      </c>
      <c r="J642">
        <v>0</v>
      </c>
      <c r="K642">
        <v>54937761.020000003</v>
      </c>
    </row>
    <row r="643" spans="1:11" x14ac:dyDescent="0.25">
      <c r="A643" t="s">
        <v>794</v>
      </c>
      <c r="B643" t="s">
        <v>795</v>
      </c>
      <c r="C643" t="s">
        <v>540</v>
      </c>
      <c r="D643" t="s">
        <v>545</v>
      </c>
      <c r="E643">
        <v>0</v>
      </c>
      <c r="F643" t="s">
        <v>546</v>
      </c>
      <c r="G643">
        <v>821652.74</v>
      </c>
      <c r="H643">
        <v>422546.15</v>
      </c>
      <c r="I643">
        <v>0</v>
      </c>
      <c r="J643">
        <v>0</v>
      </c>
      <c r="K643">
        <v>1244198.8899999999</v>
      </c>
    </row>
    <row r="644" spans="1:11" x14ac:dyDescent="0.25">
      <c r="A644" t="s">
        <v>1189</v>
      </c>
      <c r="B644" t="s">
        <v>1190</v>
      </c>
      <c r="C644" t="s">
        <v>540</v>
      </c>
      <c r="D644" t="s">
        <v>589</v>
      </c>
      <c r="E644">
        <v>0</v>
      </c>
      <c r="F644" t="s">
        <v>590</v>
      </c>
      <c r="G644">
        <v>0</v>
      </c>
      <c r="H644">
        <v>0</v>
      </c>
      <c r="I644">
        <v>582010</v>
      </c>
      <c r="J644">
        <v>0</v>
      </c>
      <c r="K644">
        <v>582010</v>
      </c>
    </row>
    <row r="645" spans="1:11" x14ac:dyDescent="0.25">
      <c r="A645" t="s">
        <v>454</v>
      </c>
      <c r="B645" t="s">
        <v>455</v>
      </c>
      <c r="C645" t="s">
        <v>540</v>
      </c>
      <c r="D645" t="s">
        <v>679</v>
      </c>
      <c r="E645">
        <v>0</v>
      </c>
      <c r="F645" t="s">
        <v>680</v>
      </c>
      <c r="G645">
        <v>263760</v>
      </c>
      <c r="H645">
        <v>0</v>
      </c>
      <c r="I645">
        <v>0</v>
      </c>
      <c r="J645">
        <v>0</v>
      </c>
      <c r="K645">
        <v>263760</v>
      </c>
    </row>
    <row r="646" spans="1:11" x14ac:dyDescent="0.25">
      <c r="A646" t="s">
        <v>456</v>
      </c>
      <c r="B646" t="s">
        <v>457</v>
      </c>
      <c r="C646" t="s">
        <v>540</v>
      </c>
      <c r="D646" t="s">
        <v>549</v>
      </c>
      <c r="E646">
        <v>0</v>
      </c>
      <c r="F646" t="s">
        <v>550</v>
      </c>
      <c r="G646">
        <v>1640756.7</v>
      </c>
      <c r="H646">
        <v>0</v>
      </c>
      <c r="I646">
        <v>0</v>
      </c>
      <c r="J646">
        <v>0</v>
      </c>
      <c r="K646">
        <v>1640756.7</v>
      </c>
    </row>
    <row r="647" spans="1:11" x14ac:dyDescent="0.25">
      <c r="A647" t="s">
        <v>458</v>
      </c>
      <c r="B647" t="s">
        <v>459</v>
      </c>
      <c r="C647" t="s">
        <v>540</v>
      </c>
      <c r="D647" t="s">
        <v>677</v>
      </c>
      <c r="E647">
        <v>0</v>
      </c>
      <c r="F647" t="s">
        <v>678</v>
      </c>
      <c r="G647">
        <v>0</v>
      </c>
      <c r="H647">
        <v>6417840</v>
      </c>
      <c r="I647">
        <v>12000000</v>
      </c>
      <c r="J647">
        <v>0</v>
      </c>
      <c r="K647">
        <v>18417840</v>
      </c>
    </row>
    <row r="648" spans="1:11" x14ac:dyDescent="0.25">
      <c r="A648" t="s">
        <v>523</v>
      </c>
      <c r="B648" t="s">
        <v>524</v>
      </c>
      <c r="C648" t="s">
        <v>540</v>
      </c>
      <c r="D648" t="s">
        <v>555</v>
      </c>
      <c r="E648">
        <v>0</v>
      </c>
      <c r="F648" t="s">
        <v>556</v>
      </c>
      <c r="G648">
        <v>1541059.93</v>
      </c>
      <c r="H648">
        <v>0</v>
      </c>
      <c r="I648">
        <v>0</v>
      </c>
      <c r="J648">
        <v>0</v>
      </c>
      <c r="K648">
        <v>1541059.93</v>
      </c>
    </row>
    <row r="649" spans="1:11" x14ac:dyDescent="0.25">
      <c r="A649" t="s">
        <v>1082</v>
      </c>
      <c r="B649" t="s">
        <v>971</v>
      </c>
      <c r="C649" t="s">
        <v>540</v>
      </c>
      <c r="D649" t="s">
        <v>555</v>
      </c>
      <c r="E649">
        <v>0</v>
      </c>
      <c r="F649" t="s">
        <v>556</v>
      </c>
      <c r="G649">
        <v>0</v>
      </c>
      <c r="H649">
        <v>36072.33</v>
      </c>
      <c r="I649">
        <v>0</v>
      </c>
      <c r="J649">
        <v>0</v>
      </c>
      <c r="K649">
        <v>36072.33</v>
      </c>
    </row>
    <row r="650" spans="1:11" x14ac:dyDescent="0.25">
      <c r="A650" t="s">
        <v>917</v>
      </c>
      <c r="B650" t="s">
        <v>918</v>
      </c>
      <c r="C650" t="s">
        <v>540</v>
      </c>
      <c r="D650" t="s">
        <v>698</v>
      </c>
      <c r="E650">
        <v>0</v>
      </c>
      <c r="F650" t="s">
        <v>699</v>
      </c>
      <c r="G650">
        <v>69000</v>
      </c>
      <c r="H650">
        <v>0</v>
      </c>
      <c r="I650">
        <v>0</v>
      </c>
      <c r="J650">
        <v>0</v>
      </c>
      <c r="K650">
        <v>69000</v>
      </c>
    </row>
    <row r="651" spans="1:11" x14ac:dyDescent="0.25">
      <c r="A651" t="s">
        <v>1083</v>
      </c>
      <c r="B651" t="s">
        <v>972</v>
      </c>
      <c r="C651" t="s">
        <v>540</v>
      </c>
      <c r="D651" t="s">
        <v>635</v>
      </c>
      <c r="E651">
        <v>0</v>
      </c>
      <c r="F651" t="s">
        <v>636</v>
      </c>
      <c r="G651">
        <v>0</v>
      </c>
      <c r="H651">
        <v>1103520</v>
      </c>
      <c r="I651">
        <v>0</v>
      </c>
      <c r="J651">
        <v>0</v>
      </c>
      <c r="K651">
        <v>1103520</v>
      </c>
    </row>
    <row r="652" spans="1:11" x14ac:dyDescent="0.25">
      <c r="A652" t="s">
        <v>460</v>
      </c>
      <c r="B652" t="s">
        <v>461</v>
      </c>
      <c r="C652" t="s">
        <v>540</v>
      </c>
      <c r="D652" t="s">
        <v>559</v>
      </c>
      <c r="E652">
        <v>0</v>
      </c>
      <c r="F652" t="s">
        <v>560</v>
      </c>
      <c r="G652">
        <v>985000</v>
      </c>
      <c r="H652">
        <v>0</v>
      </c>
      <c r="I652">
        <v>0</v>
      </c>
      <c r="J652">
        <v>0</v>
      </c>
      <c r="K652">
        <v>985000</v>
      </c>
    </row>
    <row r="653" spans="1:11" x14ac:dyDescent="0.25">
      <c r="A653" t="s">
        <v>1084</v>
      </c>
      <c r="B653" t="s">
        <v>973</v>
      </c>
      <c r="C653" t="s">
        <v>540</v>
      </c>
      <c r="D653" t="s">
        <v>549</v>
      </c>
      <c r="E653">
        <v>0</v>
      </c>
      <c r="F653" t="s">
        <v>550</v>
      </c>
      <c r="G653">
        <v>0</v>
      </c>
      <c r="H653">
        <v>827882</v>
      </c>
      <c r="I653">
        <v>0</v>
      </c>
      <c r="J653">
        <v>0</v>
      </c>
      <c r="K653">
        <v>827882</v>
      </c>
    </row>
    <row r="654" spans="1:11" x14ac:dyDescent="0.25">
      <c r="A654" t="s">
        <v>700</v>
      </c>
      <c r="B654" t="s">
        <v>701</v>
      </c>
      <c r="C654" t="s">
        <v>540</v>
      </c>
      <c r="D654" t="s">
        <v>589</v>
      </c>
      <c r="E654">
        <v>0</v>
      </c>
      <c r="F654" t="s">
        <v>590</v>
      </c>
      <c r="G654">
        <v>1173986.01</v>
      </c>
      <c r="H654">
        <v>0</v>
      </c>
      <c r="I654">
        <v>0</v>
      </c>
      <c r="J654">
        <v>0</v>
      </c>
      <c r="K654">
        <v>1173986.01</v>
      </c>
    </row>
    <row r="655" spans="1:11" x14ac:dyDescent="0.25">
      <c r="A655" t="s">
        <v>462</v>
      </c>
      <c r="B655" t="s">
        <v>463</v>
      </c>
      <c r="C655" t="s">
        <v>540</v>
      </c>
      <c r="D655" t="s">
        <v>702</v>
      </c>
      <c r="E655">
        <v>0</v>
      </c>
      <c r="F655" t="s">
        <v>703</v>
      </c>
      <c r="G655">
        <v>2325571.9700000002</v>
      </c>
      <c r="H655">
        <v>2615535.96</v>
      </c>
      <c r="I655">
        <v>0</v>
      </c>
      <c r="J655">
        <v>0</v>
      </c>
      <c r="K655">
        <v>4941107.93</v>
      </c>
    </row>
    <row r="656" spans="1:11" x14ac:dyDescent="0.25">
      <c r="A656" t="s">
        <v>464</v>
      </c>
      <c r="B656" t="s">
        <v>465</v>
      </c>
      <c r="C656" t="s">
        <v>540</v>
      </c>
      <c r="D656" t="s">
        <v>661</v>
      </c>
      <c r="E656">
        <v>0</v>
      </c>
      <c r="F656" t="s">
        <v>662</v>
      </c>
      <c r="G656">
        <v>135525</v>
      </c>
      <c r="H656">
        <v>0</v>
      </c>
      <c r="I656">
        <v>0</v>
      </c>
      <c r="J656">
        <v>-0.01</v>
      </c>
      <c r="K656">
        <v>135524.99</v>
      </c>
    </row>
    <row r="657" spans="1:11" x14ac:dyDescent="0.25">
      <c r="A657" t="s">
        <v>1085</v>
      </c>
      <c r="B657" t="s">
        <v>974</v>
      </c>
      <c r="C657" t="s">
        <v>540</v>
      </c>
      <c r="D657" t="s">
        <v>589</v>
      </c>
      <c r="E657">
        <v>0</v>
      </c>
      <c r="F657" t="s">
        <v>590</v>
      </c>
      <c r="G657">
        <v>0</v>
      </c>
      <c r="H657">
        <v>0</v>
      </c>
      <c r="I657">
        <v>18000000</v>
      </c>
      <c r="J657">
        <v>0</v>
      </c>
      <c r="K657">
        <v>18000000</v>
      </c>
    </row>
    <row r="658" spans="1:11" x14ac:dyDescent="0.25">
      <c r="A658" t="s">
        <v>466</v>
      </c>
      <c r="B658" t="s">
        <v>467</v>
      </c>
      <c r="C658" t="s">
        <v>540</v>
      </c>
      <c r="D658" t="s">
        <v>589</v>
      </c>
      <c r="E658">
        <v>0</v>
      </c>
      <c r="F658" t="s">
        <v>590</v>
      </c>
      <c r="G658">
        <v>0</v>
      </c>
      <c r="H658">
        <v>589028</v>
      </c>
      <c r="I658">
        <v>0</v>
      </c>
      <c r="J658">
        <v>0</v>
      </c>
      <c r="K658">
        <v>589028</v>
      </c>
    </row>
    <row r="659" spans="1:11" x14ac:dyDescent="0.25">
      <c r="A659" t="s">
        <v>1086</v>
      </c>
      <c r="B659" t="s">
        <v>975</v>
      </c>
      <c r="C659" t="s">
        <v>540</v>
      </c>
      <c r="D659" t="s">
        <v>563</v>
      </c>
      <c r="E659">
        <v>0</v>
      </c>
      <c r="F659" t="s">
        <v>564</v>
      </c>
      <c r="G659">
        <v>9256500</v>
      </c>
      <c r="H659">
        <v>7296300</v>
      </c>
      <c r="I659">
        <v>7610900</v>
      </c>
      <c r="J659">
        <v>0</v>
      </c>
      <c r="K659">
        <v>24163700</v>
      </c>
    </row>
    <row r="660" spans="1:11" x14ac:dyDescent="0.25">
      <c r="A660" t="s">
        <v>1087</v>
      </c>
      <c r="B660" t="s">
        <v>976</v>
      </c>
      <c r="C660" t="s">
        <v>540</v>
      </c>
      <c r="D660" t="s">
        <v>563</v>
      </c>
      <c r="E660">
        <v>0</v>
      </c>
      <c r="F660" t="s">
        <v>564</v>
      </c>
      <c r="G660">
        <v>0</v>
      </c>
      <c r="H660">
        <v>13210715.300000001</v>
      </c>
      <c r="I660">
        <v>0</v>
      </c>
      <c r="J660">
        <v>0</v>
      </c>
      <c r="K660">
        <v>13210715.300000001</v>
      </c>
    </row>
    <row r="661" spans="1:11" x14ac:dyDescent="0.25">
      <c r="A661" t="s">
        <v>525</v>
      </c>
      <c r="B661" t="s">
        <v>526</v>
      </c>
      <c r="C661" t="s">
        <v>540</v>
      </c>
      <c r="D661" t="s">
        <v>553</v>
      </c>
      <c r="E661">
        <v>0</v>
      </c>
      <c r="F661" t="s">
        <v>554</v>
      </c>
      <c r="G661">
        <v>2834433.37</v>
      </c>
      <c r="H661">
        <v>0</v>
      </c>
      <c r="I661">
        <v>0</v>
      </c>
      <c r="J661">
        <v>0</v>
      </c>
      <c r="K661">
        <v>2834433.37</v>
      </c>
    </row>
    <row r="662" spans="1:11" x14ac:dyDescent="0.25">
      <c r="A662" t="s">
        <v>468</v>
      </c>
      <c r="B662" t="s">
        <v>469</v>
      </c>
      <c r="C662" t="s">
        <v>540</v>
      </c>
      <c r="D662" t="s">
        <v>607</v>
      </c>
      <c r="E662">
        <v>0</v>
      </c>
      <c r="F662" t="s">
        <v>608</v>
      </c>
      <c r="G662">
        <v>61588.02</v>
      </c>
      <c r="H662">
        <v>0</v>
      </c>
      <c r="I662">
        <v>0</v>
      </c>
      <c r="J662">
        <v>-653801.14</v>
      </c>
      <c r="K662">
        <v>-592213.12</v>
      </c>
    </row>
    <row r="663" spans="1:11" x14ac:dyDescent="0.25">
      <c r="A663" t="s">
        <v>527</v>
      </c>
      <c r="B663" t="s">
        <v>528</v>
      </c>
      <c r="C663" t="s">
        <v>540</v>
      </c>
      <c r="D663" t="s">
        <v>603</v>
      </c>
      <c r="E663">
        <v>0</v>
      </c>
      <c r="F663" t="s">
        <v>604</v>
      </c>
      <c r="G663">
        <v>693801.12</v>
      </c>
      <c r="H663">
        <v>0</v>
      </c>
      <c r="I663">
        <v>0</v>
      </c>
      <c r="J663">
        <v>0</v>
      </c>
      <c r="K663">
        <v>693801.12</v>
      </c>
    </row>
    <row r="664" spans="1:11" x14ac:dyDescent="0.25">
      <c r="A664" t="s">
        <v>470</v>
      </c>
      <c r="B664" t="s">
        <v>471</v>
      </c>
      <c r="C664" t="s">
        <v>540</v>
      </c>
      <c r="D664" t="s">
        <v>704</v>
      </c>
      <c r="E664">
        <v>0</v>
      </c>
      <c r="F664" t="s">
        <v>705</v>
      </c>
      <c r="G664">
        <v>4342936.84</v>
      </c>
      <c r="H664">
        <v>4794021.21</v>
      </c>
      <c r="I664">
        <v>0</v>
      </c>
      <c r="J664">
        <v>0</v>
      </c>
      <c r="K664">
        <v>9136958.0500000007</v>
      </c>
    </row>
    <row r="665" spans="1:11" x14ac:dyDescent="0.25">
      <c r="A665" t="s">
        <v>472</v>
      </c>
      <c r="B665" t="s">
        <v>473</v>
      </c>
      <c r="C665" t="s">
        <v>540</v>
      </c>
      <c r="D665" t="s">
        <v>706</v>
      </c>
      <c r="E665">
        <v>0</v>
      </c>
      <c r="F665" t="s">
        <v>707</v>
      </c>
      <c r="G665">
        <v>43248877.090000004</v>
      </c>
      <c r="H665">
        <v>12242747.390000001</v>
      </c>
      <c r="I665">
        <v>44982025.560000002</v>
      </c>
      <c r="J665">
        <v>0</v>
      </c>
      <c r="K665">
        <v>100473650.04000001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1090</v>
      </c>
      <c r="E666">
        <v>0</v>
      </c>
      <c r="F666" t="s">
        <v>1091</v>
      </c>
      <c r="G666">
        <v>298320</v>
      </c>
      <c r="H666">
        <v>0</v>
      </c>
      <c r="I666">
        <v>0</v>
      </c>
      <c r="J666">
        <v>0</v>
      </c>
      <c r="K666">
        <v>298320</v>
      </c>
    </row>
    <row r="667" spans="1:11" x14ac:dyDescent="0.25">
      <c r="A667" t="s">
        <v>1191</v>
      </c>
      <c r="B667" t="s">
        <v>1192</v>
      </c>
      <c r="C667" t="s">
        <v>540</v>
      </c>
      <c r="D667" t="s">
        <v>776</v>
      </c>
      <c r="E667">
        <v>0</v>
      </c>
      <c r="F667" t="s">
        <v>777</v>
      </c>
      <c r="G667">
        <v>440000</v>
      </c>
      <c r="H667">
        <v>0</v>
      </c>
      <c r="I667">
        <v>0</v>
      </c>
      <c r="J667">
        <v>0</v>
      </c>
      <c r="K667">
        <v>440000</v>
      </c>
    </row>
    <row r="668" spans="1:11" x14ac:dyDescent="0.25">
      <c r="A668" t="s">
        <v>1092</v>
      </c>
      <c r="B668" t="s">
        <v>1093</v>
      </c>
      <c r="C668" t="s">
        <v>540</v>
      </c>
      <c r="D668" t="s">
        <v>1094</v>
      </c>
      <c r="E668">
        <v>0</v>
      </c>
      <c r="F668" t="s">
        <v>1095</v>
      </c>
      <c r="G668">
        <v>5060704</v>
      </c>
      <c r="H668">
        <v>0</v>
      </c>
      <c r="I668">
        <v>0</v>
      </c>
      <c r="J668">
        <v>0</v>
      </c>
      <c r="K668">
        <v>5060704</v>
      </c>
    </row>
    <row r="669" spans="1:11" x14ac:dyDescent="0.25">
      <c r="A669" t="s">
        <v>1193</v>
      </c>
      <c r="B669" t="s">
        <v>1194</v>
      </c>
      <c r="C669" t="s">
        <v>540</v>
      </c>
      <c r="D669" t="s">
        <v>559</v>
      </c>
      <c r="E669">
        <v>0</v>
      </c>
      <c r="F669" t="s">
        <v>560</v>
      </c>
      <c r="G669">
        <v>0</v>
      </c>
      <c r="H669">
        <v>1936000</v>
      </c>
      <c r="I669">
        <v>0</v>
      </c>
      <c r="J669">
        <v>0</v>
      </c>
      <c r="K669">
        <v>1936000</v>
      </c>
    </row>
    <row r="670" spans="1:11" x14ac:dyDescent="0.25">
      <c r="A670" t="s">
        <v>796</v>
      </c>
      <c r="B670" t="s">
        <v>797</v>
      </c>
      <c r="C670" t="s">
        <v>540</v>
      </c>
      <c r="D670" t="s">
        <v>603</v>
      </c>
      <c r="E670">
        <v>0</v>
      </c>
      <c r="F670" t="s">
        <v>604</v>
      </c>
      <c r="G670">
        <v>731886.65</v>
      </c>
      <c r="H670">
        <v>0</v>
      </c>
      <c r="I670">
        <v>0</v>
      </c>
      <c r="J670">
        <v>0</v>
      </c>
      <c r="K670">
        <v>731886.65</v>
      </c>
    </row>
    <row r="671" spans="1:11" x14ac:dyDescent="0.25">
      <c r="A671" t="s">
        <v>1096</v>
      </c>
      <c r="B671" t="s">
        <v>977</v>
      </c>
      <c r="C671" t="s">
        <v>540</v>
      </c>
      <c r="D671" t="s">
        <v>1076</v>
      </c>
      <c r="E671">
        <v>0</v>
      </c>
      <c r="F671" t="s">
        <v>1077</v>
      </c>
      <c r="G671">
        <v>7400000</v>
      </c>
      <c r="H671">
        <v>11200000</v>
      </c>
      <c r="I671">
        <v>0</v>
      </c>
      <c r="J671">
        <v>0</v>
      </c>
      <c r="K671">
        <v>18600000</v>
      </c>
    </row>
    <row r="672" spans="1:11" x14ac:dyDescent="0.25">
      <c r="A672" t="s">
        <v>1097</v>
      </c>
      <c r="B672" t="s">
        <v>978</v>
      </c>
      <c r="C672" t="s">
        <v>540</v>
      </c>
      <c r="D672" t="s">
        <v>1098</v>
      </c>
      <c r="E672">
        <v>0</v>
      </c>
      <c r="F672" t="s">
        <v>1099</v>
      </c>
      <c r="G672">
        <v>11958736.800000001</v>
      </c>
      <c r="H672">
        <v>3622115.9</v>
      </c>
      <c r="I672">
        <v>0</v>
      </c>
      <c r="J672">
        <v>0</v>
      </c>
      <c r="K672">
        <v>15580852.699999999</v>
      </c>
    </row>
    <row r="673" spans="1:11" x14ac:dyDescent="0.25">
      <c r="A673" t="s">
        <v>921</v>
      </c>
      <c r="B673" t="s">
        <v>922</v>
      </c>
      <c r="C673" t="s">
        <v>540</v>
      </c>
      <c r="D673" t="s">
        <v>589</v>
      </c>
      <c r="E673">
        <v>0</v>
      </c>
      <c r="F673" t="s">
        <v>590</v>
      </c>
      <c r="G673">
        <v>5541441.2400000002</v>
      </c>
      <c r="H673">
        <v>0</v>
      </c>
      <c r="I673">
        <v>0</v>
      </c>
      <c r="J673">
        <v>0</v>
      </c>
      <c r="K673">
        <v>5541441.2400000002</v>
      </c>
    </row>
    <row r="674" spans="1:11" x14ac:dyDescent="0.25">
      <c r="A674" t="s">
        <v>474</v>
      </c>
      <c r="B674" t="s">
        <v>475</v>
      </c>
      <c r="C674" t="s">
        <v>540</v>
      </c>
      <c r="D674" t="s">
        <v>708</v>
      </c>
      <c r="E674">
        <v>0</v>
      </c>
      <c r="F674" t="s">
        <v>709</v>
      </c>
      <c r="G674">
        <v>166430359.61000001</v>
      </c>
      <c r="H674">
        <v>0</v>
      </c>
      <c r="I674">
        <v>0</v>
      </c>
      <c r="J674">
        <v>0</v>
      </c>
      <c r="K674">
        <v>166430359.61000001</v>
      </c>
    </row>
    <row r="675" spans="1:11" x14ac:dyDescent="0.25">
      <c r="A675" t="s">
        <v>476</v>
      </c>
      <c r="B675" t="s">
        <v>477</v>
      </c>
      <c r="C675" t="s">
        <v>540</v>
      </c>
      <c r="D675" t="s">
        <v>563</v>
      </c>
      <c r="E675">
        <v>0</v>
      </c>
      <c r="F675" t="s">
        <v>564</v>
      </c>
      <c r="G675">
        <v>120182403.59</v>
      </c>
      <c r="H675">
        <v>0</v>
      </c>
      <c r="I675">
        <v>0</v>
      </c>
      <c r="J675">
        <v>6778094.1100000003</v>
      </c>
      <c r="K675">
        <v>126960497.7</v>
      </c>
    </row>
    <row r="676" spans="1:11" x14ac:dyDescent="0.25">
      <c r="A676" t="s">
        <v>529</v>
      </c>
      <c r="B676" t="s">
        <v>530</v>
      </c>
      <c r="C676" t="s">
        <v>540</v>
      </c>
      <c r="D676" t="s">
        <v>573</v>
      </c>
      <c r="E676">
        <v>0</v>
      </c>
      <c r="F676" t="s">
        <v>574</v>
      </c>
      <c r="G676">
        <v>718274.12</v>
      </c>
      <c r="H676">
        <v>0</v>
      </c>
      <c r="I676">
        <v>0</v>
      </c>
      <c r="J676">
        <v>0</v>
      </c>
      <c r="K676">
        <v>718274.12</v>
      </c>
    </row>
    <row r="677" spans="1:11" x14ac:dyDescent="0.25">
      <c r="A677" t="s">
        <v>480</v>
      </c>
      <c r="B677" t="s">
        <v>834</v>
      </c>
      <c r="C677" t="s">
        <v>540</v>
      </c>
      <c r="D677" t="s">
        <v>677</v>
      </c>
      <c r="E677">
        <v>0</v>
      </c>
      <c r="F677" t="s">
        <v>678</v>
      </c>
      <c r="G677">
        <v>5078152.5999999996</v>
      </c>
      <c r="H677">
        <v>1624385.6</v>
      </c>
      <c r="I677">
        <v>5107929.55</v>
      </c>
      <c r="J677">
        <v>0</v>
      </c>
      <c r="K677">
        <v>11810467.75</v>
      </c>
    </row>
    <row r="678" spans="1:11" x14ac:dyDescent="0.25">
      <c r="A678" t="s">
        <v>1100</v>
      </c>
      <c r="B678" t="s">
        <v>979</v>
      </c>
      <c r="C678" t="s">
        <v>540</v>
      </c>
      <c r="D678" t="s">
        <v>784</v>
      </c>
      <c r="E678">
        <v>0</v>
      </c>
      <c r="F678" t="s">
        <v>785</v>
      </c>
      <c r="G678">
        <v>19422105</v>
      </c>
      <c r="H678">
        <v>38844210</v>
      </c>
      <c r="I678">
        <v>0</v>
      </c>
      <c r="J678">
        <v>0</v>
      </c>
      <c r="K678">
        <v>58266315</v>
      </c>
    </row>
    <row r="679" spans="1:11" x14ac:dyDescent="0.25">
      <c r="A679" t="s">
        <v>1101</v>
      </c>
      <c r="B679" t="s">
        <v>980</v>
      </c>
      <c r="C679" t="s">
        <v>540</v>
      </c>
      <c r="D679" t="s">
        <v>589</v>
      </c>
      <c r="E679">
        <v>0</v>
      </c>
      <c r="F679" t="s">
        <v>590</v>
      </c>
      <c r="G679">
        <v>0</v>
      </c>
      <c r="H679">
        <v>11964832.300000001</v>
      </c>
      <c r="I679">
        <v>0</v>
      </c>
      <c r="J679">
        <v>0</v>
      </c>
      <c r="K679">
        <v>11964832.300000001</v>
      </c>
    </row>
    <row r="680" spans="1:11" x14ac:dyDescent="0.25">
      <c r="A680" t="s">
        <v>481</v>
      </c>
      <c r="B680" t="s">
        <v>482</v>
      </c>
      <c r="C680" t="s">
        <v>540</v>
      </c>
      <c r="D680" t="s">
        <v>633</v>
      </c>
      <c r="E680">
        <v>0</v>
      </c>
      <c r="F680" t="s">
        <v>634</v>
      </c>
      <c r="G680">
        <v>1700600</v>
      </c>
      <c r="H680">
        <v>812175</v>
      </c>
      <c r="I680">
        <v>0</v>
      </c>
      <c r="J680">
        <v>0</v>
      </c>
      <c r="K680">
        <v>2512775</v>
      </c>
    </row>
    <row r="681" spans="1:11" x14ac:dyDescent="0.25">
      <c r="A681" t="s">
        <v>483</v>
      </c>
      <c r="B681" t="s">
        <v>484</v>
      </c>
      <c r="C681" t="s">
        <v>540</v>
      </c>
      <c r="D681" t="s">
        <v>679</v>
      </c>
      <c r="E681">
        <v>0</v>
      </c>
      <c r="F681" t="s">
        <v>680</v>
      </c>
      <c r="G681">
        <v>1414723230.8800001</v>
      </c>
      <c r="H681">
        <v>0</v>
      </c>
      <c r="I681">
        <v>0</v>
      </c>
      <c r="J681">
        <v>0</v>
      </c>
      <c r="K681">
        <v>1414723230.8800001</v>
      </c>
    </row>
    <row r="682" spans="1:11" x14ac:dyDescent="0.25">
      <c r="A682" t="s">
        <v>1114</v>
      </c>
    </row>
    <row r="683" spans="1:11" x14ac:dyDescent="0.25">
      <c r="A683" t="s">
        <v>1195</v>
      </c>
    </row>
    <row r="684" spans="1:11" x14ac:dyDescent="0.25">
      <c r="A684" t="s">
        <v>1196</v>
      </c>
    </row>
    <row r="685" spans="1:11" x14ac:dyDescent="0.25">
      <c r="A685" t="s">
        <v>1218</v>
      </c>
    </row>
    <row r="686" spans="1:11" x14ac:dyDescent="0.25">
      <c r="A686" t="s">
        <v>1197</v>
      </c>
    </row>
  </sheetData>
  <mergeCells count="3">
    <mergeCell ref="A1:F1"/>
    <mergeCell ref="A2:F2"/>
    <mergeCell ref="A337:F33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22" sqref="B22:G22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71" t="s">
        <v>169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13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29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166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49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98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139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90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92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166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46090</v>
      </c>
      <c r="E14" s="69">
        <v>46269</v>
      </c>
      <c r="F14" s="54">
        <f t="shared" si="0"/>
        <v>179</v>
      </c>
      <c r="G14" s="55">
        <f t="shared" si="4"/>
        <v>19126.027397260274</v>
      </c>
      <c r="H14" s="56">
        <f t="shared" si="5"/>
        <v>1019126.0273972603</v>
      </c>
      <c r="I14" s="57">
        <f t="shared" ca="1" si="6"/>
        <v>1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111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167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117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116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63</v>
      </c>
      <c r="J19" s="52"/>
    </row>
    <row r="20" spans="1:10" ht="18" customHeight="1" x14ac:dyDescent="0.25">
      <c r="A20" s="53" t="s">
        <v>981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335</v>
      </c>
      <c r="J20" s="52"/>
    </row>
    <row r="21" spans="1:10" ht="18" customHeight="1" x14ac:dyDescent="0.25">
      <c r="A21" s="53" t="s">
        <v>981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383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342444.93150684936</v>
      </c>
      <c r="H22" s="58">
        <f>SUM(H5:H21)</f>
        <v>18142444.93150685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-46268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-46268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-46268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-46268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-46268</v>
      </c>
      <c r="J27" s="44"/>
    </row>
    <row r="29" spans="1:10" x14ac:dyDescent="0.25">
      <c r="A29" s="72" t="s">
        <v>180</v>
      </c>
      <c r="B29" s="72"/>
      <c r="C29" s="72"/>
      <c r="D29" s="72"/>
      <c r="E29" s="72"/>
      <c r="F29" s="72"/>
      <c r="G29" s="72"/>
      <c r="H29" s="72"/>
      <c r="I29" s="72"/>
      <c r="J29" s="72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2026-09-03T19:07:47Z</dcterms:modified>
  <dc:language>en-US</dc:language>
</cp:coreProperties>
</file>