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9BBF46DC-4BD6-4D64-A0EE-86DEA035F76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1" i="2" l="1"/>
  <c r="AI91" i="2"/>
  <c r="AH91" i="2"/>
  <c r="AG91" i="2"/>
  <c r="AF91" i="2"/>
  <c r="AE91" i="2"/>
  <c r="AD91" i="2"/>
  <c r="AC91" i="2"/>
  <c r="AB91" i="2"/>
  <c r="AA91" i="2"/>
  <c r="Z91" i="2"/>
  <c r="Y91" i="2"/>
  <c r="X91" i="2"/>
  <c r="U91" i="2"/>
  <c r="O91" i="2"/>
  <c r="L91" i="2"/>
  <c r="J91" i="2"/>
  <c r="I91" i="2"/>
  <c r="H91" i="2"/>
  <c r="G91" i="2"/>
  <c r="F91" i="2"/>
  <c r="E91" i="2"/>
  <c r="D91" i="2"/>
  <c r="B91" i="2"/>
  <c r="A91" i="2"/>
  <c r="AI90" i="2"/>
  <c r="Q90" i="2"/>
  <c r="L90" i="2"/>
  <c r="J90" i="2"/>
  <c r="AJ90" i="2"/>
  <c r="AH90" i="2"/>
  <c r="AB90" i="2"/>
  <c r="AJ89" i="2"/>
  <c r="AI89" i="2"/>
  <c r="AH89" i="2"/>
  <c r="AG89" i="2"/>
  <c r="AG90" i="2" s="1"/>
  <c r="Z89" i="2"/>
  <c r="Z90" i="2" s="1"/>
  <c r="H89" i="2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1" i="6" l="1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<sst xmlns="http://schemas.openxmlformats.org/spreadsheetml/2006/main" count="1900" uniqueCount="720">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</sst>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13" fillId="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</row>
        <row r="2">
          <cell r="CN2">
            <v>1395.5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</row>
        <row r="50">
          <cell r="CJ50">
            <v>0</v>
          </cell>
          <cell r="CK50">
            <v>9401592</v>
          </cell>
          <cell r="CN50">
            <v>8039538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1" t="s">
        <v>0</v>
      </c>
      <c r="B1" s="71"/>
      <c r="C1" s="71"/>
      <c r="D1" s="71"/>
      <c r="E1" s="71"/>
      <c r="F1" s="71"/>
    </row>
    <row r="2" spans="1:6" ht="19.5" customHeight="1" x14ac:dyDescent="0.25">
      <c r="A2" s="72" t="s">
        <v>1</v>
      </c>
      <c r="B2" s="72"/>
      <c r="C2" s="72"/>
      <c r="D2" s="72"/>
      <c r="E2" s="72"/>
      <c r="F2" s="72"/>
    </row>
    <row r="5" spans="1:6" ht="15" customHeight="1" x14ac:dyDescent="0.25">
      <c r="A5" s="2"/>
      <c r="B5" s="3"/>
    </row>
    <row r="6" spans="1:6" ht="15" customHeight="1" x14ac:dyDescent="0.25">
      <c r="A6" s="70" t="s">
        <v>2</v>
      </c>
      <c r="B6" s="70"/>
      <c r="C6" s="70"/>
      <c r="D6" s="70"/>
      <c r="E6" s="70"/>
      <c r="F6" s="70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0" t="s">
        <v>21</v>
      </c>
      <c r="B17" s="70"/>
      <c r="C17" s="70"/>
      <c r="D17" s="70"/>
      <c r="E17" s="70"/>
      <c r="F17" s="70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0" t="s">
        <v>32</v>
      </c>
      <c r="B24" s="70"/>
      <c r="C24" s="70"/>
      <c r="D24" s="70"/>
      <c r="E24" s="70"/>
      <c r="F24" s="70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0" t="s">
        <v>47</v>
      </c>
      <c r="B33" s="70"/>
      <c r="C33" s="70"/>
      <c r="D33" s="70"/>
      <c r="E33" s="70"/>
      <c r="F33" s="70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72" activePane="bottomLeft" state="frozen"/>
      <selection activeCell="A3" sqref="A3"/>
      <selection pane="bottomLeft" activeCell="S91" sqref="A91:XFD9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73" t="s">
        <v>57</v>
      </c>
      <c r="D2" s="73"/>
      <c r="E2" s="73"/>
      <c r="F2" s="73"/>
      <c r="G2" s="73"/>
      <c r="H2" s="73"/>
      <c r="I2" s="73"/>
      <c r="J2" s="74" t="s">
        <v>58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5" t="s">
        <v>59</v>
      </c>
      <c r="X2" s="75"/>
      <c r="Y2" s="75"/>
      <c r="Z2" s="75"/>
      <c r="AA2" s="75"/>
      <c r="AB2" s="75"/>
      <c r="AC2" s="75"/>
      <c r="AD2" s="75"/>
      <c r="AE2" s="75"/>
      <c r="AF2" s="1"/>
      <c r="AG2" s="76"/>
      <c r="AH2" s="76"/>
      <c r="AI2" s="76"/>
      <c r="AJ2" s="7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>+AB90</f>
        <v>1048306.3957399999</v>
      </c>
      <c r="AC91" s="65">
        <f>+AC90</f>
        <v>10000000</v>
      </c>
      <c r="AD91" s="65">
        <f>+AD90</f>
        <v>220000</v>
      </c>
      <c r="AE91" s="65">
        <f>+AE90</f>
        <v>280000</v>
      </c>
      <c r="AF91" s="65">
        <f>+'[1]CF Dia V1'!$CN$97</f>
        <v>9255314.4630000032</v>
      </c>
      <c r="AG91" s="65">
        <f>+AG90</f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/>
      <c r="B92" s="17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8"/>
      <c r="AB92" s="18"/>
      <c r="AC92" s="18"/>
      <c r="AD92" s="18"/>
      <c r="AE92" s="18"/>
      <c r="AF92" s="15"/>
      <c r="AG92" s="15"/>
      <c r="AH92" s="15"/>
      <c r="AI92" s="15"/>
      <c r="AJ92" s="15"/>
      <c r="AK92" s="16"/>
    </row>
    <row r="93" spans="1:37" ht="15.75" customHeight="1" x14ac:dyDescent="0.25">
      <c r="A93" s="13"/>
      <c r="B93" s="17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8"/>
      <c r="AB93" s="18"/>
      <c r="AC93" s="18"/>
      <c r="AD93" s="18"/>
      <c r="AE93" s="18"/>
      <c r="AF93" s="15"/>
      <c r="AG93" s="15"/>
      <c r="AH93" s="15"/>
      <c r="AI93" s="15"/>
      <c r="AJ93" s="15"/>
      <c r="AK93" s="16"/>
    </row>
    <row r="94" spans="1:37" ht="15.75" customHeight="1" x14ac:dyDescent="0.25">
      <c r="A94" s="13"/>
      <c r="B94" s="17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8"/>
      <c r="AB94" s="18"/>
      <c r="AC94" s="18"/>
      <c r="AD94" s="18"/>
      <c r="AE94" s="18"/>
      <c r="AF94" s="15"/>
      <c r="AG94" s="15"/>
      <c r="AH94" s="15"/>
      <c r="AI94" s="15"/>
      <c r="AJ94" s="15"/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10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21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31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G92" sqref="G92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69" t="s">
        <v>139</v>
      </c>
      <c r="B2" s="69"/>
      <c r="C2" s="69"/>
      <c r="D2" s="69"/>
      <c r="E2" s="69"/>
      <c r="F2" s="69"/>
      <c r="G2" s="69"/>
      <c r="H2" s="6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 t="str">
        <f>IF(CARGA_DIARIA!A92="","",CARGA_DIARIA!A92)</f>
        <v/>
      </c>
      <c r="B92" s="34" t="str">
        <f>IF(CARGA_DIARIA!A92="","",CARGA_DIARIA!B92)</f>
        <v/>
      </c>
      <c r="C92" s="35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6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6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9" t="s">
        <v>146</v>
      </c>
      <c r="G92" s="39" t="s">
        <v>146</v>
      </c>
      <c r="H92" s="38" t="str">
        <f>IF(CARGA_DIARIA!A92="","",C92-D92-E92)</f>
        <v/>
      </c>
    </row>
    <row r="93" spans="1:8" ht="15.75" customHeight="1" x14ac:dyDescent="0.25">
      <c r="A93" s="33" t="str">
        <f>IF(CARGA_DIARIA!A93="","",CARGA_DIARIA!A93)</f>
        <v/>
      </c>
      <c r="B93" s="34" t="str">
        <f>IF(CARGA_DIARIA!A93="","",CARGA_DIARIA!B93)</f>
        <v/>
      </c>
      <c r="C93" s="35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6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6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9" t="s">
        <v>146</v>
      </c>
      <c r="G93" s="39" t="s">
        <v>146</v>
      </c>
      <c r="H93" s="38" t="str">
        <f>IF(CARGA_DIARIA!A93="","",C93-D93-E93)</f>
        <v/>
      </c>
    </row>
    <row r="94" spans="1:8" ht="15.75" customHeight="1" x14ac:dyDescent="0.25">
      <c r="A94" s="33" t="str">
        <f>IF(CARGA_DIARIA!A94="","",CARGA_DIARIA!A94)</f>
        <v/>
      </c>
      <c r="B94" s="34" t="str">
        <f>IF(CARGA_DIARIA!A94="","",CARGA_DIARIA!B94)</f>
        <v/>
      </c>
      <c r="C94" s="35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6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6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9" t="s">
        <v>146</v>
      </c>
      <c r="G94" s="39" t="s">
        <v>146</v>
      </c>
      <c r="H94" s="38" t="str">
        <f>IF(CARGA_DIARIA!A94="","",C94-D94-E94)</f>
        <v/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119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135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97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65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16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23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30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93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107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171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-46162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-46162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-46162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-46162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-46162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2026-05-20T19:08:25Z</dcterms:modified>
  <dc:language>en-US</dc:language>
</cp:coreProperties>
</file>